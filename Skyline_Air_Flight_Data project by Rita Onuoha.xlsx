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7B8FD1D7-06A0-48E0-97BC-BF7E2DA8730E}" xr6:coauthVersionLast="47" xr6:coauthVersionMax="47" xr10:uidLastSave="{00000000-0000-0000-0000-000000000000}"/>
  <bookViews>
    <workbookView xWindow="-110" yWindow="-110" windowWidth="19420" windowHeight="10300" firstSheet="1" activeTab="5" xr2:uid="{00000000-000D-0000-FFFF-FFFF00000000}"/>
  </bookViews>
  <sheets>
    <sheet name="Sheet12" sheetId="15" r:id="rId1"/>
    <sheet name="DASHBOARD" sheetId="11" r:id="rId2"/>
    <sheet name="PIVOT TABLES" sheetId="7" r:id="rId3"/>
    <sheet name="Flights(Cleaned)" sheetId="4" r:id="rId4"/>
    <sheet name="Flights (2)" sheetId="3" state="hidden" r:id="rId5"/>
    <sheet name="Flights" sheetId="1" r:id="rId6"/>
  </sheets>
  <definedNames>
    <definedName name="ExternalData_1" localSheetId="3" hidden="1">'Flights(Cleaned)'!$A$1:$R$1001</definedName>
    <definedName name="Slicer_AircraftType">#N/A</definedName>
    <definedName name="Slicer_Origin">#N/A</definedName>
    <definedName name="Slicer_TimeOfDay">#N/A</definedName>
  </definedNames>
  <calcPr calcId="191029"/>
  <pivotCaches>
    <pivotCache cacheId="12" r:id="rId7"/>
    <pivotCache cacheId="2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7" l="1"/>
  <c r="C5" i="7"/>
  <c r="A5" i="7"/>
  <c r="B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3461AA-B86D-4D5D-85EC-76FACCD629D3}"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<sst xmlns="http://schemas.openxmlformats.org/spreadsheetml/2006/main" count="34315" uniqueCount="1702">
  <si>
    <t>FlightID</t>
  </si>
  <si>
    <t>FlightDate</t>
  </si>
  <si>
    <t>FlightNumber</t>
  </si>
  <si>
    <t>Origin</t>
  </si>
  <si>
    <t>Destination</t>
  </si>
  <si>
    <t>AircraftType</t>
  </si>
  <si>
    <t>ScheduledDeparture</t>
  </si>
  <si>
    <t>ActualDeparture</t>
  </si>
  <si>
    <t>DepartureDelayMin</t>
  </si>
  <si>
    <t>ArrivalDelayMin</t>
  </si>
  <si>
    <t>DelayCause</t>
  </si>
  <si>
    <t>Status</t>
  </si>
  <si>
    <t>DistanceMiles</t>
  </si>
  <si>
    <t>SK-00001</t>
  </si>
  <si>
    <t>SK438</t>
  </si>
  <si>
    <t>LAX</t>
  </si>
  <si>
    <t>ORD</t>
  </si>
  <si>
    <t>Boeing 737-800</t>
  </si>
  <si>
    <t>None</t>
  </si>
  <si>
    <t>Completed</t>
  </si>
  <si>
    <t>SK-00002</t>
  </si>
  <si>
    <t>SK700</t>
  </si>
  <si>
    <t>JFK</t>
  </si>
  <si>
    <t>DEN</t>
  </si>
  <si>
    <t>Airbus A320</t>
  </si>
  <si>
    <t>SK-00003</t>
  </si>
  <si>
    <t>SK843</t>
  </si>
  <si>
    <t>DFW</t>
  </si>
  <si>
    <t>Embraer E175</t>
  </si>
  <si>
    <t>SK-00004</t>
  </si>
  <si>
    <t>SK823</t>
  </si>
  <si>
    <t>LAS</t>
  </si>
  <si>
    <t>jfk</t>
  </si>
  <si>
    <t>SK-00005</t>
  </si>
  <si>
    <t>SK594</t>
  </si>
  <si>
    <t>SK-00006</t>
  </si>
  <si>
    <t>SK514</t>
  </si>
  <si>
    <t>SEA</t>
  </si>
  <si>
    <t>CRJ900</t>
  </si>
  <si>
    <t>SK-00007</t>
  </si>
  <si>
    <t>SK621</t>
  </si>
  <si>
    <t>MIA</t>
  </si>
  <si>
    <t>SK-00008</t>
  </si>
  <si>
    <t>SK759</t>
  </si>
  <si>
    <t>BOS</t>
  </si>
  <si>
    <t>SK-00009</t>
  </si>
  <si>
    <t>SK598</t>
  </si>
  <si>
    <t>SFO</t>
  </si>
  <si>
    <t>SK-00010</t>
  </si>
  <si>
    <t>SK201</t>
  </si>
  <si>
    <t>ATL</t>
  </si>
  <si>
    <t xml:space="preserve">DFW </t>
  </si>
  <si>
    <t>SK-00011</t>
  </si>
  <si>
    <t>SK446</t>
  </si>
  <si>
    <t>Late Aircraft</t>
  </si>
  <si>
    <t>SK-00012</t>
  </si>
  <si>
    <t>SK327</t>
  </si>
  <si>
    <t>SK-00013</t>
  </si>
  <si>
    <t>SK682</t>
  </si>
  <si>
    <t xml:space="preserve">ATL </t>
  </si>
  <si>
    <t>Carrier</t>
  </si>
  <si>
    <t>SK-00014</t>
  </si>
  <si>
    <t>SK872</t>
  </si>
  <si>
    <t>SK-00015</t>
  </si>
  <si>
    <t>SK624</t>
  </si>
  <si>
    <t>SK-00016</t>
  </si>
  <si>
    <t>SK889</t>
  </si>
  <si>
    <t>SK-00017</t>
  </si>
  <si>
    <t>SK546</t>
  </si>
  <si>
    <t>SK-00018</t>
  </si>
  <si>
    <t>SK493</t>
  </si>
  <si>
    <t>Chicago</t>
  </si>
  <si>
    <t>SK-00019</t>
  </si>
  <si>
    <t>SK434</t>
  </si>
  <si>
    <t>SK-00020</t>
  </si>
  <si>
    <t>SK413</t>
  </si>
  <si>
    <t>SK-00021</t>
  </si>
  <si>
    <t>SK611</t>
  </si>
  <si>
    <t>PHX</t>
  </si>
  <si>
    <t>Atlanta</t>
  </si>
  <si>
    <t>SK-00022</t>
  </si>
  <si>
    <t>SK645</t>
  </si>
  <si>
    <t>SK-00023</t>
  </si>
  <si>
    <t>SK810</t>
  </si>
  <si>
    <t>Seattle</t>
  </si>
  <si>
    <t>SK-00024</t>
  </si>
  <si>
    <t>SK420</t>
  </si>
  <si>
    <t>SK-00025</t>
  </si>
  <si>
    <t>SK241</t>
  </si>
  <si>
    <t>SK-00026</t>
  </si>
  <si>
    <t>SK328</t>
  </si>
  <si>
    <t>SK-00027</t>
  </si>
  <si>
    <t>SK153</t>
  </si>
  <si>
    <t>ord</t>
  </si>
  <si>
    <t>SK-00028</t>
  </si>
  <si>
    <t>SK113</t>
  </si>
  <si>
    <t>SK-00029</t>
  </si>
  <si>
    <t>den</t>
  </si>
  <si>
    <t>Late aircraft</t>
  </si>
  <si>
    <t>SK-00030</t>
  </si>
  <si>
    <t>SK177</t>
  </si>
  <si>
    <t>SK-00031</t>
  </si>
  <si>
    <t>SK809</t>
  </si>
  <si>
    <t>SK-00032</t>
  </si>
  <si>
    <t>SK812</t>
  </si>
  <si>
    <t>SK-00033</t>
  </si>
  <si>
    <t>SK510</t>
  </si>
  <si>
    <t>SK-00034</t>
  </si>
  <si>
    <t>SK898</t>
  </si>
  <si>
    <t>SK-00035</t>
  </si>
  <si>
    <t>SK551</t>
  </si>
  <si>
    <t>SK-00036</t>
  </si>
  <si>
    <t>SK376</t>
  </si>
  <si>
    <t>SK-00037</t>
  </si>
  <si>
    <t>SK782</t>
  </si>
  <si>
    <t>SK-00038</t>
  </si>
  <si>
    <t>SK660</t>
  </si>
  <si>
    <t>SK-00039</t>
  </si>
  <si>
    <t>SK456</t>
  </si>
  <si>
    <t>SK-00040</t>
  </si>
  <si>
    <t>SK508</t>
  </si>
  <si>
    <t>SK-00041</t>
  </si>
  <si>
    <t>SK383</t>
  </si>
  <si>
    <t>atl</t>
  </si>
  <si>
    <t>SK-00042</t>
  </si>
  <si>
    <t>SK408</t>
  </si>
  <si>
    <t xml:space="preserve">LAS </t>
  </si>
  <si>
    <t>SK-00043</t>
  </si>
  <si>
    <t>SK803</t>
  </si>
  <si>
    <t>Weather</t>
  </si>
  <si>
    <t>SK-00044</t>
  </si>
  <si>
    <t>SK427</t>
  </si>
  <si>
    <t>SK-00045</t>
  </si>
  <si>
    <t>SK395</t>
  </si>
  <si>
    <t>SK-00046</t>
  </si>
  <si>
    <t>SK368</t>
  </si>
  <si>
    <t>SK-00047</t>
  </si>
  <si>
    <t>SK652</t>
  </si>
  <si>
    <t>SK-00048</t>
  </si>
  <si>
    <t>SK538</t>
  </si>
  <si>
    <t>SK-00049</t>
  </si>
  <si>
    <t>SK-00050</t>
  </si>
  <si>
    <t>SK401</t>
  </si>
  <si>
    <t>SK-00051</t>
  </si>
  <si>
    <t>SK178</t>
  </si>
  <si>
    <t>SK-00052</t>
  </si>
  <si>
    <t>SK301</t>
  </si>
  <si>
    <t>SK-00053</t>
  </si>
  <si>
    <t>SK159</t>
  </si>
  <si>
    <t>Carrier Delay</t>
  </si>
  <si>
    <t>SK-00054</t>
  </si>
  <si>
    <t>SK377</t>
  </si>
  <si>
    <t>SK-00055</t>
  </si>
  <si>
    <t>SK452</t>
  </si>
  <si>
    <t>SK-00056</t>
  </si>
  <si>
    <t>SK185</t>
  </si>
  <si>
    <t>SK-00057</t>
  </si>
  <si>
    <t>SK639</t>
  </si>
  <si>
    <t>SK-00058</t>
  </si>
  <si>
    <t>SK294</t>
  </si>
  <si>
    <t>SK-00059</t>
  </si>
  <si>
    <t>SK534</t>
  </si>
  <si>
    <t>SK-00060</t>
  </si>
  <si>
    <t>SK405</t>
  </si>
  <si>
    <t>SK-00061</t>
  </si>
  <si>
    <t>SK778</t>
  </si>
  <si>
    <t>SK-00062</t>
  </si>
  <si>
    <t>SK296</t>
  </si>
  <si>
    <t>SK-00063</t>
  </si>
  <si>
    <t>SK138</t>
  </si>
  <si>
    <t>SK-00064</t>
  </si>
  <si>
    <t>SK145</t>
  </si>
  <si>
    <t>SK-00065</t>
  </si>
  <si>
    <t>SK357</t>
  </si>
  <si>
    <t>LateAircraft</t>
  </si>
  <si>
    <t>SK-00066</t>
  </si>
  <si>
    <t>SK387</t>
  </si>
  <si>
    <t>SK-00067</t>
  </si>
  <si>
    <t>SK360</t>
  </si>
  <si>
    <t>SK-00068</t>
  </si>
  <si>
    <t>SK346</t>
  </si>
  <si>
    <t>SK-00069</t>
  </si>
  <si>
    <t>SK340</t>
  </si>
  <si>
    <t>SK-00070</t>
  </si>
  <si>
    <t>SK848</t>
  </si>
  <si>
    <t>SK-00071</t>
  </si>
  <si>
    <t>SK103</t>
  </si>
  <si>
    <t>SK-00072</t>
  </si>
  <si>
    <t>SK505</t>
  </si>
  <si>
    <t>SK-00073</t>
  </si>
  <si>
    <t>SK613</t>
  </si>
  <si>
    <t>SK-00074</t>
  </si>
  <si>
    <t>SK545</t>
  </si>
  <si>
    <t>SK-00075</t>
  </si>
  <si>
    <t>SK659</t>
  </si>
  <si>
    <t>SK-00076</t>
  </si>
  <si>
    <t>SK570</t>
  </si>
  <si>
    <t>New York</t>
  </si>
  <si>
    <t>SK-00077</t>
  </si>
  <si>
    <t>SK167</t>
  </si>
  <si>
    <t>SK-00078</t>
  </si>
  <si>
    <t>SK144</t>
  </si>
  <si>
    <t>Miami</t>
  </si>
  <si>
    <t>SK-00079</t>
  </si>
  <si>
    <t>SK-00080</t>
  </si>
  <si>
    <t>SK871</t>
  </si>
  <si>
    <t>SK-00081</t>
  </si>
  <si>
    <t>SK610</t>
  </si>
  <si>
    <t>SK-00082</t>
  </si>
  <si>
    <t>SK283</t>
  </si>
  <si>
    <t>SK-00083</t>
  </si>
  <si>
    <t>SK628</t>
  </si>
  <si>
    <t>SK-00084</t>
  </si>
  <si>
    <t>SK897</t>
  </si>
  <si>
    <t xml:space="preserve">DEN </t>
  </si>
  <si>
    <t>SK-00085</t>
  </si>
  <si>
    <t>SK343</t>
  </si>
  <si>
    <t>SK-00086</t>
  </si>
  <si>
    <t>SK392</t>
  </si>
  <si>
    <t>SK-00087</t>
  </si>
  <si>
    <t>SK574</t>
  </si>
  <si>
    <t xml:space="preserve">LAX </t>
  </si>
  <si>
    <t>SK-00088</t>
  </si>
  <si>
    <t>SK305</t>
  </si>
  <si>
    <t>SK-00089</t>
  </si>
  <si>
    <t>SK448</t>
  </si>
  <si>
    <t>Denver</t>
  </si>
  <si>
    <t>SK-00090</t>
  </si>
  <si>
    <t>SK148</t>
  </si>
  <si>
    <t>SK-00091</t>
  </si>
  <si>
    <t>SK720</t>
  </si>
  <si>
    <t>SK-00092</t>
  </si>
  <si>
    <t>SK312</t>
  </si>
  <si>
    <t>SK-00093</t>
  </si>
  <si>
    <t>SK119</t>
  </si>
  <si>
    <t>SK-00094</t>
  </si>
  <si>
    <t>SK814</t>
  </si>
  <si>
    <t>SK-00095</t>
  </si>
  <si>
    <t>SK-00096</t>
  </si>
  <si>
    <t>SK820</t>
  </si>
  <si>
    <t>SK-00097</t>
  </si>
  <si>
    <t>SK737</t>
  </si>
  <si>
    <t>SK-00098</t>
  </si>
  <si>
    <t>SK255</t>
  </si>
  <si>
    <t>SK-00099</t>
  </si>
  <si>
    <t>SK150</t>
  </si>
  <si>
    <t>SK-00100</t>
  </si>
  <si>
    <t>SK631</t>
  </si>
  <si>
    <t>SK-00101</t>
  </si>
  <si>
    <t>SK111</t>
  </si>
  <si>
    <t>SK-00102</t>
  </si>
  <si>
    <t>SK702</t>
  </si>
  <si>
    <t>SK-00103</t>
  </si>
  <si>
    <t>SK277</t>
  </si>
  <si>
    <t>Cancelled</t>
  </si>
  <si>
    <t>SK-00104</t>
  </si>
  <si>
    <t>SK744</t>
  </si>
  <si>
    <t>SK-00105</t>
  </si>
  <si>
    <t>SK596</t>
  </si>
  <si>
    <t>SK-00106</t>
  </si>
  <si>
    <t>SK603</t>
  </si>
  <si>
    <t>SK-00107</t>
  </si>
  <si>
    <t>SK742</t>
  </si>
  <si>
    <t>ATC</t>
  </si>
  <si>
    <t>SK-00108</t>
  </si>
  <si>
    <t>SK475</t>
  </si>
  <si>
    <t>SK-00109</t>
  </si>
  <si>
    <t>SK716</t>
  </si>
  <si>
    <t>SK-00110</t>
  </si>
  <si>
    <t>SK583</t>
  </si>
  <si>
    <t>SK-00111</t>
  </si>
  <si>
    <t>SK884</t>
  </si>
  <si>
    <t>SK-00112</t>
  </si>
  <si>
    <t>SK462</t>
  </si>
  <si>
    <t>SK-00113</t>
  </si>
  <si>
    <t>SK442</t>
  </si>
  <si>
    <t>WX</t>
  </si>
  <si>
    <t>SK-00114</t>
  </si>
  <si>
    <t>SK115</t>
  </si>
  <si>
    <t>SK-00115</t>
  </si>
  <si>
    <t>SK163</t>
  </si>
  <si>
    <t>SK-00116</t>
  </si>
  <si>
    <t>SK435</t>
  </si>
  <si>
    <t>SK-00117</t>
  </si>
  <si>
    <t>SK717</t>
  </si>
  <si>
    <t>SK-00118</t>
  </si>
  <si>
    <t>SK762</t>
  </si>
  <si>
    <t>SK-00119</t>
  </si>
  <si>
    <t>SK242</t>
  </si>
  <si>
    <t>SK-00120</t>
  </si>
  <si>
    <t>SK266</t>
  </si>
  <si>
    <t>SK-00121</t>
  </si>
  <si>
    <t>SK237</t>
  </si>
  <si>
    <t>SK-00122</t>
  </si>
  <si>
    <t>SK757</t>
  </si>
  <si>
    <t>SK-00123</t>
  </si>
  <si>
    <t>SK497</t>
  </si>
  <si>
    <t>SK-00124</t>
  </si>
  <si>
    <t>SK162</t>
  </si>
  <si>
    <t>SK-00125</t>
  </si>
  <si>
    <t>SK735</t>
  </si>
  <si>
    <t>SK-00126</t>
  </si>
  <si>
    <t>SK521</t>
  </si>
  <si>
    <t>weather</t>
  </si>
  <si>
    <t>SK-00127</t>
  </si>
  <si>
    <t>SK213</t>
  </si>
  <si>
    <t>SK-00128</t>
  </si>
  <si>
    <t>SK549</t>
  </si>
  <si>
    <t>SK-00129</t>
  </si>
  <si>
    <t>SK748</t>
  </si>
  <si>
    <t>SK-00130</t>
  </si>
  <si>
    <t>SK-00131</t>
  </si>
  <si>
    <t>SK849</t>
  </si>
  <si>
    <t>SK-00132</t>
  </si>
  <si>
    <t>SK112</t>
  </si>
  <si>
    <t>SK-00133</t>
  </si>
  <si>
    <t>SK868</t>
  </si>
  <si>
    <t>SK-00134</t>
  </si>
  <si>
    <t>SK527</t>
  </si>
  <si>
    <t>Security</t>
  </si>
  <si>
    <t>SK-00135</t>
  </si>
  <si>
    <t>SK-00136</t>
  </si>
  <si>
    <t>SK194</t>
  </si>
  <si>
    <t>SK-00137</t>
  </si>
  <si>
    <t>SK349</t>
  </si>
  <si>
    <t xml:space="preserve">BOS </t>
  </si>
  <si>
    <t>SK-00138</t>
  </si>
  <si>
    <t>SK416</t>
  </si>
  <si>
    <t xml:space="preserve">JFK </t>
  </si>
  <si>
    <t>SK-00139</t>
  </si>
  <si>
    <t>SK423</t>
  </si>
  <si>
    <t>SK-00140</t>
  </si>
  <si>
    <t>SK252</t>
  </si>
  <si>
    <t>SK-00141</t>
  </si>
  <si>
    <t>SK670</t>
  </si>
  <si>
    <t>SK-00142</t>
  </si>
  <si>
    <t>SK656</t>
  </si>
  <si>
    <t>SK-00143</t>
  </si>
  <si>
    <t>SK496</t>
  </si>
  <si>
    <t>SK-00144</t>
  </si>
  <si>
    <t>SK787</t>
  </si>
  <si>
    <t>SK-00145</t>
  </si>
  <si>
    <t>SK860</t>
  </si>
  <si>
    <t>SK-00146</t>
  </si>
  <si>
    <t>SK768</t>
  </si>
  <si>
    <t>SK-00147</t>
  </si>
  <si>
    <t>SK304</t>
  </si>
  <si>
    <t>SK-00148</t>
  </si>
  <si>
    <t>SK-00149</t>
  </si>
  <si>
    <t>SK876</t>
  </si>
  <si>
    <t>SK-00150</t>
  </si>
  <si>
    <t>SK535</t>
  </si>
  <si>
    <t>SK-00151</t>
  </si>
  <si>
    <t>SK459</t>
  </si>
  <si>
    <t>SK-00152</t>
  </si>
  <si>
    <t>SK650</t>
  </si>
  <si>
    <t>SK-00153</t>
  </si>
  <si>
    <t>SK649</t>
  </si>
  <si>
    <t>SK-00154</t>
  </si>
  <si>
    <t>SK211</t>
  </si>
  <si>
    <t>SK-00155</t>
  </si>
  <si>
    <t>SK743</t>
  </si>
  <si>
    <t>SK-00156</t>
  </si>
  <si>
    <t>SK589</t>
  </si>
  <si>
    <t>SK-00157</t>
  </si>
  <si>
    <t>SK412</t>
  </si>
  <si>
    <t>SK-00158</t>
  </si>
  <si>
    <t>SK790</t>
  </si>
  <si>
    <t>SK-00159</t>
  </si>
  <si>
    <t>SK563</t>
  </si>
  <si>
    <t>SK-00160</t>
  </si>
  <si>
    <t>SK379</t>
  </si>
  <si>
    <t>SK-00161</t>
  </si>
  <si>
    <t>SK-00162</t>
  </si>
  <si>
    <t>SK358</t>
  </si>
  <si>
    <t>SK-00163</t>
  </si>
  <si>
    <t>SK479</t>
  </si>
  <si>
    <t>SK-00164</t>
  </si>
  <si>
    <t>SK417</t>
  </si>
  <si>
    <t>SK-00165</t>
  </si>
  <si>
    <t>SK-00166</t>
  </si>
  <si>
    <t>SK169</t>
  </si>
  <si>
    <t>SK-00167</t>
  </si>
  <si>
    <t>SK168</t>
  </si>
  <si>
    <t>SK-00168</t>
  </si>
  <si>
    <t>SK564</t>
  </si>
  <si>
    <t>sfo</t>
  </si>
  <si>
    <t>SK-00169</t>
  </si>
  <si>
    <t>SK326</t>
  </si>
  <si>
    <t>SK-00170</t>
  </si>
  <si>
    <t>SK181</t>
  </si>
  <si>
    <t>SK-00171</t>
  </si>
  <si>
    <t>SK-00172</t>
  </si>
  <si>
    <t>SK-00173</t>
  </si>
  <si>
    <t>SK463</t>
  </si>
  <si>
    <t>SK-00174</t>
  </si>
  <si>
    <t>SK-00175</t>
  </si>
  <si>
    <t>SK227</t>
  </si>
  <si>
    <t>SK-00176</t>
  </si>
  <si>
    <t>SK431</t>
  </si>
  <si>
    <t>SK-00177</t>
  </si>
  <si>
    <t>SK-00178</t>
  </si>
  <si>
    <t>SK747</t>
  </si>
  <si>
    <t>SK-00179</t>
  </si>
  <si>
    <t>SK225</t>
  </si>
  <si>
    <t>SK-00180</t>
  </si>
  <si>
    <t>SK385</t>
  </si>
  <si>
    <t>SK-00181</t>
  </si>
  <si>
    <t>SK314</t>
  </si>
  <si>
    <t>SK-00182</t>
  </si>
  <si>
    <t>SK821</t>
  </si>
  <si>
    <t>SK-00183</t>
  </si>
  <si>
    <t>SK352</t>
  </si>
  <si>
    <t>Los Angeles</t>
  </si>
  <si>
    <t>SK-00184</t>
  </si>
  <si>
    <t>SK330</t>
  </si>
  <si>
    <t>SK-00185</t>
  </si>
  <si>
    <t>SK334</t>
  </si>
  <si>
    <t xml:space="preserve">MIA </t>
  </si>
  <si>
    <t>SK-00186</t>
  </si>
  <si>
    <t>SK571</t>
  </si>
  <si>
    <t>SK-00187</t>
  </si>
  <si>
    <t>SK478</t>
  </si>
  <si>
    <t>SK-00188</t>
  </si>
  <si>
    <t>SK512</t>
  </si>
  <si>
    <t>SK-00189</t>
  </si>
  <si>
    <t>SK671</t>
  </si>
  <si>
    <t>SK-00190</t>
  </si>
  <si>
    <t>SK800</t>
  </si>
  <si>
    <t>SK-00191</t>
  </si>
  <si>
    <t>SK663</t>
  </si>
  <si>
    <t>SK-00192</t>
  </si>
  <si>
    <t>SK444</t>
  </si>
  <si>
    <t>SK-00193</t>
  </si>
  <si>
    <t>SK222</t>
  </si>
  <si>
    <t>SK-00194</t>
  </si>
  <si>
    <t>SK494</t>
  </si>
  <si>
    <t>SK-00195</t>
  </si>
  <si>
    <t>SK612</t>
  </si>
  <si>
    <t>SK-00196</t>
  </si>
  <si>
    <t>SK190</t>
  </si>
  <si>
    <t>SK-00197</t>
  </si>
  <si>
    <t>SK795</t>
  </si>
  <si>
    <t>SK-00198</t>
  </si>
  <si>
    <t>SK286</t>
  </si>
  <si>
    <t>SK-00199</t>
  </si>
  <si>
    <t>SK767</t>
  </si>
  <si>
    <t>SK-00200</t>
  </si>
  <si>
    <t>SK249</t>
  </si>
  <si>
    <t>SK-00201</t>
  </si>
  <si>
    <t>SK-00202</t>
  </si>
  <si>
    <t>SK-00203</t>
  </si>
  <si>
    <t>SK120</t>
  </si>
  <si>
    <t>SK-00204</t>
  </si>
  <si>
    <t>SK267</t>
  </si>
  <si>
    <t>SK-00205</t>
  </si>
  <si>
    <t>SK774</t>
  </si>
  <si>
    <t>SK-00206</t>
  </si>
  <si>
    <t>SK443</t>
  </si>
  <si>
    <t>SK-00207</t>
  </si>
  <si>
    <t>SK107</t>
  </si>
  <si>
    <t>SK-00208</t>
  </si>
  <si>
    <t>SK-00209</t>
  </si>
  <si>
    <t>SK502</t>
  </si>
  <si>
    <t>SK-00210</t>
  </si>
  <si>
    <t>SK516</t>
  </si>
  <si>
    <t>SK-00211</t>
  </si>
  <si>
    <t>SK-00212</t>
  </si>
  <si>
    <t>SK792</t>
  </si>
  <si>
    <t>SK-00213</t>
  </si>
  <si>
    <t>SK501</t>
  </si>
  <si>
    <t>SK-00214</t>
  </si>
  <si>
    <t>SK230</t>
  </si>
  <si>
    <t>SK-00215</t>
  </si>
  <si>
    <t>SK114</t>
  </si>
  <si>
    <t>SK-00216</t>
  </si>
  <si>
    <t>SK122</t>
  </si>
  <si>
    <t>Air Traffic Control</t>
  </si>
  <si>
    <t>SK-00217</t>
  </si>
  <si>
    <t>SK240</t>
  </si>
  <si>
    <t>SK-00218</t>
  </si>
  <si>
    <t>SK275</t>
  </si>
  <si>
    <t>SK-00219</t>
  </si>
  <si>
    <t>SK158</t>
  </si>
  <si>
    <t>SK-00220</t>
  </si>
  <si>
    <t>SK116</t>
  </si>
  <si>
    <t>SK-00221</t>
  </si>
  <si>
    <t>SK464</t>
  </si>
  <si>
    <t>SK-00222</t>
  </si>
  <si>
    <t>SK319</t>
  </si>
  <si>
    <t>SK-00223</t>
  </si>
  <si>
    <t>SK-00224</t>
  </si>
  <si>
    <t>SK152</t>
  </si>
  <si>
    <t>SK-00225</t>
  </si>
  <si>
    <t>SK156</t>
  </si>
  <si>
    <t>SK-00226</t>
  </si>
  <si>
    <t>SK293</t>
  </si>
  <si>
    <t>SK-00227</t>
  </si>
  <si>
    <t>SK-00228</t>
  </si>
  <si>
    <t>SK517</t>
  </si>
  <si>
    <t>SK-00229</t>
  </si>
  <si>
    <t>SK777</t>
  </si>
  <si>
    <t>SK-00230</t>
  </si>
  <si>
    <t>SK-00231</t>
  </si>
  <si>
    <t>SK174</t>
  </si>
  <si>
    <t>SK-00232</t>
  </si>
  <si>
    <t>SK786</t>
  </si>
  <si>
    <t>SK-00233</t>
  </si>
  <si>
    <t>SK147</t>
  </si>
  <si>
    <t>SK-00234</t>
  </si>
  <si>
    <t>SK257</t>
  </si>
  <si>
    <t>SK-00235</t>
  </si>
  <si>
    <t>SK485</t>
  </si>
  <si>
    <t>SK-00236</t>
  </si>
  <si>
    <t>SK-00237</t>
  </si>
  <si>
    <t>SK-00238</t>
  </si>
  <si>
    <t>SK-00239</t>
  </si>
  <si>
    <t>SK105</t>
  </si>
  <si>
    <t>SK-00240</t>
  </si>
  <si>
    <t>SK339</t>
  </si>
  <si>
    <t>SK-00241</t>
  </si>
  <si>
    <t>SK825</t>
  </si>
  <si>
    <t>SK-00242</t>
  </si>
  <si>
    <t>SK-00243</t>
  </si>
  <si>
    <t>SK541</t>
  </si>
  <si>
    <t>SK-00244</t>
  </si>
  <si>
    <t>SK498</t>
  </si>
  <si>
    <t>SK-00245</t>
  </si>
  <si>
    <t>SK694</t>
  </si>
  <si>
    <t>SK-00246</t>
  </si>
  <si>
    <t>SK522</t>
  </si>
  <si>
    <t>SK-00247</t>
  </si>
  <si>
    <t>SK176</t>
  </si>
  <si>
    <t>SK-00248</t>
  </si>
  <si>
    <t>SK-00249</t>
  </si>
  <si>
    <t>SK325</t>
  </si>
  <si>
    <t>SK-00250</t>
  </si>
  <si>
    <t>SK-00251</t>
  </si>
  <si>
    <t>SK-00252</t>
  </si>
  <si>
    <t>SK322</t>
  </si>
  <si>
    <t>SK-00253</t>
  </si>
  <si>
    <t>SK465</t>
  </si>
  <si>
    <t>SK-00254</t>
  </si>
  <si>
    <t>SK289</t>
  </si>
  <si>
    <t>SK-00255</t>
  </si>
  <si>
    <t>SK-00256</t>
  </si>
  <si>
    <t>Las Vegas</t>
  </si>
  <si>
    <t>SK-00257</t>
  </si>
  <si>
    <t>SK679</t>
  </si>
  <si>
    <t>SK-00258</t>
  </si>
  <si>
    <t>SK-00259</t>
  </si>
  <si>
    <t>SK-00260</t>
  </si>
  <si>
    <t>SK217</t>
  </si>
  <si>
    <t>SK-00261</t>
  </si>
  <si>
    <t>SK799</t>
  </si>
  <si>
    <t xml:space="preserve">ORD </t>
  </si>
  <si>
    <t>SK-00262</t>
  </si>
  <si>
    <t>SK460</t>
  </si>
  <si>
    <t>SK-00263</t>
  </si>
  <si>
    <t>SK364</t>
  </si>
  <si>
    <t>SK-00264</t>
  </si>
  <si>
    <t>SK-00265</t>
  </si>
  <si>
    <t>SK865</t>
  </si>
  <si>
    <t>SK-00266</t>
  </si>
  <si>
    <t>SK-00267</t>
  </si>
  <si>
    <t>SK203</t>
  </si>
  <si>
    <t>SK-00268</t>
  </si>
  <si>
    <t>SK482</t>
  </si>
  <si>
    <t>SK-00269</t>
  </si>
  <si>
    <t>SK-00270</t>
  </si>
  <si>
    <t>SK214</t>
  </si>
  <si>
    <t>SK-00271</t>
  </si>
  <si>
    <t>SK-00272</t>
  </si>
  <si>
    <t>SK488</t>
  </si>
  <si>
    <t>SK-00273</t>
  </si>
  <si>
    <t>SK672</t>
  </si>
  <si>
    <t>SK-00274</t>
  </si>
  <si>
    <t>SK675</t>
  </si>
  <si>
    <t>SK-00275</t>
  </si>
  <si>
    <t>SK108</t>
  </si>
  <si>
    <t>SK-00276</t>
  </si>
  <si>
    <t>SK651</t>
  </si>
  <si>
    <t>SK-00277</t>
  </si>
  <si>
    <t>SK837</t>
  </si>
  <si>
    <t>SK-00278</t>
  </si>
  <si>
    <t>SK852</t>
  </si>
  <si>
    <t>SK-00279</t>
  </si>
  <si>
    <t>SK432</t>
  </si>
  <si>
    <t>Dallas</t>
  </si>
  <si>
    <t>SK-00280</t>
  </si>
  <si>
    <t>SK-00281</t>
  </si>
  <si>
    <t>dfw</t>
  </si>
  <si>
    <t>SK-00282</t>
  </si>
  <si>
    <t>SK-00283</t>
  </si>
  <si>
    <t>SK761</t>
  </si>
  <si>
    <t>SK-00284</t>
  </si>
  <si>
    <t>SK149</t>
  </si>
  <si>
    <t>SK-00285</t>
  </si>
  <si>
    <t>SK351</t>
  </si>
  <si>
    <t>SK-00286</t>
  </si>
  <si>
    <t>SK259</t>
  </si>
  <si>
    <t>SK-00287</t>
  </si>
  <si>
    <t>SK-00288</t>
  </si>
  <si>
    <t>SK712</t>
  </si>
  <si>
    <t>SK-00289</t>
  </si>
  <si>
    <t>SK329</t>
  </si>
  <si>
    <t>SK-00290</t>
  </si>
  <si>
    <t>SK687</t>
  </si>
  <si>
    <t>SK-00291</t>
  </si>
  <si>
    <t>SK193</t>
  </si>
  <si>
    <t>SK-00292</t>
  </si>
  <si>
    <t>SK879</t>
  </si>
  <si>
    <t>SK-00293</t>
  </si>
  <si>
    <t>SK644</t>
  </si>
  <si>
    <t>SK-00294</t>
  </si>
  <si>
    <t>SK-00295</t>
  </si>
  <si>
    <t>SK381</t>
  </si>
  <si>
    <t>carrier</t>
  </si>
  <si>
    <t>SK-00296</t>
  </si>
  <si>
    <t>SK850</t>
  </si>
  <si>
    <t>SK-00297</t>
  </si>
  <si>
    <t>SK104</t>
  </si>
  <si>
    <t>SK-00298</t>
  </si>
  <si>
    <t>SK-00299</t>
  </si>
  <si>
    <t>SK-00300</t>
  </si>
  <si>
    <t>SK-00301</t>
  </si>
  <si>
    <t>SK345</t>
  </si>
  <si>
    <t>SK-00302</t>
  </si>
  <si>
    <t>SK736</t>
  </si>
  <si>
    <t>phx</t>
  </si>
  <si>
    <t>SK-00303</t>
  </si>
  <si>
    <t>SK251</t>
  </si>
  <si>
    <t>SK-00304</t>
  </si>
  <si>
    <t>SK404</t>
  </si>
  <si>
    <t>SK-00305</t>
  </si>
  <si>
    <t>SK-00306</t>
  </si>
  <si>
    <t>SK-00307</t>
  </si>
  <si>
    <t>SK449</t>
  </si>
  <si>
    <t>SK-00308</t>
  </si>
  <si>
    <t>SK-00309</t>
  </si>
  <si>
    <t>SK-00310</t>
  </si>
  <si>
    <t>SK365</t>
  </si>
  <si>
    <t>SK-00311</t>
  </si>
  <si>
    <t>SK681</t>
  </si>
  <si>
    <t>SK-00312</t>
  </si>
  <si>
    <t>SK258</t>
  </si>
  <si>
    <t>SK-00313</t>
  </si>
  <si>
    <t>SK204</t>
  </si>
  <si>
    <t>SK-00314</t>
  </si>
  <si>
    <t>SK481</t>
  </si>
  <si>
    <t>SK-00315</t>
  </si>
  <si>
    <t>SK166</t>
  </si>
  <si>
    <t>SK-00316</t>
  </si>
  <si>
    <t>SK-00317</t>
  </si>
  <si>
    <t>SK414</t>
  </si>
  <si>
    <t>SK-00318</t>
  </si>
  <si>
    <t>SK458</t>
  </si>
  <si>
    <t>SK-00319</t>
  </si>
  <si>
    <t>SK688</t>
  </si>
  <si>
    <t>SK-00320</t>
  </si>
  <si>
    <t>SK-00321</t>
  </si>
  <si>
    <t>SK-00322</t>
  </si>
  <si>
    <t>SK-00323</t>
  </si>
  <si>
    <t>SK695</t>
  </si>
  <si>
    <t>SK-00324</t>
  </si>
  <si>
    <t>SK805</t>
  </si>
  <si>
    <t>bos</t>
  </si>
  <si>
    <t>SK-00325</t>
  </si>
  <si>
    <t>SK469</t>
  </si>
  <si>
    <t>SK-00326</t>
  </si>
  <si>
    <t>SK461</t>
  </si>
  <si>
    <t>SK-00327</t>
  </si>
  <si>
    <t>SK802</t>
  </si>
  <si>
    <t>SK-00328</t>
  </si>
  <si>
    <t>SK-00329</t>
  </si>
  <si>
    <t>SK543</t>
  </si>
  <si>
    <t>SK-00330</t>
  </si>
  <si>
    <t>SK783</t>
  </si>
  <si>
    <t>SK-00331</t>
  </si>
  <si>
    <t>SK-00332</t>
  </si>
  <si>
    <t>SK-00333</t>
  </si>
  <si>
    <t>SK-00334</t>
  </si>
  <si>
    <t>SK738</t>
  </si>
  <si>
    <t>SK-00335</t>
  </si>
  <si>
    <t>SK344</t>
  </si>
  <si>
    <t>SK-00336</t>
  </si>
  <si>
    <t>SK269</t>
  </si>
  <si>
    <t>SK-00337</t>
  </si>
  <si>
    <t>SK760</t>
  </si>
  <si>
    <t>SK-00338</t>
  </si>
  <si>
    <t>SK-00339</t>
  </si>
  <si>
    <t>SK-00340</t>
  </si>
  <si>
    <t>SK677</t>
  </si>
  <si>
    <t>SK-00341</t>
  </si>
  <si>
    <t>SK380</t>
  </si>
  <si>
    <t>sea</t>
  </si>
  <si>
    <t>SK-00342</t>
  </si>
  <si>
    <t>SK772</t>
  </si>
  <si>
    <t>SK-00343</t>
  </si>
  <si>
    <t>SK642</t>
  </si>
  <si>
    <t>SK-00344</t>
  </si>
  <si>
    <t>SK-00345</t>
  </si>
  <si>
    <t>SK885</t>
  </si>
  <si>
    <t>SK-00346</t>
  </si>
  <si>
    <t>SK-00347</t>
  </si>
  <si>
    <t>SK531</t>
  </si>
  <si>
    <t>SK-00348</t>
  </si>
  <si>
    <t>SK-00349</t>
  </si>
  <si>
    <t>SK-00350</t>
  </si>
  <si>
    <t>SK-00351</t>
  </si>
  <si>
    <t>SK845</t>
  </si>
  <si>
    <t>SK-00352</t>
  </si>
  <si>
    <t>SK131</t>
  </si>
  <si>
    <t>SK-00353</t>
  </si>
  <si>
    <t>SK398</t>
  </si>
  <si>
    <t>SK-00354</t>
  </si>
  <si>
    <t>SK851</t>
  </si>
  <si>
    <t>SK-00355</t>
  </si>
  <si>
    <t>SK-00356</t>
  </si>
  <si>
    <t>SK229</t>
  </si>
  <si>
    <t>SK-00357</t>
  </si>
  <si>
    <t>SK773</t>
  </si>
  <si>
    <t>SK-00358</t>
  </si>
  <si>
    <t>SK236</t>
  </si>
  <si>
    <t>SK-00359</t>
  </si>
  <si>
    <t>SK-00360</t>
  </si>
  <si>
    <t>SK424</t>
  </si>
  <si>
    <t>SK-00361</t>
  </si>
  <si>
    <t>SK887</t>
  </si>
  <si>
    <t>SK-00362</t>
  </si>
  <si>
    <t>SK-00363</t>
  </si>
  <si>
    <t>SK-00364</t>
  </si>
  <si>
    <t>SK665</t>
  </si>
  <si>
    <t>SK-00365</t>
  </si>
  <si>
    <t>SK806</t>
  </si>
  <si>
    <t>SK-00366</t>
  </si>
  <si>
    <t>SK-00367</t>
  </si>
  <si>
    <t>SK359</t>
  </si>
  <si>
    <t>SK-00368</t>
  </si>
  <si>
    <t>SK-00369</t>
  </si>
  <si>
    <t>SK335</t>
  </si>
  <si>
    <t>SK-00370</t>
  </si>
  <si>
    <t>SK429</t>
  </si>
  <si>
    <t>SK-00371</t>
  </si>
  <si>
    <t>SK-00372</t>
  </si>
  <si>
    <t>SK-00373</t>
  </si>
  <si>
    <t>SK393</t>
  </si>
  <si>
    <t>SK-00374</t>
  </si>
  <si>
    <t>SK601</t>
  </si>
  <si>
    <t>SK-00375</t>
  </si>
  <si>
    <t>SK441</t>
  </si>
  <si>
    <t>SK-00376</t>
  </si>
  <si>
    <t>SK861</t>
  </si>
  <si>
    <t>SK-00377</t>
  </si>
  <si>
    <t>SK653</t>
  </si>
  <si>
    <t>SK-00378</t>
  </si>
  <si>
    <t>SK623</t>
  </si>
  <si>
    <t>SK-00379</t>
  </si>
  <si>
    <t>SK350</t>
  </si>
  <si>
    <t>SK-00380</t>
  </si>
  <si>
    <t>SK733</t>
  </si>
  <si>
    <t>SK-00381</t>
  </si>
  <si>
    <t>SK-00382</t>
  </si>
  <si>
    <t>SK-00383</t>
  </si>
  <si>
    <t>SK881</t>
  </si>
  <si>
    <t>SK-00384</t>
  </si>
  <si>
    <t>SK827</t>
  </si>
  <si>
    <t>SK-00385</t>
  </si>
  <si>
    <t>SK824</t>
  </si>
  <si>
    <t>SK-00386</t>
  </si>
  <si>
    <t>SK495</t>
  </si>
  <si>
    <t>SK-00387</t>
  </si>
  <si>
    <t>SK-00388</t>
  </si>
  <si>
    <t>SK291</t>
  </si>
  <si>
    <t>SK-00389</t>
  </si>
  <si>
    <t>SK-00390</t>
  </si>
  <si>
    <t>SK558</t>
  </si>
  <si>
    <t>SK-00391</t>
  </si>
  <si>
    <t>SK136</t>
  </si>
  <si>
    <t>SK-00392</t>
  </si>
  <si>
    <t>SK859</t>
  </si>
  <si>
    <t>SK-00393</t>
  </si>
  <si>
    <t>SK715</t>
  </si>
  <si>
    <t>SK-00394</t>
  </si>
  <si>
    <t>SK-00395</t>
  </si>
  <si>
    <t>SK725</t>
  </si>
  <si>
    <t>SK-00396</t>
  </si>
  <si>
    <t>SK839</t>
  </si>
  <si>
    <t>SK-00397</t>
  </si>
  <si>
    <t>SK302</t>
  </si>
  <si>
    <t>SK-00398</t>
  </si>
  <si>
    <t>SK484</t>
  </si>
  <si>
    <t>SK-00399</t>
  </si>
  <si>
    <t>SK-00400</t>
  </si>
  <si>
    <t>SK270</t>
  </si>
  <si>
    <t>SK-00401</t>
  </si>
  <si>
    <t>SK308</t>
  </si>
  <si>
    <t>SK-00402</t>
  </si>
  <si>
    <t>SK-00403</t>
  </si>
  <si>
    <t>SK232</t>
  </si>
  <si>
    <t>SK-00404</t>
  </si>
  <si>
    <t>SK341</t>
  </si>
  <si>
    <t>SK-00405</t>
  </si>
  <si>
    <t>SK-00406</t>
  </si>
  <si>
    <t>SK600</t>
  </si>
  <si>
    <t>SK-00407</t>
  </si>
  <si>
    <t>lax</t>
  </si>
  <si>
    <t>SK-00408</t>
  </si>
  <si>
    <t>SK-00409</t>
  </si>
  <si>
    <t>SK-00410</t>
  </si>
  <si>
    <t>SK-00411</t>
  </si>
  <si>
    <t>SK-00412</t>
  </si>
  <si>
    <t>SK419</t>
  </si>
  <si>
    <t>SK-00413</t>
  </si>
  <si>
    <t>SK-00414</t>
  </si>
  <si>
    <t>SK196</t>
  </si>
  <si>
    <t>SK-00415</t>
  </si>
  <si>
    <t>SK100</t>
  </si>
  <si>
    <t>SK-00416</t>
  </si>
  <si>
    <t>SK247</t>
  </si>
  <si>
    <t>SK-00417</t>
  </si>
  <si>
    <t>SK626</t>
  </si>
  <si>
    <t>SK-00418</t>
  </si>
  <si>
    <t>SK831</t>
  </si>
  <si>
    <t>SK-00419</t>
  </si>
  <si>
    <t>SK-00420</t>
  </si>
  <si>
    <t>SK-00421</t>
  </si>
  <si>
    <t>SK841</t>
  </si>
  <si>
    <t>SK-00422</t>
  </si>
  <si>
    <t>SK386</t>
  </si>
  <si>
    <t>SK-00423</t>
  </si>
  <si>
    <t>SK503</t>
  </si>
  <si>
    <t>SK-00424</t>
  </si>
  <si>
    <t>SK151</t>
  </si>
  <si>
    <t>SK-00425</t>
  </si>
  <si>
    <t>SK591</t>
  </si>
  <si>
    <t>SK-00426</t>
  </si>
  <si>
    <t>SK766</t>
  </si>
  <si>
    <t>SK-00427</t>
  </si>
  <si>
    <t>SK332</t>
  </si>
  <si>
    <t>SK-00428</t>
  </si>
  <si>
    <t>SK673</t>
  </si>
  <si>
    <t>SK-00429</t>
  </si>
  <si>
    <t>SK457</t>
  </si>
  <si>
    <t>SK-00430</t>
  </si>
  <si>
    <t>SK500</t>
  </si>
  <si>
    <t>SK-00431</t>
  </si>
  <si>
    <t>SK789</t>
  </si>
  <si>
    <t>SK-00432</t>
  </si>
  <si>
    <t>SK262</t>
  </si>
  <si>
    <t>SK-00433</t>
  </si>
  <si>
    <t>SK171</t>
  </si>
  <si>
    <t>SK-00434</t>
  </si>
  <si>
    <t>SK195</t>
  </si>
  <si>
    <t>SK-00435</t>
  </si>
  <si>
    <t>SK264</t>
  </si>
  <si>
    <t>SK-00436</t>
  </si>
  <si>
    <t>SK559</t>
  </si>
  <si>
    <t>SK-00437</t>
  </si>
  <si>
    <t>SK528</t>
  </si>
  <si>
    <t>SK-00438</t>
  </si>
  <si>
    <t>SK-00439</t>
  </si>
  <si>
    <t>SK741</t>
  </si>
  <si>
    <t>SK-00440</t>
  </si>
  <si>
    <t>SK602</t>
  </si>
  <si>
    <t>SK-00441</t>
  </si>
  <si>
    <t>SK674</t>
  </si>
  <si>
    <t>SK-00442</t>
  </si>
  <si>
    <t>SK199</t>
  </si>
  <si>
    <t>SK-00443</t>
  </si>
  <si>
    <t>SK-00444</t>
  </si>
  <si>
    <t>SK590</t>
  </si>
  <si>
    <t>SK-00445</t>
  </si>
  <si>
    <t>SK-00446</t>
  </si>
  <si>
    <t>SK557</t>
  </si>
  <si>
    <t>SK-00447</t>
  </si>
  <si>
    <t>SK-00448</t>
  </si>
  <si>
    <t>SK451</t>
  </si>
  <si>
    <t>SK-00449</t>
  </si>
  <si>
    <t>SK-00450</t>
  </si>
  <si>
    <t>SK-00451</t>
  </si>
  <si>
    <t>SK445</t>
  </si>
  <si>
    <t>SK-00452</t>
  </si>
  <si>
    <t>SK391</t>
  </si>
  <si>
    <t>SK-00453</t>
  </si>
  <si>
    <t>SK586</t>
  </si>
  <si>
    <t>SK-00454</t>
  </si>
  <si>
    <t>SK-00455</t>
  </si>
  <si>
    <t>SK-00456</t>
  </si>
  <si>
    <t>SK279</t>
  </si>
  <si>
    <t>SK-00457</t>
  </si>
  <si>
    <t>SK268</t>
  </si>
  <si>
    <t>SK-00458</t>
  </si>
  <si>
    <t>SK170</t>
  </si>
  <si>
    <t>SK-00459</t>
  </si>
  <si>
    <t>SK-00460</t>
  </si>
  <si>
    <t>SK311</t>
  </si>
  <si>
    <t>SK-00461</t>
  </si>
  <si>
    <t>SK-00462</t>
  </si>
  <si>
    <t>SK867</t>
  </si>
  <si>
    <t>SK-00463</t>
  </si>
  <si>
    <t>SK796</t>
  </si>
  <si>
    <t>SK-00464</t>
  </si>
  <si>
    <t>SK633</t>
  </si>
  <si>
    <t>SK-00465</t>
  </si>
  <si>
    <t>SK680</t>
  </si>
  <si>
    <t>SK-00466</t>
  </si>
  <si>
    <t>SK-00467</t>
  </si>
  <si>
    <t>SK101</t>
  </si>
  <si>
    <t>SK-00468</t>
  </si>
  <si>
    <t>SK-00469</t>
  </si>
  <si>
    <t>SK593</t>
  </si>
  <si>
    <t>SK-00470</t>
  </si>
  <si>
    <t>SK109</t>
  </si>
  <si>
    <t>SK-00471</t>
  </si>
  <si>
    <t>SK487</t>
  </si>
  <si>
    <t>SK-00472</t>
  </si>
  <si>
    <t>SK630</t>
  </si>
  <si>
    <t>SK-00473</t>
  </si>
  <si>
    <t>SK804</t>
  </si>
  <si>
    <t>SK-00474</t>
  </si>
  <si>
    <t>SK-00475</t>
  </si>
  <si>
    <t>SK524</t>
  </si>
  <si>
    <t>SK-00476</t>
  </si>
  <si>
    <t>SK221</t>
  </si>
  <si>
    <t>SK-00477</t>
  </si>
  <si>
    <t>SK400</t>
  </si>
  <si>
    <t>SK-00478</t>
  </si>
  <si>
    <t>SK-00479</t>
  </si>
  <si>
    <t>SK141</t>
  </si>
  <si>
    <t>SK-00480</t>
  </si>
  <si>
    <t>SK568</t>
  </si>
  <si>
    <t>SK-00481</t>
  </si>
  <si>
    <t>SK811</t>
  </si>
  <si>
    <t>SK-00482</t>
  </si>
  <si>
    <t>SK654</t>
  </si>
  <si>
    <t>SK-00483</t>
  </si>
  <si>
    <t>SK466</t>
  </si>
  <si>
    <t>SK-00484</t>
  </si>
  <si>
    <t>SK-00485</t>
  </si>
  <si>
    <t>las</t>
  </si>
  <si>
    <t>SK-00486</t>
  </si>
  <si>
    <t>SK819</t>
  </si>
  <si>
    <t>SK-00487</t>
  </si>
  <si>
    <t>SK-00488</t>
  </si>
  <si>
    <t>SK261</t>
  </si>
  <si>
    <t>SK-00489</t>
  </si>
  <si>
    <t>SK-00490</t>
  </si>
  <si>
    <t>SK-00491</t>
  </si>
  <si>
    <t>SK-00492</t>
  </si>
  <si>
    <t>SK378</t>
  </si>
  <si>
    <t>SK-00493</t>
  </si>
  <si>
    <t>SK-00494</t>
  </si>
  <si>
    <t>SK-00495</t>
  </si>
  <si>
    <t>SK-00496</t>
  </si>
  <si>
    <t>SK409</t>
  </si>
  <si>
    <t>SK-00497</t>
  </si>
  <si>
    <t>SK-00498</t>
  </si>
  <si>
    <t>SK756</t>
  </si>
  <si>
    <t>SK-00499</t>
  </si>
  <si>
    <t>SK243</t>
  </si>
  <si>
    <t>SK-00500</t>
  </si>
  <si>
    <t>SK894</t>
  </si>
  <si>
    <t>SK-00501</t>
  </si>
  <si>
    <t>SK-00502</t>
  </si>
  <si>
    <t>SK697</t>
  </si>
  <si>
    <t>SK-00503</t>
  </si>
  <si>
    <t>SK784</t>
  </si>
  <si>
    <t>SK-00504</t>
  </si>
  <si>
    <t>SK553</t>
  </si>
  <si>
    <t>SK-00505</t>
  </si>
  <si>
    <t>SK662</t>
  </si>
  <si>
    <t>SK-00506</t>
  </si>
  <si>
    <t>SK285</t>
  </si>
  <si>
    <t>SK-00507</t>
  </si>
  <si>
    <t>SK215</t>
  </si>
  <si>
    <t>SK-00508</t>
  </si>
  <si>
    <t>SK-00509</t>
  </si>
  <si>
    <t>SK705</t>
  </si>
  <si>
    <t>SK-00510</t>
  </si>
  <si>
    <t>SK-00511</t>
  </si>
  <si>
    <t>SK891</t>
  </si>
  <si>
    <t>SK-00512</t>
  </si>
  <si>
    <t>SK763</t>
  </si>
  <si>
    <t>SK-00513</t>
  </si>
  <si>
    <t>SK-00514</t>
  </si>
  <si>
    <t>SK282</t>
  </si>
  <si>
    <t>SK-00515</t>
  </si>
  <si>
    <t>SK664</t>
  </si>
  <si>
    <t>SK-00516</t>
  </si>
  <si>
    <t>SK-00517</t>
  </si>
  <si>
    <t>SK609</t>
  </si>
  <si>
    <t>SK-00518</t>
  </si>
  <si>
    <t>SK-00519</t>
  </si>
  <si>
    <t>SK525</t>
  </si>
  <si>
    <t>SK-00520</t>
  </si>
  <si>
    <t>SK617</t>
  </si>
  <si>
    <t>SK-00521</t>
  </si>
  <si>
    <t>SK338</t>
  </si>
  <si>
    <t>SK-00522</t>
  </si>
  <si>
    <t>SK278</t>
  </si>
  <si>
    <t>SK-00523</t>
  </si>
  <si>
    <t>SK-00524</t>
  </si>
  <si>
    <t>SK298</t>
  </si>
  <si>
    <t>SK-00525</t>
  </si>
  <si>
    <t>SK183</t>
  </si>
  <si>
    <t>SK-00526</t>
  </si>
  <si>
    <t>SK-00527</t>
  </si>
  <si>
    <t>SK-00528</t>
  </si>
  <si>
    <t>SK-00529</t>
  </si>
  <si>
    <t>SK668</t>
  </si>
  <si>
    <t>SK-00530</t>
  </si>
  <si>
    <t>SK394</t>
  </si>
  <si>
    <t>SK-00531</t>
  </si>
  <si>
    <t>SK708</t>
  </si>
  <si>
    <t>SK-00532</t>
  </si>
  <si>
    <t>SK-00533</t>
  </si>
  <si>
    <t>SK146</t>
  </si>
  <si>
    <t>SK-00534</t>
  </si>
  <si>
    <t>SK523</t>
  </si>
  <si>
    <t>Air traffic control</t>
  </si>
  <si>
    <t>SK-00535</t>
  </si>
  <si>
    <t>SK-00536</t>
  </si>
  <si>
    <t>SK-00537</t>
  </si>
  <si>
    <t>SK321</t>
  </si>
  <si>
    <t>SK-00538</t>
  </si>
  <si>
    <t>SK-00539</t>
  </si>
  <si>
    <t>SK123</t>
  </si>
  <si>
    <t>SK-00540</t>
  </si>
  <si>
    <t>SK-00541</t>
  </si>
  <si>
    <t>SK-00542</t>
  </si>
  <si>
    <t>SK855</t>
  </si>
  <si>
    <t>SK-00543</t>
  </si>
  <si>
    <t>SK490</t>
  </si>
  <si>
    <t>SK-00544</t>
  </si>
  <si>
    <t>SK540</t>
  </si>
  <si>
    <t>SK-00545</t>
  </si>
  <si>
    <t>SK533</t>
  </si>
  <si>
    <t>SK-00546</t>
  </si>
  <si>
    <t>SK-00547</t>
  </si>
  <si>
    <t>SK815</t>
  </si>
  <si>
    <t>SK-00548</t>
  </si>
  <si>
    <t>SK698</t>
  </si>
  <si>
    <t>SK-00549</t>
  </si>
  <si>
    <t>SK569</t>
  </si>
  <si>
    <t>SK-00550</t>
  </si>
  <si>
    <t>SK250</t>
  </si>
  <si>
    <t>SK-00551</t>
  </si>
  <si>
    <t>SK-00552</t>
  </si>
  <si>
    <t>SK492</t>
  </si>
  <si>
    <t>SK-00553</t>
  </si>
  <si>
    <t>SK-00554</t>
  </si>
  <si>
    <t>SK422</t>
  </si>
  <si>
    <t>SK-00555</t>
  </si>
  <si>
    <t>SK-00556</t>
  </si>
  <si>
    <t>SK-00557</t>
  </si>
  <si>
    <t>SK-00558</t>
  </si>
  <si>
    <t>SK-00559</t>
  </si>
  <si>
    <t>SK632</t>
  </si>
  <si>
    <t>SK-00560</t>
  </si>
  <si>
    <t>SK323</t>
  </si>
  <si>
    <t>SK-00561</t>
  </si>
  <si>
    <t>SK507</t>
  </si>
  <si>
    <t>SK-00562</t>
  </si>
  <si>
    <t>SK234</t>
  </si>
  <si>
    <t>SK-00563</t>
  </si>
  <si>
    <t>SK-00564</t>
  </si>
  <si>
    <t>SK-00565</t>
  </si>
  <si>
    <t>SK-00566</t>
  </si>
  <si>
    <t>SK-00567</t>
  </si>
  <si>
    <t>SK-00568</t>
  </si>
  <si>
    <t>SK-00569</t>
  </si>
  <si>
    <t>SK-00570</t>
  </si>
  <si>
    <t>SK290</t>
  </si>
  <si>
    <t>SK-00571</t>
  </si>
  <si>
    <t>SK134</t>
  </si>
  <si>
    <t>SK-00572</t>
  </si>
  <si>
    <t>SK272</t>
  </si>
  <si>
    <t>SK-00573</t>
  </si>
  <si>
    <t>SK374</t>
  </si>
  <si>
    <t>SK-00574</t>
  </si>
  <si>
    <t>SK770</t>
  </si>
  <si>
    <t>SK-00575</t>
  </si>
  <si>
    <t>SK-00576</t>
  </si>
  <si>
    <t>SK-00577</t>
  </si>
  <si>
    <t>SK-00578</t>
  </si>
  <si>
    <t>SK-00579</t>
  </si>
  <si>
    <t>SK-00580</t>
  </si>
  <si>
    <t>SK-00581</t>
  </si>
  <si>
    <t>SK880</t>
  </si>
  <si>
    <t>SK-00582</t>
  </si>
  <si>
    <t>SK846</t>
  </si>
  <si>
    <t>SK-00583</t>
  </si>
  <si>
    <t>SK246</t>
  </si>
  <si>
    <t>SK-00584</t>
  </si>
  <si>
    <t>SK207</t>
  </si>
  <si>
    <t>SK-00585</t>
  </si>
  <si>
    <t>SK-00586</t>
  </si>
  <si>
    <t>SK798</t>
  </si>
  <si>
    <t>SK-00587</t>
  </si>
  <si>
    <t>SK-00588</t>
  </si>
  <si>
    <t>SK605</t>
  </si>
  <si>
    <t>SK-00589</t>
  </si>
  <si>
    <t>SK-00590</t>
  </si>
  <si>
    <t>SK-00591</t>
  </si>
  <si>
    <t>SK562</t>
  </si>
  <si>
    <t>SK-00592</t>
  </si>
  <si>
    <t>SK-00593</t>
  </si>
  <si>
    <t>SK-00594</t>
  </si>
  <si>
    <t>SK-00595</t>
  </si>
  <si>
    <t>SK297</t>
  </si>
  <si>
    <t>SK-00596</t>
  </si>
  <si>
    <t>SK-00597</t>
  </si>
  <si>
    <t>SK693</t>
  </si>
  <si>
    <t>SK-00598</t>
  </si>
  <si>
    <t>SK856</t>
  </si>
  <si>
    <t>SK-00599</t>
  </si>
  <si>
    <t>SK-00600</t>
  </si>
  <si>
    <t>SK655</t>
  </si>
  <si>
    <t>SK-00601</t>
  </si>
  <si>
    <t>SK370</t>
  </si>
  <si>
    <t>SK-00602</t>
  </si>
  <si>
    <t>SK-00603</t>
  </si>
  <si>
    <t>SK585</t>
  </si>
  <si>
    <t>SK-00604</t>
  </si>
  <si>
    <t>SK683</t>
  </si>
  <si>
    <t xml:space="preserve">PHX </t>
  </si>
  <si>
    <t>SK-00605</t>
  </si>
  <si>
    <t>SK-00606</t>
  </si>
  <si>
    <t>SK191</t>
  </si>
  <si>
    <t>SK-00607</t>
  </si>
  <si>
    <t>SK863</t>
  </si>
  <si>
    <t>SK-00608</t>
  </si>
  <si>
    <t>SK-00609</t>
  </si>
  <si>
    <t>SK-00610</t>
  </si>
  <si>
    <t>SK-00611</t>
  </si>
  <si>
    <t>SK-00612</t>
  </si>
  <si>
    <t>SK793</t>
  </si>
  <si>
    <t>SK-00613</t>
  </si>
  <si>
    <t>SK-00614</t>
  </si>
  <si>
    <t>SK-00615</t>
  </si>
  <si>
    <t>SK-00616</t>
  </si>
  <si>
    <t>SK779</t>
  </si>
  <si>
    <t>SK-00617</t>
  </si>
  <si>
    <t>SK274</t>
  </si>
  <si>
    <t>SK-00618</t>
  </si>
  <si>
    <t>SK-00619</t>
  </si>
  <si>
    <t>SK271</t>
  </si>
  <si>
    <t>SK-00620</t>
  </si>
  <si>
    <t>SK-00621</t>
  </si>
  <si>
    <t>SK471</t>
  </si>
  <si>
    <t>SK-00622</t>
  </si>
  <si>
    <t>SK184</t>
  </si>
  <si>
    <t>SK-00623</t>
  </si>
  <si>
    <t>SK-00624</t>
  </si>
  <si>
    <t>SK-00625</t>
  </si>
  <si>
    <t>SK-00626</t>
  </si>
  <si>
    <t>SK198</t>
  </si>
  <si>
    <t>SK-00627</t>
  </si>
  <si>
    <t>SK-00628</t>
  </si>
  <si>
    <t>SK-00629</t>
  </si>
  <si>
    <t>SK154</t>
  </si>
  <si>
    <t>SK-00630</t>
  </si>
  <si>
    <t>SK-00631</t>
  </si>
  <si>
    <t>SK-00632</t>
  </si>
  <si>
    <t>SK-00633</t>
  </si>
  <si>
    <t>SK-00634</t>
  </si>
  <si>
    <t>SK840</t>
  </si>
  <si>
    <t>SK-00635</t>
  </si>
  <si>
    <t>SK-00636</t>
  </si>
  <si>
    <t>SK-00637</t>
  </si>
  <si>
    <t>Phoenix</t>
  </si>
  <si>
    <t>SK-00638</t>
  </si>
  <si>
    <t>SK483</t>
  </si>
  <si>
    <t>SK-00639</t>
  </si>
  <si>
    <t>SK640</t>
  </si>
  <si>
    <t>SK-00640</t>
  </si>
  <si>
    <t>SK-00641</t>
  </si>
  <si>
    <t>SK769</t>
  </si>
  <si>
    <t>SK-00642</t>
  </si>
  <si>
    <t>SK-00643</t>
  </si>
  <si>
    <t>SK-00644</t>
  </si>
  <si>
    <t>SK-00645</t>
  </si>
  <si>
    <t>SK480</t>
  </si>
  <si>
    <t>SK-00646</t>
  </si>
  <si>
    <t>SK592</t>
  </si>
  <si>
    <t>SK-00647</t>
  </si>
  <si>
    <t>SK-00648</t>
  </si>
  <si>
    <t>SK711</t>
  </si>
  <si>
    <t>SK-00649</t>
  </si>
  <si>
    <t>SK-00650</t>
  </si>
  <si>
    <t>SK-00651</t>
  </si>
  <si>
    <t>SK-00652</t>
  </si>
  <si>
    <t>SK781</t>
  </si>
  <si>
    <t>SK-00653</t>
  </si>
  <si>
    <t>SK866</t>
  </si>
  <si>
    <t>SK-00654</t>
  </si>
  <si>
    <t>SK-00655</t>
  </si>
  <si>
    <t>SK-00656</t>
  </si>
  <si>
    <t>SK-00657</t>
  </si>
  <si>
    <t>SK-00658</t>
  </si>
  <si>
    <t>SK318</t>
  </si>
  <si>
    <t>SK-00659</t>
  </si>
  <si>
    <t>SK-00660</t>
  </si>
  <si>
    <t>SK-00661</t>
  </si>
  <si>
    <t>SK-00662</t>
  </si>
  <si>
    <t>SK-00663</t>
  </si>
  <si>
    <t>SK678</t>
  </si>
  <si>
    <t>SK-00664</t>
  </si>
  <si>
    <t>SK-00665</t>
  </si>
  <si>
    <t>SK373</t>
  </si>
  <si>
    <t>SK-00666</t>
  </si>
  <si>
    <t>SK118</t>
  </si>
  <si>
    <t>SK-00667</t>
  </si>
  <si>
    <t>SK751</t>
  </si>
  <si>
    <t>SK-00668</t>
  </si>
  <si>
    <t>SK-00669</t>
  </si>
  <si>
    <t>SK689</t>
  </si>
  <si>
    <t>SK-00670</t>
  </si>
  <si>
    <t>SK511</t>
  </si>
  <si>
    <t>SK-00671</t>
  </si>
  <si>
    <t>SK-00672</t>
  </si>
  <si>
    <t>SK-00673</t>
  </si>
  <si>
    <t>SK755</t>
  </si>
  <si>
    <t>SK-00674</t>
  </si>
  <si>
    <t>SK518</t>
  </si>
  <si>
    <t>SK-00675</t>
  </si>
  <si>
    <t>SK-00676</t>
  </si>
  <si>
    <t>SK-00677</t>
  </si>
  <si>
    <t>SK411</t>
  </si>
  <si>
    <t>SK-00678</t>
  </si>
  <si>
    <t>SK388</t>
  </si>
  <si>
    <t>SK-00679</t>
  </si>
  <si>
    <t>SK421</t>
  </si>
  <si>
    <t>SK-00680</t>
  </si>
  <si>
    <t>SK-00681</t>
  </si>
  <si>
    <t>SK-00682</t>
  </si>
  <si>
    <t>SK740</t>
  </si>
  <si>
    <t>SK-00683</t>
  </si>
  <si>
    <t>SK-00684</t>
  </si>
  <si>
    <t>SK-00685</t>
  </si>
  <si>
    <t>SK-00686</t>
  </si>
  <si>
    <t>SK155</t>
  </si>
  <si>
    <t>SK-00687</t>
  </si>
  <si>
    <t>SK-00688</t>
  </si>
  <si>
    <t>SK-00689</t>
  </si>
  <si>
    <t>SK-00690</t>
  </si>
  <si>
    <t>SK-00691</t>
  </si>
  <si>
    <t>SK-00692</t>
  </si>
  <si>
    <t>SK-00693</t>
  </si>
  <si>
    <t>SK317</t>
  </si>
  <si>
    <t>SK-00694</t>
  </si>
  <si>
    <t>SK239</t>
  </si>
  <si>
    <t>SK-00695</t>
  </si>
  <si>
    <t>SK-00696</t>
  </si>
  <si>
    <t>SK-00697</t>
  </si>
  <si>
    <t>SK-00698</t>
  </si>
  <si>
    <t>SK486</t>
  </si>
  <si>
    <t>SK-00699</t>
  </si>
  <si>
    <t>SK724</t>
  </si>
  <si>
    <t>SK-00700</t>
  </si>
  <si>
    <t>SK710</t>
  </si>
  <si>
    <t>SK-00701</t>
  </si>
  <si>
    <t>SK-00702</t>
  </si>
  <si>
    <t>SK-00703</t>
  </si>
  <si>
    <t>SK-00704</t>
  </si>
  <si>
    <t>SK-00705</t>
  </si>
  <si>
    <t>SK-00706</t>
  </si>
  <si>
    <t>SK-00707</t>
  </si>
  <si>
    <t>SK-00708</t>
  </si>
  <si>
    <t>SK-00709</t>
  </si>
  <si>
    <t>SK-00710</t>
  </si>
  <si>
    <t>SK254</t>
  </si>
  <si>
    <t>SK-00711</t>
  </si>
  <si>
    <t>SK548</t>
  </si>
  <si>
    <t>SK-00712</t>
  </si>
  <si>
    <t>SK-00713</t>
  </si>
  <si>
    <t>SK-00714</t>
  </si>
  <si>
    <t>SK560</t>
  </si>
  <si>
    <t>SK-00715</t>
  </si>
  <si>
    <t>SK-00716</t>
  </si>
  <si>
    <t>SK-00717</t>
  </si>
  <si>
    <t>SK-00718</t>
  </si>
  <si>
    <t>SK801</t>
  </si>
  <si>
    <t>SK-00719</t>
  </si>
  <si>
    <t>SK403</t>
  </si>
  <si>
    <t>SK-00720</t>
  </si>
  <si>
    <t>SK607</t>
  </si>
  <si>
    <t>SK-00721</t>
  </si>
  <si>
    <t>SK-00722</t>
  </si>
  <si>
    <t>SK-00723</t>
  </si>
  <si>
    <t>SK-00724</t>
  </si>
  <si>
    <t>SK-00725</t>
  </si>
  <si>
    <t>SK-00726</t>
  </si>
  <si>
    <t>SK579</t>
  </si>
  <si>
    <t>San Francisco</t>
  </si>
  <si>
    <t>SK-00727</t>
  </si>
  <si>
    <t>SK-00728</t>
  </si>
  <si>
    <t>SK-00729</t>
  </si>
  <si>
    <t>SK474</t>
  </si>
  <si>
    <t>SK-00730</t>
  </si>
  <si>
    <t>SK165</t>
  </si>
  <si>
    <t>SK-00731</t>
  </si>
  <si>
    <t>SK-00732</t>
  </si>
  <si>
    <t>SK719</t>
  </si>
  <si>
    <t>SK-00733</t>
  </si>
  <si>
    <t>SK-00734</t>
  </si>
  <si>
    <t>SK309</t>
  </si>
  <si>
    <t>SK-00735</t>
  </si>
  <si>
    <t>SK-00736</t>
  </si>
  <si>
    <t>SK-00737</t>
  </si>
  <si>
    <t>SK389</t>
  </si>
  <si>
    <t>SK-00738</t>
  </si>
  <si>
    <t>SK842</t>
  </si>
  <si>
    <t>SK-00739</t>
  </si>
  <si>
    <t>SK164</t>
  </si>
  <si>
    <t>SK-00740</t>
  </si>
  <si>
    <t>SK-00741</t>
  </si>
  <si>
    <t>SK-00742</t>
  </si>
  <si>
    <t>SK-00743</t>
  </si>
  <si>
    <t>SK-00744</t>
  </si>
  <si>
    <t>SK-00745</t>
  </si>
  <si>
    <t>SK-00746</t>
  </si>
  <si>
    <t>SK450</t>
  </si>
  <si>
    <t>SK-00747</t>
  </si>
  <si>
    <t>SK892</t>
  </si>
  <si>
    <t>SK-00748</t>
  </si>
  <si>
    <t>SK-00749</t>
  </si>
  <si>
    <t>SK-00750</t>
  </si>
  <si>
    <t>SK657</t>
  </si>
  <si>
    <t>SK-00751</t>
  </si>
  <si>
    <t>SK-00752</t>
  </si>
  <si>
    <t>SK616</t>
  </si>
  <si>
    <t>SK-00753</t>
  </si>
  <si>
    <t>SK197</t>
  </si>
  <si>
    <t>SK-00754</t>
  </si>
  <si>
    <t>SK581</t>
  </si>
  <si>
    <t>SK-00755</t>
  </si>
  <si>
    <t>SK-00756</t>
  </si>
  <si>
    <t>SK-00757</t>
  </si>
  <si>
    <t>SK-00758</t>
  </si>
  <si>
    <t>SK745</t>
  </si>
  <si>
    <t>SK-00759</t>
  </si>
  <si>
    <t>SK472</t>
  </si>
  <si>
    <t>SK-00760</t>
  </si>
  <si>
    <t>SK-00761</t>
  </si>
  <si>
    <t>SK-00762</t>
  </si>
  <si>
    <t>SK547</t>
  </si>
  <si>
    <t>SK-00763</t>
  </si>
  <si>
    <t>SK749</t>
  </si>
  <si>
    <t>SK-00764</t>
  </si>
  <si>
    <t>SK128</t>
  </si>
  <si>
    <t>SK-00765</t>
  </si>
  <si>
    <t>SK-00766</t>
  </si>
  <si>
    <t>SK-00767</t>
  </si>
  <si>
    <t>SK473</t>
  </si>
  <si>
    <t>SK-00768</t>
  </si>
  <si>
    <t>SK276</t>
  </si>
  <si>
    <t>SK-00769</t>
  </si>
  <si>
    <t>SK307</t>
  </si>
  <si>
    <t>SK-00770</t>
  </si>
  <si>
    <t>SK396</t>
  </si>
  <si>
    <t>SK-00771</t>
  </si>
  <si>
    <t>SK-00772</t>
  </si>
  <si>
    <t>SK-00773</t>
  </si>
  <si>
    <t>SK-00774</t>
  </si>
  <si>
    <t>SK127</t>
  </si>
  <si>
    <t>SK-00775</t>
  </si>
  <si>
    <t>SK-00776</t>
  </si>
  <si>
    <t>SK331</t>
  </si>
  <si>
    <t>SK-00777</t>
  </si>
  <si>
    <t>SK316</t>
  </si>
  <si>
    <t>mia</t>
  </si>
  <si>
    <t>SK-00778</t>
  </si>
  <si>
    <t>SK205</t>
  </si>
  <si>
    <t>SK-00779</t>
  </si>
  <si>
    <t>SK604</t>
  </si>
  <si>
    <t>SK-00780</t>
  </si>
  <si>
    <t>SK-00781</t>
  </si>
  <si>
    <t>SK-00782</t>
  </si>
  <si>
    <t>SK555</t>
  </si>
  <si>
    <t>SK-00783</t>
  </si>
  <si>
    <t>SK-00784</t>
  </si>
  <si>
    <t>SK-00785</t>
  </si>
  <si>
    <t>SK-00786</t>
  </si>
  <si>
    <t>SK-00787</t>
  </si>
  <si>
    <t>SK126</t>
  </si>
  <si>
    <t>SK-00788</t>
  </si>
  <si>
    <t>SK-00789</t>
  </si>
  <si>
    <t>SK-00790</t>
  </si>
  <si>
    <t>SK-00791</t>
  </si>
  <si>
    <t>SK-00792</t>
  </si>
  <si>
    <t>SK-00793</t>
  </si>
  <si>
    <t>SK-00794</t>
  </si>
  <si>
    <t>SK-00795</t>
  </si>
  <si>
    <t>SK731</t>
  </si>
  <si>
    <t>SK-00796</t>
  </si>
  <si>
    <t>SK-00797</t>
  </si>
  <si>
    <t>SK-00798</t>
  </si>
  <si>
    <t>SK-00799</t>
  </si>
  <si>
    <t>SK615</t>
  </si>
  <si>
    <t>SK-00800</t>
  </si>
  <si>
    <t>SK537</t>
  </si>
  <si>
    <t>SK-00801</t>
  </si>
  <si>
    <t>SK-00802</t>
  </si>
  <si>
    <t>SK-00803</t>
  </si>
  <si>
    <t>SK-00804</t>
  </si>
  <si>
    <t>SK-00805</t>
  </si>
  <si>
    <t>SK-00806</t>
  </si>
  <si>
    <t>SK-00807</t>
  </si>
  <si>
    <t>SK361</t>
  </si>
  <si>
    <t>SK-00808</t>
  </si>
  <si>
    <t>SK-00809</t>
  </si>
  <si>
    <t>SK-00810</t>
  </si>
  <si>
    <t>SK-00811</t>
  </si>
  <si>
    <t>SK-00812</t>
  </si>
  <si>
    <t>SK-00813</t>
  </si>
  <si>
    <t>SK-00814</t>
  </si>
  <si>
    <t>SK-00815</t>
  </si>
  <si>
    <t>SK-00816</t>
  </si>
  <si>
    <t>SK244</t>
  </si>
  <si>
    <t>SK-00817</t>
  </si>
  <si>
    <t>SK-00818</t>
  </si>
  <si>
    <t>SK-00819</t>
  </si>
  <si>
    <t>SK-00820</t>
  </si>
  <si>
    <t>SK-00821</t>
  </si>
  <si>
    <t>SK-00822</t>
  </si>
  <si>
    <t>SK287</t>
  </si>
  <si>
    <t>SK-00823</t>
  </si>
  <si>
    <t>SK-00824</t>
  </si>
  <si>
    <t>SK-00825</t>
  </si>
  <si>
    <t>SK-00826</t>
  </si>
  <si>
    <t>SK-00827</t>
  </si>
  <si>
    <t>SK-00828</t>
  </si>
  <si>
    <t>SK356</t>
  </si>
  <si>
    <t>SK-00829</t>
  </si>
  <si>
    <t>SK102</t>
  </si>
  <si>
    <t>SK-00830</t>
  </si>
  <si>
    <t>SK-00831</t>
  </si>
  <si>
    <t>SK730</t>
  </si>
  <si>
    <t>SK-00832</t>
  </si>
  <si>
    <t>SK-00833</t>
  </si>
  <si>
    <t>SK706</t>
  </si>
  <si>
    <t>SK-00834</t>
  </si>
  <si>
    <t>SK-00835</t>
  </si>
  <si>
    <t>SK-00836</t>
  </si>
  <si>
    <t>SK-00837</t>
  </si>
  <si>
    <t>SK874</t>
  </si>
  <si>
    <t>SK-00838</t>
  </si>
  <si>
    <t>SK-00839</t>
  </si>
  <si>
    <t>SK-00840</t>
  </si>
  <si>
    <t>SK192</t>
  </si>
  <si>
    <t>SK-00841</t>
  </si>
  <si>
    <t>SK-00842</t>
  </si>
  <si>
    <t>SK348</t>
  </si>
  <si>
    <t>SK-00843</t>
  </si>
  <si>
    <t>SK-00844</t>
  </si>
  <si>
    <t>SK489</t>
  </si>
  <si>
    <t>SK-00845</t>
  </si>
  <si>
    <t>SK-00846</t>
  </si>
  <si>
    <t>SK888</t>
  </si>
  <si>
    <t>SK-00847</t>
  </si>
  <si>
    <t>SK832</t>
  </si>
  <si>
    <t>SK-00848</t>
  </si>
  <si>
    <t>SK-00849</t>
  </si>
  <si>
    <t>SK-00850</t>
  </si>
  <si>
    <t>SK-00851</t>
  </si>
  <si>
    <t>SK-00852</t>
  </si>
  <si>
    <t>SK542</t>
  </si>
  <si>
    <t>SK-00853</t>
  </si>
  <si>
    <t>SK-00854</t>
  </si>
  <si>
    <t>SK-00855</t>
  </si>
  <si>
    <t>SK-00856</t>
  </si>
  <si>
    <t>SK-00857</t>
  </si>
  <si>
    <t>SK-00858</t>
  </si>
  <si>
    <t>SK-00859</t>
  </si>
  <si>
    <t>SK-00860</t>
  </si>
  <si>
    <t>SK256</t>
  </si>
  <si>
    <t>SK-00861</t>
  </si>
  <si>
    <t>SK-00862</t>
  </si>
  <si>
    <t>SK-00863</t>
  </si>
  <si>
    <t>SK299</t>
  </si>
  <si>
    <t>SK-00864</t>
  </si>
  <si>
    <t>SK625</t>
  </si>
  <si>
    <t>SK-00865</t>
  </si>
  <si>
    <t>SK-00866</t>
  </si>
  <si>
    <t>SK-00867</t>
  </si>
  <si>
    <t>SK648</t>
  </si>
  <si>
    <t>SK-00868</t>
  </si>
  <si>
    <t>SK303</t>
  </si>
  <si>
    <t>SK-00869</t>
  </si>
  <si>
    <t>SK-00870</t>
  </si>
  <si>
    <t>SK-00871</t>
  </si>
  <si>
    <t>SK-00872</t>
  </si>
  <si>
    <t>SK-00873</t>
  </si>
  <si>
    <t>SK-00874</t>
  </si>
  <si>
    <t>SK-00875</t>
  </si>
  <si>
    <t>SK-00876</t>
  </si>
  <si>
    <t>SK437</t>
  </si>
  <si>
    <t>SK-00877</t>
  </si>
  <si>
    <t>SK-00878</t>
  </si>
  <si>
    <t>SK-00879</t>
  </si>
  <si>
    <t>SK-00880</t>
  </si>
  <si>
    <t>SK265</t>
  </si>
  <si>
    <t>SK-00881</t>
  </si>
  <si>
    <t>SK-00882</t>
  </si>
  <si>
    <t>SK-00883</t>
  </si>
  <si>
    <t>SK-00884</t>
  </si>
  <si>
    <t>SK-00885</t>
  </si>
  <si>
    <t>SK-00886</t>
  </si>
  <si>
    <t>SK-00887</t>
  </si>
  <si>
    <t>SK-00888</t>
  </si>
  <si>
    <t>SK-00889</t>
  </si>
  <si>
    <t>SK-00890</t>
  </si>
  <si>
    <t>SK-00891</t>
  </si>
  <si>
    <t>SK-00892</t>
  </si>
  <si>
    <t>SK-00893</t>
  </si>
  <si>
    <t>SK-00894</t>
  </si>
  <si>
    <t>SK306</t>
  </si>
  <si>
    <t>SK-00895</t>
  </si>
  <si>
    <t>SK-00896</t>
  </si>
  <si>
    <t>SK238</t>
  </si>
  <si>
    <t>SK-00897</t>
  </si>
  <si>
    <t>SK-00898</t>
  </si>
  <si>
    <t>SK515</t>
  </si>
  <si>
    <t>SK-00899</t>
  </si>
  <si>
    <t>SK746</t>
  </si>
  <si>
    <t>SK-00900</t>
  </si>
  <si>
    <t>SK-00901</t>
  </si>
  <si>
    <t>SK-00902</t>
  </si>
  <si>
    <t>SK-00903</t>
  </si>
  <si>
    <t>SK864</t>
  </si>
  <si>
    <t>SK-00904</t>
  </si>
  <si>
    <t>SK-00905</t>
  </si>
  <si>
    <t>SK-00906</t>
  </si>
  <si>
    <t>SK-00907</t>
  </si>
  <si>
    <t>SK410</t>
  </si>
  <si>
    <t>SK-00908</t>
  </si>
  <si>
    <t>SK-00909</t>
  </si>
  <si>
    <t>SK-00910</t>
  </si>
  <si>
    <t>SK-00911</t>
  </si>
  <si>
    <t>SK-00912</t>
  </si>
  <si>
    <t>SK-00913</t>
  </si>
  <si>
    <t>SK121</t>
  </si>
  <si>
    <t>SK-00914</t>
  </si>
  <si>
    <t>SK280</t>
  </si>
  <si>
    <t>SK-00915</t>
  </si>
  <si>
    <t>SK284</t>
  </si>
  <si>
    <t>SK-00916</t>
  </si>
  <si>
    <t>Boston</t>
  </si>
  <si>
    <t>SK-00917</t>
  </si>
  <si>
    <t>SK281</t>
  </si>
  <si>
    <t>SK-00918</t>
  </si>
  <si>
    <t>SK-00919</t>
  </si>
  <si>
    <t>SK666</t>
  </si>
  <si>
    <t>SK-00920</t>
  </si>
  <si>
    <t>SK-00921</t>
  </si>
  <si>
    <t>SK253</t>
  </si>
  <si>
    <t>SK-00922</t>
  </si>
  <si>
    <t>SK-00923</t>
  </si>
  <si>
    <t>SK248</t>
  </si>
  <si>
    <t>SK-00924</t>
  </si>
  <si>
    <t>SK520</t>
  </si>
  <si>
    <t>SK-00925</t>
  </si>
  <si>
    <t>SK-00926</t>
  </si>
  <si>
    <t>SK-00927</t>
  </si>
  <si>
    <t>SK-00928</t>
  </si>
  <si>
    <t>SK-00929</t>
  </si>
  <si>
    <t>SK-00930</t>
  </si>
  <si>
    <t>SK882</t>
  </si>
  <si>
    <t>SK-00931</t>
  </si>
  <si>
    <t>SK-00932</t>
  </si>
  <si>
    <t>SK-00933</t>
  </si>
  <si>
    <t>SK-00934</t>
  </si>
  <si>
    <t>SK-00935</t>
  </si>
  <si>
    <t>SK453</t>
  </si>
  <si>
    <t>SK-00936</t>
  </si>
  <si>
    <t>SK-00937</t>
  </si>
  <si>
    <t>SK-00938</t>
  </si>
  <si>
    <t>SK-00939</t>
  </si>
  <si>
    <t>SK477</t>
  </si>
  <si>
    <t>SK-00940</t>
  </si>
  <si>
    <t>SK-00941</t>
  </si>
  <si>
    <t>SK-00942</t>
  </si>
  <si>
    <t>SK-00943</t>
  </si>
  <si>
    <t>SK324</t>
  </si>
  <si>
    <t>SK-00944</t>
  </si>
  <si>
    <t>SK-00945</t>
  </si>
  <si>
    <t>SK-00946</t>
  </si>
  <si>
    <t>SK599</t>
  </si>
  <si>
    <t>SK-00947</t>
  </si>
  <si>
    <t>SK124</t>
  </si>
  <si>
    <t>SK-00948</t>
  </si>
  <si>
    <t>SK-00949</t>
  </si>
  <si>
    <t>SK-00950</t>
  </si>
  <si>
    <t>SK-00951</t>
  </si>
  <si>
    <t>SK-00952</t>
  </si>
  <si>
    <t>SK-00953</t>
  </si>
  <si>
    <t>SK816</t>
  </si>
  <si>
    <t>SK-00954</t>
  </si>
  <si>
    <t>SK-00955</t>
  </si>
  <si>
    <t>SK854</t>
  </si>
  <si>
    <t>SK-00956</t>
  </si>
  <si>
    <t>SK-00957</t>
  </si>
  <si>
    <t xml:space="preserve">SFO </t>
  </si>
  <si>
    <t>SK-00958</t>
  </si>
  <si>
    <t>SK870</t>
  </si>
  <si>
    <t>SK-00959</t>
  </si>
  <si>
    <t>SK-00960</t>
  </si>
  <si>
    <t>SK-00961</t>
  </si>
  <si>
    <t>SK224</t>
  </si>
  <si>
    <t>SK-00962</t>
  </si>
  <si>
    <t>SK-00963</t>
  </si>
  <si>
    <t>SK220</t>
  </si>
  <si>
    <t>SK-00964</t>
  </si>
  <si>
    <t>SK-00965</t>
  </si>
  <si>
    <t>SK433</t>
  </si>
  <si>
    <t>SK-00966</t>
  </si>
  <si>
    <t>SK-00967</t>
  </si>
  <si>
    <t>SK-00968</t>
  </si>
  <si>
    <t>SK-00969</t>
  </si>
  <si>
    <t>SK-00970</t>
  </si>
  <si>
    <t>SK-00971</t>
  </si>
  <si>
    <t>SK-00972</t>
  </si>
  <si>
    <t>SK-00973</t>
  </si>
  <si>
    <t>SK-00974</t>
  </si>
  <si>
    <t>SK-00975</t>
  </si>
  <si>
    <t>SK-00976</t>
  </si>
  <si>
    <t>SK-00977</t>
  </si>
  <si>
    <t>SK-00978</t>
  </si>
  <si>
    <t>SK-00979</t>
  </si>
  <si>
    <t>SK-00980</t>
  </si>
  <si>
    <t>SK-00981</t>
  </si>
  <si>
    <t>SK-00982</t>
  </si>
  <si>
    <t>SK-00983</t>
  </si>
  <si>
    <t>SK-00984</t>
  </si>
  <si>
    <t>SK-00985</t>
  </si>
  <si>
    <t>SK-00986</t>
  </si>
  <si>
    <t>SK808</t>
  </si>
  <si>
    <t>SK-00987</t>
  </si>
  <si>
    <t>SK-00988</t>
  </si>
  <si>
    <t>SK-00989</t>
  </si>
  <si>
    <t>SK-00990</t>
  </si>
  <si>
    <t>SK-00991</t>
  </si>
  <si>
    <t>SK-00992</t>
  </si>
  <si>
    <t>SK-00993</t>
  </si>
  <si>
    <t>SK-00994</t>
  </si>
  <si>
    <t>SK-00995</t>
  </si>
  <si>
    <t>SK-00996</t>
  </si>
  <si>
    <t>SK-00997</t>
  </si>
  <si>
    <t>SK-00998</t>
  </si>
  <si>
    <t>SK-00999</t>
  </si>
  <si>
    <t>SK-01000</t>
  </si>
  <si>
    <t>Month Name</t>
  </si>
  <si>
    <t>Day Name</t>
  </si>
  <si>
    <t>OnTime</t>
  </si>
  <si>
    <t>TimeOfDay</t>
  </si>
  <si>
    <t>Controllable</t>
  </si>
  <si>
    <t>September</t>
  </si>
  <si>
    <t>Monday</t>
  </si>
  <si>
    <t>Morning</t>
  </si>
  <si>
    <t>Tuesday</t>
  </si>
  <si>
    <t>Wednesday</t>
  </si>
  <si>
    <t>Afternoon</t>
  </si>
  <si>
    <t>Thursday</t>
  </si>
  <si>
    <t>Evening</t>
  </si>
  <si>
    <t>Friday</t>
  </si>
  <si>
    <t>Saturday</t>
  </si>
  <si>
    <t>Sunday</t>
  </si>
  <si>
    <t>Night</t>
  </si>
  <si>
    <t>Less controllable</t>
  </si>
  <si>
    <t>October</t>
  </si>
  <si>
    <t>November</t>
  </si>
  <si>
    <t>December</t>
  </si>
  <si>
    <t>January</t>
  </si>
  <si>
    <t>February</t>
  </si>
  <si>
    <t>March</t>
  </si>
  <si>
    <t>April</t>
  </si>
  <si>
    <t>May</t>
  </si>
  <si>
    <t>June</t>
  </si>
  <si>
    <t>July</t>
  </si>
  <si>
    <t>August</t>
  </si>
  <si>
    <t>Column1</t>
  </si>
  <si>
    <t>Row Labels</t>
  </si>
  <si>
    <t>Grand Total</t>
  </si>
  <si>
    <t>Count of FlightNumber</t>
  </si>
  <si>
    <t>Sum of ArrivalDelayMin</t>
  </si>
  <si>
    <t>Average of OnTime</t>
  </si>
  <si>
    <t>Average of ArrivalDelayMin</t>
  </si>
  <si>
    <t>2025</t>
  </si>
  <si>
    <t>Sep</t>
  </si>
  <si>
    <t>Oct</t>
  </si>
  <si>
    <t>Nov</t>
  </si>
  <si>
    <t>2026</t>
  </si>
  <si>
    <t>Jan</t>
  </si>
  <si>
    <t>Feb</t>
  </si>
  <si>
    <t>Apr</t>
  </si>
  <si>
    <t>Jun</t>
  </si>
  <si>
    <t>Jul</t>
  </si>
  <si>
    <t>Aug</t>
  </si>
  <si>
    <t>Column Labels</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</si>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</sst>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dd/yyyy"/>
    <numFmt numFmtId="165" formatCode="hh:mm"/>
    <numFmt numFmtId="166" formatCode="0.0%"/>
    <numFmt numFmtId="174" formatCode="0.0"/>
  </numFmts>
  <fonts count="5" x14ac:knownFonts="1">
    <font>
      <sz val="11"/>
      <color theme="1"/>
      <name val="Calibri"/>
      <family val="2"/>
      <scheme val="minor"/>
    </font>
    <font>
      <b/>
      <sz val="10"/>
      <color rgb="FFFFFFFF"/>
      <name val="Calibri"/>
      <family val="2"/>
      <scheme val="minor"/>
    </font>
    <font>
      <sz val="10"/>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3" tint="0.79998168889431442"/>
        <bgColor rgb="FF1E2761"/>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27">
    <xf numFmtId="0" fontId="0" fillId="0" borderId="0" xfId="0"/>
    <xf numFmtId="0" fontId="2" fillId="0" borderId="0" xfId="0" applyFont="1"/>
    <xf numFmtId="164" fontId="2" fillId="0" borderId="0" xfId="0" applyNumberFormat="1" applyFont="1"/>
    <xf numFmtId="165" fontId="2" fillId="0" borderId="0" xfId="0" applyNumberFormat="1" applyFont="1"/>
    <xf numFmtId="0" fontId="1" fillId="2" borderId="0" xfId="0" applyFont="1" applyFill="1" applyAlignment="1">
      <alignment horizontal="center" vertical="center"/>
    </xf>
    <xf numFmtId="0" fontId="0" fillId="0" borderId="0" xfId="0" applyNumberFormat="1"/>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6" fontId="0" fillId="0" borderId="0" xfId="0" applyNumberFormat="1"/>
    <xf numFmtId="14" fontId="0" fillId="0" borderId="0" xfId="0" applyNumberFormat="1"/>
    <xf numFmtId="174" fontId="0" fillId="0" borderId="0" xfId="0" applyNumberFormat="1"/>
    <xf numFmtId="22" fontId="0" fillId="0" borderId="0" xfId="0" applyNumberFormat="1" applyAlignment="1">
      <alignment horizontal="left"/>
    </xf>
    <xf numFmtId="9" fontId="0" fillId="0" borderId="0" xfId="0" applyNumberFormat="1"/>
    <xf numFmtId="10" fontId="0" fillId="0" borderId="0" xfId="0" applyNumberFormat="1"/>
    <xf numFmtId="9" fontId="0" fillId="0" borderId="0" xfId="1" applyFont="1"/>
    <xf numFmtId="166" fontId="0" fillId="0" borderId="0" xfId="1" applyNumberFormat="1" applyFont="1"/>
    <xf numFmtId="1" fontId="0" fillId="0" borderId="0" xfId="0" applyNumberFormat="1"/>
  </cellXfs>
  <cellStyles count="2">
    <cellStyle name="Normal" xfId="0" builtinId="0"/>
    <cellStyle name="Percent" xfId="1" builtinId="5"/>
  </cellStyles>
  <dxfs count="223">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66" formatCode="0.0%"/>
    </dxf>
    <dxf>
      <numFmt numFmtId="0" formatCode="General"/>
    </dxf>
    <dxf>
      <numFmt numFmtId="166" formatCode="0.0%"/>
    </dxf>
    <dxf>
      <numFmt numFmtId="13" formatCode="0%"/>
    </dxf>
    <dxf>
      <numFmt numFmtId="0" formatCode="General"/>
    </dxf>
    <dxf>
      <numFmt numFmtId="166" formatCode="0.0%"/>
    </dxf>
    <dxf>
      <numFmt numFmtId="0" formatCode="General"/>
    </dxf>
    <dxf>
      <numFmt numFmtId="14" formatCode="0.00%"/>
    </dxf>
    <dxf>
      <numFmt numFmtId="13" formatCode="0%"/>
    </dxf>
    <dxf>
      <numFmt numFmtId="13" formatCode="0%"/>
    </dxf>
    <dxf>
      <numFmt numFmtId="13" formatCode="0%"/>
    </dxf>
    <dxf>
      <numFmt numFmtId="13" formatCode="0%"/>
    </dxf>
    <dxf>
      <numFmt numFmtId="19" formatCode="m/d/yyyy"/>
    </dxf>
    <dxf>
      <numFmt numFmtId="174" formatCode="0.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165" formatCode="hh:mm"/>
    </dxf>
    <dxf>
      <font>
        <b val="0"/>
        <i val="0"/>
        <strike val="0"/>
        <condense val="0"/>
        <extend val="0"/>
        <outline val="0"/>
        <shadow val="0"/>
        <u val="none"/>
        <vertAlign val="baseline"/>
        <sz val="10"/>
        <color auto="1"/>
        <name val="Calibri"/>
        <family val="2"/>
        <scheme val="minor"/>
      </font>
      <numFmt numFmtId="165" formatCode="hh:mm"/>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164" formatCode="mm/dd/yyyy"/>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i val="0"/>
        <strike val="0"/>
        <condense val="0"/>
        <extend val="0"/>
        <outline val="0"/>
        <shadow val="0"/>
        <u val="none"/>
        <vertAlign val="baseline"/>
        <sz val="10"/>
        <color rgb="FFFFFFFF"/>
        <name val="Calibri"/>
        <family val="2"/>
        <scheme val="minor"/>
      </font>
      <fill>
        <patternFill patternType="solid">
          <fgColor rgb="FF1E2761"/>
          <bgColor theme="3" tint="0.79998168889431442"/>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s>
  <tableStyles count="1" defaultTableStyle="TableStyleMedium9" defaultPivotStyle="PivotStyleLight16">
    <tableStyle name="Invisible" pivot="0" table="0" count="0" xr9:uid="{41AF3338-31C0-4651-AA77-BF2B9499EE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5184352360662"/>
          <c:y val="0.19531059909090873"/>
          <c:w val="0.70070528902706875"/>
          <c:h val="0.67373406245858614"/>
        </c:manualLayout>
      </c:layout>
      <c:lineChart>
        <c:grouping val="standard"/>
        <c:varyColors val="0"/>
        <c:ser>
          <c:idx val="0"/>
          <c:order val="0"/>
          <c:tx>
            <c:strRef>
              <c:f>'PIVOT TABLES'!$B$7:$B$8</c:f>
              <c:strCache>
                <c:ptCount val="1"/>
                <c:pt idx="0">
                  <c:v>2025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TABLES'!$A$9:$A$19</c:f>
              <c:strCache>
                <c:ptCount val="10"/>
                <c:pt idx="0">
                  <c:v>Jan</c:v>
                </c:pt>
                <c:pt idx="1">
                  <c:v>Feb</c:v>
                </c:pt>
                <c:pt idx="2">
                  <c:v>Apr</c:v>
                </c:pt>
                <c:pt idx="3">
                  <c:v>May</c:v>
                </c:pt>
                <c:pt idx="4">
                  <c:v>Jun</c:v>
                </c:pt>
                <c:pt idx="5">
                  <c:v>Jul</c:v>
                </c:pt>
                <c:pt idx="6">
                  <c:v>Aug</c:v>
                </c:pt>
                <c:pt idx="7">
                  <c:v>Sep</c:v>
                </c:pt>
                <c:pt idx="8">
                  <c:v>Oct</c:v>
                </c:pt>
                <c:pt idx="9">
                  <c:v>Nov</c:v>
                </c:pt>
              </c:strCache>
            </c:strRef>
          </c:cat>
          <c:val>
            <c:numRef>
              <c:f>'PIVOT TABLES'!$B$9:$B$19</c:f>
              <c:numCache>
                <c:formatCode>0%</c:formatCode>
                <c:ptCount val="10"/>
                <c:pt idx="7">
                  <c:v>0</c:v>
                </c:pt>
                <c:pt idx="8">
                  <c:v>0</c:v>
                </c:pt>
                <c:pt idx="9">
                  <c:v>1</c:v>
                </c:pt>
              </c:numCache>
            </c:numRef>
          </c:val>
          <c:smooth val="0"/>
          <c:extLst>
            <c:ext xmlns:c16="http://schemas.microsoft.com/office/drawing/2014/chart" uri="{C3380CC4-5D6E-409C-BE32-E72D297353CC}">
              <c16:uniqueId val="{00000000-AB98-4EDE-AB46-5E7501EB7F1A}"/>
            </c:ext>
          </c:extLst>
        </c:ser>
        <c:ser>
          <c:idx val="1"/>
          <c:order val="1"/>
          <c:tx>
            <c:strRef>
              <c:f>'PIVOT TABLES'!$C$7:$C$8</c:f>
              <c:strCache>
                <c:ptCount val="1"/>
                <c:pt idx="0">
                  <c:v>2026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TABLES'!$A$9:$A$19</c:f>
              <c:strCache>
                <c:ptCount val="10"/>
                <c:pt idx="0">
                  <c:v>Jan</c:v>
                </c:pt>
                <c:pt idx="1">
                  <c:v>Feb</c:v>
                </c:pt>
                <c:pt idx="2">
                  <c:v>Apr</c:v>
                </c:pt>
                <c:pt idx="3">
                  <c:v>May</c:v>
                </c:pt>
                <c:pt idx="4">
                  <c:v>Jun</c:v>
                </c:pt>
                <c:pt idx="5">
                  <c:v>Jul</c:v>
                </c:pt>
                <c:pt idx="6">
                  <c:v>Aug</c:v>
                </c:pt>
                <c:pt idx="7">
                  <c:v>Sep</c:v>
                </c:pt>
                <c:pt idx="8">
                  <c:v>Oct</c:v>
                </c:pt>
                <c:pt idx="9">
                  <c:v>Nov</c:v>
                </c:pt>
              </c:strCache>
            </c:strRef>
          </c:cat>
          <c:val>
            <c:numRef>
              <c:f>'PIVOT TABLES'!$C$9:$C$19</c:f>
              <c:numCache>
                <c:formatCode>0%</c:formatCode>
                <c:ptCount val="10"/>
                <c:pt idx="0">
                  <c:v>0</c:v>
                </c:pt>
                <c:pt idx="1">
                  <c:v>0</c:v>
                </c:pt>
                <c:pt idx="2">
                  <c:v>1</c:v>
                </c:pt>
                <c:pt idx="4">
                  <c:v>0.5</c:v>
                </c:pt>
                <c:pt idx="5">
                  <c:v>0</c:v>
                </c:pt>
                <c:pt idx="6">
                  <c:v>0</c:v>
                </c:pt>
              </c:numCache>
            </c:numRef>
          </c:val>
          <c:smooth val="0"/>
          <c:extLst>
            <c:ext xmlns:c16="http://schemas.microsoft.com/office/drawing/2014/chart" uri="{C3380CC4-5D6E-409C-BE32-E72D297353CC}">
              <c16:uniqueId val="{00000003-AB98-4EDE-AB46-5E7501EB7F1A}"/>
            </c:ext>
          </c:extLst>
        </c:ser>
        <c:dLbls>
          <c:dLblPos val="t"/>
          <c:showLegendKey val="0"/>
          <c:showVal val="0"/>
          <c:showCatName val="0"/>
          <c:showSerName val="0"/>
          <c:showPercent val="0"/>
          <c:showBubbleSize val="0"/>
        </c:dLbls>
        <c:marker val="1"/>
        <c:smooth val="0"/>
        <c:axId val="110792416"/>
        <c:axId val="110803648"/>
      </c:lineChart>
      <c:catAx>
        <c:axId val="11079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803648"/>
        <c:crosses val="autoZero"/>
        <c:auto val="1"/>
        <c:lblAlgn val="ctr"/>
        <c:lblOffset val="100"/>
        <c:noMultiLvlLbl val="0"/>
      </c:catAx>
      <c:valAx>
        <c:axId val="1108036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9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Airports by On-time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6171365079498"/>
          <c:y val="0.20569454206566284"/>
          <c:w val="0.8208008738776863"/>
          <c:h val="0.72592709701797908"/>
        </c:manualLayout>
      </c:layout>
      <c:barChart>
        <c:barDir val="bar"/>
        <c:grouping val="clustered"/>
        <c:varyColors val="0"/>
        <c:ser>
          <c:idx val="0"/>
          <c:order val="0"/>
          <c:tx>
            <c:strRef>
              <c:f>'PIVOT TABLES'!$I$7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TABLES'!$H$8:$H$9</c:f>
              <c:strCache>
                <c:ptCount val="1"/>
                <c:pt idx="0">
                  <c:v>Atlanta</c:v>
                </c:pt>
              </c:strCache>
            </c:strRef>
          </c:cat>
          <c:val>
            <c:numRef>
              <c:f>'PIVOT TABLES'!$I$8:$I$9</c:f>
              <c:numCache>
                <c:formatCode>0.0%</c:formatCode>
                <c:ptCount val="1"/>
                <c:pt idx="0">
                  <c:v>0.41666666666666669</c:v>
                </c:pt>
              </c:numCache>
            </c:numRef>
          </c:val>
          <c:extLst>
            <c:ext xmlns:c16="http://schemas.microsoft.com/office/drawing/2014/chart" uri="{C3380CC4-5D6E-409C-BE32-E72D297353CC}">
              <c16:uniqueId val="{00000000-4341-488B-A378-61BE75D6C03C}"/>
            </c:ext>
          </c:extLst>
        </c:ser>
        <c:dLbls>
          <c:showLegendKey val="0"/>
          <c:showVal val="1"/>
          <c:showCatName val="0"/>
          <c:showSerName val="0"/>
          <c:showPercent val="0"/>
          <c:showBubbleSize val="0"/>
        </c:dLbls>
        <c:gapWidth val="219"/>
        <c:axId val="638510544"/>
        <c:axId val="638511376"/>
      </c:barChart>
      <c:catAx>
        <c:axId val="63851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8511376"/>
        <c:crosses val="autoZero"/>
        <c:auto val="1"/>
        <c:lblAlgn val="ctr"/>
        <c:lblOffset val="100"/>
        <c:noMultiLvlLbl val="0"/>
      </c:catAx>
      <c:valAx>
        <c:axId val="638511376"/>
        <c:scaling>
          <c:orientation val="minMax"/>
        </c:scaling>
        <c:delete val="1"/>
        <c:axPos val="b"/>
        <c:numFmt formatCode="0.0%" sourceLinked="1"/>
        <c:majorTickMark val="none"/>
        <c:minorTickMark val="none"/>
        <c:tickLblPos val="nextTo"/>
        <c:crossAx val="63851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Aircraft by</a:t>
            </a:r>
            <a:r>
              <a:rPr lang="en-US" b="1" baseline="0"/>
              <a:t> On-Time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TABLES'!$C$51:$C$52</c:f>
              <c:strCache>
                <c:ptCount val="1"/>
                <c:pt idx="0">
                  <c:v>Airbus A320</c:v>
                </c:pt>
              </c:strCache>
            </c:strRef>
          </c:cat>
          <c:val>
            <c:numRef>
              <c:f>'PIVOT TABLES'!$D$51:$D$52</c:f>
              <c:numCache>
                <c:formatCode>0.0%</c:formatCode>
                <c:ptCount val="1"/>
                <c:pt idx="0">
                  <c:v>0.41666666666666669</c:v>
                </c:pt>
              </c:numCache>
            </c:numRef>
          </c:val>
          <c:extLst>
            <c:ext xmlns:c16="http://schemas.microsoft.com/office/drawing/2014/chart" uri="{C3380CC4-5D6E-409C-BE32-E72D297353CC}">
              <c16:uniqueId val="{00000000-7932-4019-A6BA-AA2AC067E1F1}"/>
            </c:ext>
          </c:extLst>
        </c:ser>
        <c:dLbls>
          <c:dLblPos val="outEnd"/>
          <c:showLegendKey val="0"/>
          <c:showVal val="1"/>
          <c:showCatName val="0"/>
          <c:showSerName val="0"/>
          <c:showPercent val="0"/>
          <c:showBubbleSize val="0"/>
        </c:dLbls>
        <c:gapWidth val="219"/>
        <c:overlap val="-27"/>
        <c:axId val="114421232"/>
        <c:axId val="114413744"/>
      </c:barChart>
      <c:catAx>
        <c:axId val="11442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3744"/>
        <c:crosses val="autoZero"/>
        <c:auto val="1"/>
        <c:lblAlgn val="ctr"/>
        <c:lblOffset val="100"/>
        <c:noMultiLvlLbl val="0"/>
      </c:catAx>
      <c:valAx>
        <c:axId val="114413744"/>
        <c:scaling>
          <c:orientation val="minMax"/>
        </c:scaling>
        <c:delete val="1"/>
        <c:axPos val="l"/>
        <c:numFmt formatCode="0.0%" sourceLinked="1"/>
        <c:majorTickMark val="none"/>
        <c:minorTickMark val="none"/>
        <c:tickLblPos val="nextTo"/>
        <c:crossAx val="1144212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Delay</a:t>
            </a:r>
            <a:r>
              <a:rPr lang="en-US" b="1" baseline="0"/>
              <a:t> Causes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TABLES'!$B$73:$B$78</c:f>
              <c:strCache>
                <c:ptCount val="5"/>
                <c:pt idx="0">
                  <c:v>Late Aircraft</c:v>
                </c:pt>
                <c:pt idx="1">
                  <c:v>Weather</c:v>
                </c:pt>
                <c:pt idx="2">
                  <c:v>Security</c:v>
                </c:pt>
                <c:pt idx="3">
                  <c:v>Carrier</c:v>
                </c:pt>
                <c:pt idx="4">
                  <c:v>None</c:v>
                </c:pt>
              </c:strCache>
            </c:strRef>
          </c:cat>
          <c:val>
            <c:numRef>
              <c:f>'PIVOT TABLES'!$C$73:$C$78</c:f>
              <c:numCache>
                <c:formatCode>0.00%</c:formatCode>
                <c:ptCount val="5"/>
                <c:pt idx="0">
                  <c:v>0.57731958762886593</c:v>
                </c:pt>
                <c:pt idx="1">
                  <c:v>0.17010309278350516</c:v>
                </c:pt>
                <c:pt idx="2">
                  <c:v>0.15979381443298968</c:v>
                </c:pt>
                <c:pt idx="3">
                  <c:v>0.11855670103092783</c:v>
                </c:pt>
                <c:pt idx="4">
                  <c:v>-2.5773195876288658E-2</c:v>
                </c:pt>
              </c:numCache>
            </c:numRef>
          </c:val>
          <c:extLst>
            <c:ext xmlns:c16="http://schemas.microsoft.com/office/drawing/2014/chart" uri="{C3380CC4-5D6E-409C-BE32-E72D297353CC}">
              <c16:uniqueId val="{00000000-DB48-4D81-B1D3-3671EB162D61}"/>
            </c:ext>
          </c:extLst>
        </c:ser>
        <c:dLbls>
          <c:dLblPos val="outEnd"/>
          <c:showLegendKey val="0"/>
          <c:showVal val="1"/>
          <c:showCatName val="0"/>
          <c:showSerName val="0"/>
          <c:showPercent val="0"/>
          <c:showBubbleSize val="0"/>
        </c:dLbls>
        <c:gapWidth val="219"/>
        <c:overlap val="-27"/>
        <c:axId val="114414160"/>
        <c:axId val="114430800"/>
      </c:barChart>
      <c:catAx>
        <c:axId val="11441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0800"/>
        <c:crosses val="autoZero"/>
        <c:auto val="1"/>
        <c:lblAlgn val="ctr"/>
        <c:lblOffset val="100"/>
        <c:noMultiLvlLbl val="0"/>
      </c:catAx>
      <c:valAx>
        <c:axId val="114430800"/>
        <c:scaling>
          <c:orientation val="minMax"/>
        </c:scaling>
        <c:delete val="1"/>
        <c:axPos val="l"/>
        <c:numFmt formatCode="0.00%" sourceLinked="1"/>
        <c:majorTickMark val="none"/>
        <c:minorTickMark val="none"/>
        <c:tickLblPos val="nextTo"/>
        <c:crossAx val="11441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Controllable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TABLES'!$C$91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6E-4CDB-95B8-EA2C326D2E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6E-4CDB-95B8-EA2C326D2E03}"/>
              </c:ext>
            </c:extLst>
          </c:dPt>
          <c:cat>
            <c:strRef>
              <c:f>'PIVOT TABLES'!$B$92:$B$94</c:f>
              <c:strCache>
                <c:ptCount val="2"/>
                <c:pt idx="0">
                  <c:v>Controllable</c:v>
                </c:pt>
                <c:pt idx="1">
                  <c:v>Less controllable</c:v>
                </c:pt>
              </c:strCache>
            </c:strRef>
          </c:cat>
          <c:val>
            <c:numRef>
              <c:f>'PIVOT TABLES'!$C$92:$C$94</c:f>
              <c:numCache>
                <c:formatCode>General</c:formatCode>
                <c:ptCount val="2"/>
                <c:pt idx="0">
                  <c:v>5</c:v>
                </c:pt>
                <c:pt idx="1">
                  <c:v>2</c:v>
                </c:pt>
              </c:numCache>
            </c:numRef>
          </c:val>
          <c:extLst>
            <c:ext xmlns:c16="http://schemas.microsoft.com/office/drawing/2014/chart" uri="{C3380CC4-5D6E-409C-BE32-E72D297353CC}">
              <c16:uniqueId val="{00000004-636E-4CDB-95B8-EA2C326D2E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TABLES'!$B$7:$B$8</c:f>
              <c:strCache>
                <c:ptCount val="1"/>
                <c:pt idx="0">
                  <c:v>2025</c:v>
                </c:pt>
              </c:strCache>
            </c:strRef>
          </c:tx>
          <c:spPr>
            <a:ln w="28575" cap="rnd">
              <a:solidFill>
                <a:schemeClr val="accent1"/>
              </a:solidFill>
              <a:round/>
            </a:ln>
            <a:effectLst/>
          </c:spPr>
          <c:marker>
            <c:symbol val="none"/>
          </c:marker>
          <c:cat>
            <c:strRef>
              <c:f>'PIVOT TABLES'!$A$9:$A$19</c:f>
              <c:strCache>
                <c:ptCount val="10"/>
                <c:pt idx="0">
                  <c:v>Jan</c:v>
                </c:pt>
                <c:pt idx="1">
                  <c:v>Feb</c:v>
                </c:pt>
                <c:pt idx="2">
                  <c:v>Apr</c:v>
                </c:pt>
                <c:pt idx="3">
                  <c:v>May</c:v>
                </c:pt>
                <c:pt idx="4">
                  <c:v>Jun</c:v>
                </c:pt>
                <c:pt idx="5">
                  <c:v>Jul</c:v>
                </c:pt>
                <c:pt idx="6">
                  <c:v>Aug</c:v>
                </c:pt>
                <c:pt idx="7">
                  <c:v>Sep</c:v>
                </c:pt>
                <c:pt idx="8">
                  <c:v>Oct</c:v>
                </c:pt>
                <c:pt idx="9">
                  <c:v>Nov</c:v>
                </c:pt>
              </c:strCache>
            </c:strRef>
          </c:cat>
          <c:val>
            <c:numRef>
              <c:f>'PIVOT TABLES'!$B$9:$B$19</c:f>
              <c:numCache>
                <c:formatCode>0%</c:formatCode>
                <c:ptCount val="10"/>
                <c:pt idx="7">
                  <c:v>0</c:v>
                </c:pt>
                <c:pt idx="8">
                  <c:v>0</c:v>
                </c:pt>
                <c:pt idx="9">
                  <c:v>1</c:v>
                </c:pt>
              </c:numCache>
            </c:numRef>
          </c:val>
          <c:smooth val="0"/>
          <c:extLst>
            <c:ext xmlns:c16="http://schemas.microsoft.com/office/drawing/2014/chart" uri="{C3380CC4-5D6E-409C-BE32-E72D297353CC}">
              <c16:uniqueId val="{00000000-05EF-4922-A2E4-2F74D93B326A}"/>
            </c:ext>
          </c:extLst>
        </c:ser>
        <c:ser>
          <c:idx val="1"/>
          <c:order val="1"/>
          <c:tx>
            <c:strRef>
              <c:f>'PIVOT TABLES'!$C$7:$C$8</c:f>
              <c:strCache>
                <c:ptCount val="1"/>
                <c:pt idx="0">
                  <c:v>2026</c:v>
                </c:pt>
              </c:strCache>
            </c:strRef>
          </c:tx>
          <c:spPr>
            <a:ln w="28575" cap="rnd">
              <a:solidFill>
                <a:schemeClr val="accent2"/>
              </a:solidFill>
              <a:round/>
            </a:ln>
            <a:effectLst/>
          </c:spPr>
          <c:marker>
            <c:symbol val="none"/>
          </c:marker>
          <c:cat>
            <c:strRef>
              <c:f>'PIVOT TABLES'!$A$9:$A$19</c:f>
              <c:strCache>
                <c:ptCount val="10"/>
                <c:pt idx="0">
                  <c:v>Jan</c:v>
                </c:pt>
                <c:pt idx="1">
                  <c:v>Feb</c:v>
                </c:pt>
                <c:pt idx="2">
                  <c:v>Apr</c:v>
                </c:pt>
                <c:pt idx="3">
                  <c:v>May</c:v>
                </c:pt>
                <c:pt idx="4">
                  <c:v>Jun</c:v>
                </c:pt>
                <c:pt idx="5">
                  <c:v>Jul</c:v>
                </c:pt>
                <c:pt idx="6">
                  <c:v>Aug</c:v>
                </c:pt>
                <c:pt idx="7">
                  <c:v>Sep</c:v>
                </c:pt>
                <c:pt idx="8">
                  <c:v>Oct</c:v>
                </c:pt>
                <c:pt idx="9">
                  <c:v>Nov</c:v>
                </c:pt>
              </c:strCache>
            </c:strRef>
          </c:cat>
          <c:val>
            <c:numRef>
              <c:f>'PIVOT TABLES'!$C$9:$C$19</c:f>
              <c:numCache>
                <c:formatCode>0%</c:formatCode>
                <c:ptCount val="10"/>
                <c:pt idx="0">
                  <c:v>0</c:v>
                </c:pt>
                <c:pt idx="1">
                  <c:v>0</c:v>
                </c:pt>
                <c:pt idx="2">
                  <c:v>1</c:v>
                </c:pt>
                <c:pt idx="4">
                  <c:v>0.5</c:v>
                </c:pt>
                <c:pt idx="5">
                  <c:v>0</c:v>
                </c:pt>
                <c:pt idx="6">
                  <c:v>0</c:v>
                </c:pt>
              </c:numCache>
            </c:numRef>
          </c:val>
          <c:smooth val="0"/>
          <c:extLst>
            <c:ext xmlns:c16="http://schemas.microsoft.com/office/drawing/2014/chart" uri="{C3380CC4-5D6E-409C-BE32-E72D297353CC}">
              <c16:uniqueId val="{00000003-05EF-4922-A2E4-2F74D93B326A}"/>
            </c:ext>
          </c:extLst>
        </c:ser>
        <c:dLbls>
          <c:dLblPos val="t"/>
          <c:showLegendKey val="0"/>
          <c:showVal val="0"/>
          <c:showCatName val="0"/>
          <c:showSerName val="0"/>
          <c:showPercent val="0"/>
          <c:showBubbleSize val="0"/>
        </c:dLbls>
        <c:smooth val="0"/>
        <c:axId val="110792416"/>
        <c:axId val="110803648"/>
      </c:lineChart>
      <c:catAx>
        <c:axId val="11079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03648"/>
        <c:crosses val="autoZero"/>
        <c:auto val="1"/>
        <c:lblAlgn val="ctr"/>
        <c:lblOffset val="100"/>
        <c:noMultiLvlLbl val="0"/>
      </c:catAx>
      <c:valAx>
        <c:axId val="1108036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9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Aircrafts by On-time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TABLES'!$H$8:$H$9</c:f>
              <c:strCache>
                <c:ptCount val="1"/>
                <c:pt idx="0">
                  <c:v>Atlanta</c:v>
                </c:pt>
              </c:strCache>
            </c:strRef>
          </c:cat>
          <c:val>
            <c:numRef>
              <c:f>'PIVOT TABLES'!$I$8:$I$9</c:f>
              <c:numCache>
                <c:formatCode>0.0%</c:formatCode>
                <c:ptCount val="1"/>
                <c:pt idx="0">
                  <c:v>0.41666666666666669</c:v>
                </c:pt>
              </c:numCache>
            </c:numRef>
          </c:val>
          <c:extLst>
            <c:ext xmlns:c16="http://schemas.microsoft.com/office/drawing/2014/chart" uri="{C3380CC4-5D6E-409C-BE32-E72D297353CC}">
              <c16:uniqueId val="{00000000-71AF-421F-98ED-B9D141929564}"/>
            </c:ext>
          </c:extLst>
        </c:ser>
        <c:dLbls>
          <c:showLegendKey val="0"/>
          <c:showVal val="1"/>
          <c:showCatName val="0"/>
          <c:showSerName val="0"/>
          <c:showPercent val="0"/>
          <c:showBubbleSize val="0"/>
        </c:dLbls>
        <c:gapWidth val="219"/>
        <c:axId val="638510544"/>
        <c:axId val="638511376"/>
      </c:barChart>
      <c:catAx>
        <c:axId val="63851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511376"/>
        <c:crosses val="autoZero"/>
        <c:auto val="1"/>
        <c:lblAlgn val="ctr"/>
        <c:lblOffset val="100"/>
        <c:noMultiLvlLbl val="0"/>
      </c:catAx>
      <c:valAx>
        <c:axId val="638511376"/>
        <c:scaling>
          <c:orientation val="minMax"/>
        </c:scaling>
        <c:delete val="1"/>
        <c:axPos val="b"/>
        <c:numFmt formatCode="0.0%" sourceLinked="1"/>
        <c:majorTickMark val="none"/>
        <c:minorTickMark val="none"/>
        <c:tickLblPos val="nextTo"/>
        <c:crossAx val="63851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Aircraft by</a:t>
            </a:r>
            <a:r>
              <a:rPr lang="en-US" b="1" baseline="0"/>
              <a:t> On-Time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TABLES'!$C$51:$C$52</c:f>
              <c:strCache>
                <c:ptCount val="1"/>
                <c:pt idx="0">
                  <c:v>Airbus A320</c:v>
                </c:pt>
              </c:strCache>
            </c:strRef>
          </c:cat>
          <c:val>
            <c:numRef>
              <c:f>'PIVOT TABLES'!$D$51:$D$52</c:f>
              <c:numCache>
                <c:formatCode>0.0%</c:formatCode>
                <c:ptCount val="1"/>
                <c:pt idx="0">
                  <c:v>0.41666666666666669</c:v>
                </c:pt>
              </c:numCache>
            </c:numRef>
          </c:val>
          <c:extLst>
            <c:ext xmlns:c16="http://schemas.microsoft.com/office/drawing/2014/chart" uri="{C3380CC4-5D6E-409C-BE32-E72D297353CC}">
              <c16:uniqueId val="{00000000-1A7A-4865-897C-60AF58CB5AE8}"/>
            </c:ext>
          </c:extLst>
        </c:ser>
        <c:dLbls>
          <c:dLblPos val="outEnd"/>
          <c:showLegendKey val="0"/>
          <c:showVal val="1"/>
          <c:showCatName val="0"/>
          <c:showSerName val="0"/>
          <c:showPercent val="0"/>
          <c:showBubbleSize val="0"/>
        </c:dLbls>
        <c:gapWidth val="219"/>
        <c:overlap val="-27"/>
        <c:axId val="114421232"/>
        <c:axId val="114413744"/>
      </c:barChart>
      <c:catAx>
        <c:axId val="11442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3744"/>
        <c:crosses val="autoZero"/>
        <c:auto val="1"/>
        <c:lblAlgn val="ctr"/>
        <c:lblOffset val="100"/>
        <c:noMultiLvlLbl val="0"/>
      </c:catAx>
      <c:valAx>
        <c:axId val="114413744"/>
        <c:scaling>
          <c:orientation val="minMax"/>
        </c:scaling>
        <c:delete val="1"/>
        <c:axPos val="l"/>
        <c:numFmt formatCode="0.0%" sourceLinked="1"/>
        <c:majorTickMark val="none"/>
        <c:minorTickMark val="none"/>
        <c:tickLblPos val="nextTo"/>
        <c:crossAx val="1144212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Delay</a:t>
            </a:r>
            <a:r>
              <a:rPr lang="en-US" baseline="0"/>
              <a:t> Causes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TABLES'!$B$73:$B$78</c:f>
              <c:strCache>
                <c:ptCount val="5"/>
                <c:pt idx="0">
                  <c:v>Late Aircraft</c:v>
                </c:pt>
                <c:pt idx="1">
                  <c:v>Weather</c:v>
                </c:pt>
                <c:pt idx="2">
                  <c:v>Security</c:v>
                </c:pt>
                <c:pt idx="3">
                  <c:v>Carrier</c:v>
                </c:pt>
                <c:pt idx="4">
                  <c:v>None</c:v>
                </c:pt>
              </c:strCache>
            </c:strRef>
          </c:cat>
          <c:val>
            <c:numRef>
              <c:f>'PIVOT TABLES'!$C$73:$C$78</c:f>
              <c:numCache>
                <c:formatCode>0.00%</c:formatCode>
                <c:ptCount val="5"/>
                <c:pt idx="0">
                  <c:v>0.57731958762886593</c:v>
                </c:pt>
                <c:pt idx="1">
                  <c:v>0.17010309278350516</c:v>
                </c:pt>
                <c:pt idx="2">
                  <c:v>0.15979381443298968</c:v>
                </c:pt>
                <c:pt idx="3">
                  <c:v>0.11855670103092783</c:v>
                </c:pt>
                <c:pt idx="4">
                  <c:v>-2.5773195876288658E-2</c:v>
                </c:pt>
              </c:numCache>
            </c:numRef>
          </c:val>
          <c:extLst>
            <c:ext xmlns:c16="http://schemas.microsoft.com/office/drawing/2014/chart" uri="{C3380CC4-5D6E-409C-BE32-E72D297353CC}">
              <c16:uniqueId val="{00000000-2D6C-414D-AA7F-C4D511AE7349}"/>
            </c:ext>
          </c:extLst>
        </c:ser>
        <c:dLbls>
          <c:dLblPos val="outEnd"/>
          <c:showLegendKey val="0"/>
          <c:showVal val="1"/>
          <c:showCatName val="0"/>
          <c:showSerName val="0"/>
          <c:showPercent val="0"/>
          <c:showBubbleSize val="0"/>
        </c:dLbls>
        <c:gapWidth val="219"/>
        <c:overlap val="-27"/>
        <c:axId val="114414160"/>
        <c:axId val="114430800"/>
      </c:barChart>
      <c:catAx>
        <c:axId val="11441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0800"/>
        <c:crosses val="autoZero"/>
        <c:auto val="1"/>
        <c:lblAlgn val="ctr"/>
        <c:lblOffset val="100"/>
        <c:noMultiLvlLbl val="0"/>
      </c:catAx>
      <c:valAx>
        <c:axId val="1144308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Controllable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TABLES'!$C$91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TABLES'!$B$92:$B$94</c:f>
              <c:strCache>
                <c:ptCount val="2"/>
                <c:pt idx="0">
                  <c:v>Controllable</c:v>
                </c:pt>
                <c:pt idx="1">
                  <c:v>Less controllable</c:v>
                </c:pt>
              </c:strCache>
            </c:strRef>
          </c:cat>
          <c:val>
            <c:numRef>
              <c:f>'PIVOT TABLES'!$C$92:$C$94</c:f>
              <c:numCache>
                <c:formatCode>General</c:formatCode>
                <c:ptCount val="2"/>
                <c:pt idx="0">
                  <c:v>5</c:v>
                </c:pt>
                <c:pt idx="1">
                  <c:v>2</c:v>
                </c:pt>
              </c:numCache>
            </c:numRef>
          </c:val>
          <c:extLst>
            <c:ext xmlns:c16="http://schemas.microsoft.com/office/drawing/2014/chart" uri="{C3380CC4-5D6E-409C-BE32-E72D297353CC}">
              <c16:uniqueId val="{00000000-00A8-4CE1-96A5-0E76DD9B5BC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[Skyline_Air_Flight_Data project by Rita Onuoha.xlsx]PIVOT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Controllable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TABLES'!$C$91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D0-4A46-8269-51983C3311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D0-4A46-8269-51983C331156}"/>
              </c:ext>
            </c:extLst>
          </c:dPt>
          <c:cat>
            <c:strRef>
              <c:f>'PIVOT TABLES'!$B$92:$B$94</c:f>
              <c:strCache>
                <c:ptCount val="2"/>
                <c:pt idx="0">
                  <c:v>Controllable</c:v>
                </c:pt>
                <c:pt idx="1">
                  <c:v>Less controllable</c:v>
                </c:pt>
              </c:strCache>
            </c:strRef>
          </c:cat>
          <c:val>
            <c:numRef>
              <c:f>'PIVOT TABLES'!$C$92:$C$94</c:f>
              <c:numCache>
                <c:formatCode>General</c:formatCode>
                <c:ptCount val="2"/>
                <c:pt idx="0">
                  <c:v>5</c:v>
                </c:pt>
                <c:pt idx="1">
                  <c:v>2</c:v>
                </c:pt>
              </c:numCache>
            </c:numRef>
          </c:val>
          <c:extLst>
            <c:ext xmlns:c16="http://schemas.microsoft.com/office/drawing/2014/chart" uri="{C3380CC4-5D6E-409C-BE32-E72D297353CC}">
              <c16:uniqueId val="{00000000-00A8-4CE1-96A5-0E76DD9B5B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598089</xdr:colOff>
      <xdr:row>1</xdr:row>
      <xdr:rowOff>0</xdr:rowOff>
    </xdr:from>
    <xdr:to>
      <xdr:col>21</xdr:col>
      <xdr:colOff>396874</xdr:colOff>
      <xdr:row>47</xdr:row>
      <xdr:rowOff>55216</xdr:rowOff>
    </xdr:to>
    <xdr:sp macro="" textlink="">
      <xdr:nvSpPr>
        <xdr:cNvPr id="2" name="Rectangle 1">
          <a:extLst>
            <a:ext uri="{FF2B5EF4-FFF2-40B4-BE49-F238E27FC236}">
              <a16:creationId xmlns:a16="http://schemas.microsoft.com/office/drawing/2014/main" id="{3E3D1C11-AAD4-430E-A133-69676DD435EE}"/>
            </a:ext>
          </a:extLst>
        </xdr:cNvPr>
        <xdr:cNvSpPr/>
      </xdr:nvSpPr>
      <xdr:spPr>
        <a:xfrm>
          <a:off x="598089" y="0"/>
          <a:ext cx="12554002" cy="831021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xdr:row>
      <xdr:rowOff>31922</xdr:rowOff>
    </xdr:from>
    <xdr:to>
      <xdr:col>21</xdr:col>
      <xdr:colOff>361123</xdr:colOff>
      <xdr:row>4</xdr:row>
      <xdr:rowOff>91452</xdr:rowOff>
    </xdr:to>
    <xdr:sp macro="" textlink="">
      <xdr:nvSpPr>
        <xdr:cNvPr id="3" name="Rectangle: Rounded Corners 2">
          <a:extLst>
            <a:ext uri="{FF2B5EF4-FFF2-40B4-BE49-F238E27FC236}">
              <a16:creationId xmlns:a16="http://schemas.microsoft.com/office/drawing/2014/main" id="{9EDBC3C5-98B9-453D-A27C-863469E2D358}"/>
            </a:ext>
          </a:extLst>
        </xdr:cNvPr>
        <xdr:cNvSpPr/>
      </xdr:nvSpPr>
      <xdr:spPr>
        <a:xfrm>
          <a:off x="607391" y="211379"/>
          <a:ext cx="12508949" cy="59789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latin typeface="Cascadia Code SemiBold" panose="020B0609020000020004" pitchFamily="49" charset="0"/>
              <a:cs typeface="Cascadia Code SemiBold" panose="020B0609020000020004" pitchFamily="49" charset="0"/>
            </a:rPr>
            <a:t> SKYLINE</a:t>
          </a:r>
          <a:r>
            <a:rPr lang="en-US" sz="5400" baseline="0">
              <a:latin typeface="Cascadia Code SemiBold" panose="020B0609020000020004" pitchFamily="49" charset="0"/>
              <a:cs typeface="Cascadia Code SemiBold" panose="020B0609020000020004" pitchFamily="49" charset="0"/>
            </a:rPr>
            <a:t> AIR 0N-TIME DASHBOARD</a:t>
          </a:r>
          <a:endParaRPr lang="en-US" sz="5400">
            <a:latin typeface="Cascadia Code SemiBold" panose="020B0609020000020004" pitchFamily="49" charset="0"/>
            <a:cs typeface="Cascadia Code SemiBold" panose="020B0609020000020004" pitchFamily="49" charset="0"/>
          </a:endParaRPr>
        </a:p>
      </xdr:txBody>
    </xdr:sp>
    <xdr:clientData/>
  </xdr:twoCellAnchor>
  <xdr:twoCellAnchor>
    <xdr:from>
      <xdr:col>1</xdr:col>
      <xdr:colOff>69506</xdr:colOff>
      <xdr:row>4</xdr:row>
      <xdr:rowOff>110434</xdr:rowOff>
    </xdr:from>
    <xdr:to>
      <xdr:col>21</xdr:col>
      <xdr:colOff>276087</xdr:colOff>
      <xdr:row>10</xdr:row>
      <xdr:rowOff>168672</xdr:rowOff>
    </xdr:to>
    <xdr:sp macro="" textlink="">
      <xdr:nvSpPr>
        <xdr:cNvPr id="4" name="Rectangle: Rounded Corners 3">
          <a:extLst>
            <a:ext uri="{FF2B5EF4-FFF2-40B4-BE49-F238E27FC236}">
              <a16:creationId xmlns:a16="http://schemas.microsoft.com/office/drawing/2014/main" id="{321861D3-44D9-497A-B7CE-A82A0B87EA15}"/>
            </a:ext>
          </a:extLst>
        </xdr:cNvPr>
        <xdr:cNvSpPr/>
      </xdr:nvSpPr>
      <xdr:spPr>
        <a:xfrm>
          <a:off x="676897" y="648804"/>
          <a:ext cx="12354407" cy="113497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96630</xdr:colOff>
      <xdr:row>11</xdr:row>
      <xdr:rowOff>100323</xdr:rowOff>
    </xdr:from>
    <xdr:to>
      <xdr:col>5</xdr:col>
      <xdr:colOff>579781</xdr:colOff>
      <xdr:row>19</xdr:row>
      <xdr:rowOff>103101</xdr:rowOff>
    </xdr:to>
    <xdr:sp macro="" textlink="'PIVOT TABLES'!B5">
      <xdr:nvSpPr>
        <xdr:cNvPr id="5" name="Rectangle: Rounded Corners 4">
          <a:extLst>
            <a:ext uri="{FF2B5EF4-FFF2-40B4-BE49-F238E27FC236}">
              <a16:creationId xmlns:a16="http://schemas.microsoft.com/office/drawing/2014/main" id="{D05C1AB3-F96D-46FD-8ECD-0FDBD2A15BDE}"/>
            </a:ext>
          </a:extLst>
        </xdr:cNvPr>
        <xdr:cNvSpPr/>
      </xdr:nvSpPr>
      <xdr:spPr>
        <a:xfrm>
          <a:off x="704021" y="1894888"/>
          <a:ext cx="2912717" cy="143843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72FC4E1-EFAF-434A-B392-3F67245BAA14}" type="TxLink">
            <a:rPr lang="en-US" sz="4500" b="1" i="0" u="none" strike="noStrike">
              <a:solidFill>
                <a:srgbClr val="000000"/>
              </a:solidFill>
              <a:latin typeface="Calibri"/>
              <a:ea typeface="Calibri"/>
              <a:cs typeface="Calibri"/>
            </a:rPr>
            <a:pPr algn="ctr"/>
            <a:t>74.8%</a:t>
          </a:fld>
          <a:endParaRPr lang="en-US" sz="4500" b="1"/>
        </a:p>
      </xdr:txBody>
    </xdr:sp>
    <xdr:clientData/>
  </xdr:twoCellAnchor>
  <xdr:twoCellAnchor>
    <xdr:from>
      <xdr:col>1</xdr:col>
      <xdr:colOff>26986</xdr:colOff>
      <xdr:row>20</xdr:row>
      <xdr:rowOff>13804</xdr:rowOff>
    </xdr:from>
    <xdr:to>
      <xdr:col>8</xdr:col>
      <xdr:colOff>116065</xdr:colOff>
      <xdr:row>33</xdr:row>
      <xdr:rowOff>96630</xdr:rowOff>
    </xdr:to>
    <xdr:sp macro="" textlink="">
      <xdr:nvSpPr>
        <xdr:cNvPr id="6" name="Rectangle: Rounded Corners 5">
          <a:extLst>
            <a:ext uri="{FF2B5EF4-FFF2-40B4-BE49-F238E27FC236}">
              <a16:creationId xmlns:a16="http://schemas.microsoft.com/office/drawing/2014/main" id="{078F685B-1FCF-4705-BABA-77F539ED2F62}"/>
            </a:ext>
          </a:extLst>
        </xdr:cNvPr>
        <xdr:cNvSpPr/>
      </xdr:nvSpPr>
      <xdr:spPr>
        <a:xfrm>
          <a:off x="634377" y="3423478"/>
          <a:ext cx="4340818" cy="241576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15</xdr:col>
      <xdr:colOff>526775</xdr:colOff>
      <xdr:row>20</xdr:row>
      <xdr:rowOff>41413</xdr:rowOff>
    </xdr:from>
    <xdr:to>
      <xdr:col>21</xdr:col>
      <xdr:colOff>276088</xdr:colOff>
      <xdr:row>33</xdr:row>
      <xdr:rowOff>96630</xdr:rowOff>
    </xdr:to>
    <xdr:sp macro="" textlink="">
      <xdr:nvSpPr>
        <xdr:cNvPr id="8" name="Rectangle: Rounded Corners 7">
          <a:extLst>
            <a:ext uri="{FF2B5EF4-FFF2-40B4-BE49-F238E27FC236}">
              <a16:creationId xmlns:a16="http://schemas.microsoft.com/office/drawing/2014/main" id="{12B4D2F6-04DC-476E-AB68-135218063E50}"/>
            </a:ext>
          </a:extLst>
        </xdr:cNvPr>
        <xdr:cNvSpPr/>
      </xdr:nvSpPr>
      <xdr:spPr>
        <a:xfrm>
          <a:off x="9637645" y="3451087"/>
          <a:ext cx="3393660" cy="238815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207067</xdr:colOff>
      <xdr:row>20</xdr:row>
      <xdr:rowOff>41413</xdr:rowOff>
    </xdr:from>
    <xdr:to>
      <xdr:col>15</xdr:col>
      <xdr:colOff>441739</xdr:colOff>
      <xdr:row>33</xdr:row>
      <xdr:rowOff>96630</xdr:rowOff>
    </xdr:to>
    <xdr:sp macro="" textlink="">
      <xdr:nvSpPr>
        <xdr:cNvPr id="9" name="Rectangle: Rounded Corners 8">
          <a:extLst>
            <a:ext uri="{FF2B5EF4-FFF2-40B4-BE49-F238E27FC236}">
              <a16:creationId xmlns:a16="http://schemas.microsoft.com/office/drawing/2014/main" id="{58B1F51C-CA51-4DD2-84BC-CB880F21E154}"/>
            </a:ext>
          </a:extLst>
        </xdr:cNvPr>
        <xdr:cNvSpPr/>
      </xdr:nvSpPr>
      <xdr:spPr>
        <a:xfrm>
          <a:off x="5066197" y="3451087"/>
          <a:ext cx="4486412" cy="238815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6</xdr:col>
      <xdr:colOff>110547</xdr:colOff>
      <xdr:row>11</xdr:row>
      <xdr:rowOff>101428</xdr:rowOff>
    </xdr:from>
    <xdr:to>
      <xdr:col>11</xdr:col>
      <xdr:colOff>69757</xdr:colOff>
      <xdr:row>19</xdr:row>
      <xdr:rowOff>104206</xdr:rowOff>
    </xdr:to>
    <xdr:sp macro="" textlink="'PIVOT TABLES'!A5">
      <xdr:nvSpPr>
        <xdr:cNvPr id="11" name="Rectangle: Rounded Corners 10">
          <a:extLst>
            <a:ext uri="{FF2B5EF4-FFF2-40B4-BE49-F238E27FC236}">
              <a16:creationId xmlns:a16="http://schemas.microsoft.com/office/drawing/2014/main" id="{B364C454-17A6-491C-AD37-37B100A53E6E}"/>
            </a:ext>
          </a:extLst>
        </xdr:cNvPr>
        <xdr:cNvSpPr/>
      </xdr:nvSpPr>
      <xdr:spPr>
        <a:xfrm>
          <a:off x="3754895" y="1895993"/>
          <a:ext cx="2996166" cy="143843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B68C94A-B034-4473-B8D1-C0BB2091301C}" type="TxLink">
            <a:rPr lang="en-US" sz="4000" b="1" i="0" u="none" strike="noStrike">
              <a:solidFill>
                <a:srgbClr val="000000"/>
              </a:solidFill>
              <a:latin typeface="Calibri"/>
              <a:ea typeface="Calibri"/>
              <a:cs typeface="Calibri"/>
            </a:rPr>
            <a:pPr algn="ctr"/>
            <a:t>1000</a:t>
          </a:fld>
          <a:endParaRPr lang="en-US" sz="4000" b="1"/>
        </a:p>
      </xdr:txBody>
    </xdr:sp>
    <xdr:clientData/>
  </xdr:twoCellAnchor>
  <xdr:twoCellAnchor>
    <xdr:from>
      <xdr:col>11</xdr:col>
      <xdr:colOff>221719</xdr:colOff>
      <xdr:row>11</xdr:row>
      <xdr:rowOff>119467</xdr:rowOff>
    </xdr:from>
    <xdr:to>
      <xdr:col>16</xdr:col>
      <xdr:colOff>180928</xdr:colOff>
      <xdr:row>19</xdr:row>
      <xdr:rowOff>122245</xdr:rowOff>
    </xdr:to>
    <xdr:sp macro="" textlink="'PIVOT TABLES'!C5">
      <xdr:nvSpPr>
        <xdr:cNvPr id="12" name="Rectangle: Rounded Corners 11">
          <a:extLst>
            <a:ext uri="{FF2B5EF4-FFF2-40B4-BE49-F238E27FC236}">
              <a16:creationId xmlns:a16="http://schemas.microsoft.com/office/drawing/2014/main" id="{D78AC392-D10E-40C0-B1E8-62FA3D0B7ACE}"/>
            </a:ext>
          </a:extLst>
        </xdr:cNvPr>
        <xdr:cNvSpPr/>
      </xdr:nvSpPr>
      <xdr:spPr>
        <a:xfrm>
          <a:off x="6903023" y="1914032"/>
          <a:ext cx="2996166" cy="143843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C3081F6-3299-47CD-A8AA-D82505FBFA87}" type="TxLink">
            <a:rPr lang="en-US" sz="4000" b="1" i="0" u="none" strike="noStrike">
              <a:solidFill>
                <a:srgbClr val="000000"/>
              </a:solidFill>
              <a:latin typeface="Calibri"/>
              <a:ea typeface="Calibri"/>
              <a:cs typeface="Calibri"/>
            </a:rPr>
            <a:pPr algn="ctr"/>
            <a:t>12.5</a:t>
          </a:fld>
          <a:endParaRPr lang="en-US" sz="4000" b="1"/>
        </a:p>
      </xdr:txBody>
    </xdr:sp>
    <xdr:clientData/>
  </xdr:twoCellAnchor>
  <xdr:twoCellAnchor>
    <xdr:from>
      <xdr:col>16</xdr:col>
      <xdr:colOff>388108</xdr:colOff>
      <xdr:row>11</xdr:row>
      <xdr:rowOff>96091</xdr:rowOff>
    </xdr:from>
    <xdr:to>
      <xdr:col>21</xdr:col>
      <xdr:colOff>276087</xdr:colOff>
      <xdr:row>19</xdr:row>
      <xdr:rowOff>98869</xdr:rowOff>
    </xdr:to>
    <xdr:sp macro="" textlink="'PIVOT TABLES'!G4">
      <xdr:nvSpPr>
        <xdr:cNvPr id="13" name="Rectangle: Rounded Corners 12">
          <a:extLst>
            <a:ext uri="{FF2B5EF4-FFF2-40B4-BE49-F238E27FC236}">
              <a16:creationId xmlns:a16="http://schemas.microsoft.com/office/drawing/2014/main" id="{8D5BCE95-DB94-4982-8C15-7F29E24400A9}"/>
            </a:ext>
          </a:extLst>
        </xdr:cNvPr>
        <xdr:cNvSpPr/>
      </xdr:nvSpPr>
      <xdr:spPr>
        <a:xfrm>
          <a:off x="10106369" y="1890656"/>
          <a:ext cx="2924935" cy="143843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58C848F-B9D2-452A-845D-4DFDA9BCAE07}" type="TxLink">
            <a:rPr lang="en-US" sz="4000" b="1" i="0" u="none" strike="noStrike">
              <a:solidFill>
                <a:srgbClr val="000000"/>
              </a:solidFill>
              <a:latin typeface="Calibri"/>
              <a:ea typeface="Calibri"/>
              <a:cs typeface="Calibri"/>
            </a:rPr>
            <a:pPr algn="ctr"/>
            <a:t>7.1%</a:t>
          </a:fld>
          <a:endParaRPr lang="en-US" sz="4000" b="1"/>
        </a:p>
      </xdr:txBody>
    </xdr:sp>
    <xdr:clientData/>
  </xdr:twoCellAnchor>
  <xdr:twoCellAnchor>
    <xdr:from>
      <xdr:col>15</xdr:col>
      <xdr:colOff>597164</xdr:colOff>
      <xdr:row>34</xdr:row>
      <xdr:rowOff>0</xdr:rowOff>
    </xdr:from>
    <xdr:to>
      <xdr:col>21</xdr:col>
      <xdr:colOff>303696</xdr:colOff>
      <xdr:row>47</xdr:row>
      <xdr:rowOff>0</xdr:rowOff>
    </xdr:to>
    <xdr:sp macro="" textlink="">
      <xdr:nvSpPr>
        <xdr:cNvPr id="14" name="Rectangle: Rounded Corners 13">
          <a:extLst>
            <a:ext uri="{FF2B5EF4-FFF2-40B4-BE49-F238E27FC236}">
              <a16:creationId xmlns:a16="http://schemas.microsoft.com/office/drawing/2014/main" id="{471B3410-EADA-4BEA-B444-42E3C4029DF8}"/>
            </a:ext>
          </a:extLst>
        </xdr:cNvPr>
        <xdr:cNvSpPr/>
      </xdr:nvSpPr>
      <xdr:spPr>
        <a:xfrm>
          <a:off x="9708034" y="5922065"/>
          <a:ext cx="3350879" cy="233293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234674</xdr:colOff>
      <xdr:row>34</xdr:row>
      <xdr:rowOff>41413</xdr:rowOff>
    </xdr:from>
    <xdr:to>
      <xdr:col>15</xdr:col>
      <xdr:colOff>496956</xdr:colOff>
      <xdr:row>46</xdr:row>
      <xdr:rowOff>151848</xdr:rowOff>
    </xdr:to>
    <xdr:sp macro="" textlink="">
      <xdr:nvSpPr>
        <xdr:cNvPr id="15" name="Rectangle: Rounded Corners 14">
          <a:extLst>
            <a:ext uri="{FF2B5EF4-FFF2-40B4-BE49-F238E27FC236}">
              <a16:creationId xmlns:a16="http://schemas.microsoft.com/office/drawing/2014/main" id="{DDA184A6-CA7D-46C8-AE35-AB35CD5691D2}"/>
            </a:ext>
          </a:extLst>
        </xdr:cNvPr>
        <xdr:cNvSpPr/>
      </xdr:nvSpPr>
      <xdr:spPr>
        <a:xfrm>
          <a:off x="5093804" y="5963478"/>
          <a:ext cx="4514022" cy="226391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26986</xdr:colOff>
      <xdr:row>34</xdr:row>
      <xdr:rowOff>41413</xdr:rowOff>
    </xdr:from>
    <xdr:to>
      <xdr:col>8</xdr:col>
      <xdr:colOff>116065</xdr:colOff>
      <xdr:row>47</xdr:row>
      <xdr:rowOff>550</xdr:rowOff>
    </xdr:to>
    <xdr:sp macro="" textlink="">
      <xdr:nvSpPr>
        <xdr:cNvPr id="16" name="Rectangle: Rounded Corners 15">
          <a:extLst>
            <a:ext uri="{FF2B5EF4-FFF2-40B4-BE49-F238E27FC236}">
              <a16:creationId xmlns:a16="http://schemas.microsoft.com/office/drawing/2014/main" id="{5AE0CF34-2320-43B1-808D-A08CD8AFA4ED}"/>
            </a:ext>
          </a:extLst>
        </xdr:cNvPr>
        <xdr:cNvSpPr/>
      </xdr:nvSpPr>
      <xdr:spPr>
        <a:xfrm>
          <a:off x="634377" y="5963478"/>
          <a:ext cx="4340818" cy="229207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289892</xdr:colOff>
      <xdr:row>15</xdr:row>
      <xdr:rowOff>124239</xdr:rowOff>
    </xdr:from>
    <xdr:to>
      <xdr:col>5</xdr:col>
      <xdr:colOff>372717</xdr:colOff>
      <xdr:row>18</xdr:row>
      <xdr:rowOff>151848</xdr:rowOff>
    </xdr:to>
    <xdr:sp macro="" textlink="">
      <xdr:nvSpPr>
        <xdr:cNvPr id="17" name="TextBox 16">
          <a:extLst>
            <a:ext uri="{FF2B5EF4-FFF2-40B4-BE49-F238E27FC236}">
              <a16:creationId xmlns:a16="http://schemas.microsoft.com/office/drawing/2014/main" id="{429E3A92-D509-491A-B489-F1EBA43D56E2}"/>
            </a:ext>
          </a:extLst>
        </xdr:cNvPr>
        <xdr:cNvSpPr txBox="1"/>
      </xdr:nvSpPr>
      <xdr:spPr>
        <a:xfrm>
          <a:off x="897283" y="2636630"/>
          <a:ext cx="2512391" cy="565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On-Time</a:t>
          </a:r>
        </a:p>
      </xdr:txBody>
    </xdr:sp>
    <xdr:clientData/>
  </xdr:twoCellAnchor>
  <xdr:twoCellAnchor>
    <xdr:from>
      <xdr:col>6</xdr:col>
      <xdr:colOff>290444</xdr:colOff>
      <xdr:row>15</xdr:row>
      <xdr:rowOff>110987</xdr:rowOff>
    </xdr:from>
    <xdr:to>
      <xdr:col>10</xdr:col>
      <xdr:colOff>373270</xdr:colOff>
      <xdr:row>18</xdr:row>
      <xdr:rowOff>138596</xdr:rowOff>
    </xdr:to>
    <xdr:sp macro="" textlink="">
      <xdr:nvSpPr>
        <xdr:cNvPr id="18" name="TextBox 17">
          <a:extLst>
            <a:ext uri="{FF2B5EF4-FFF2-40B4-BE49-F238E27FC236}">
              <a16:creationId xmlns:a16="http://schemas.microsoft.com/office/drawing/2014/main" id="{916A675B-56E9-484A-A8E1-02553EBB8F41}"/>
            </a:ext>
          </a:extLst>
        </xdr:cNvPr>
        <xdr:cNvSpPr txBox="1"/>
      </xdr:nvSpPr>
      <xdr:spPr>
        <a:xfrm>
          <a:off x="3934792" y="2623378"/>
          <a:ext cx="2512391" cy="565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Flights</a:t>
          </a:r>
        </a:p>
      </xdr:txBody>
    </xdr:sp>
    <xdr:clientData/>
  </xdr:twoCellAnchor>
  <xdr:twoCellAnchor>
    <xdr:from>
      <xdr:col>11</xdr:col>
      <xdr:colOff>498062</xdr:colOff>
      <xdr:row>15</xdr:row>
      <xdr:rowOff>111539</xdr:rowOff>
    </xdr:from>
    <xdr:to>
      <xdr:col>15</xdr:col>
      <xdr:colOff>580887</xdr:colOff>
      <xdr:row>18</xdr:row>
      <xdr:rowOff>139148</xdr:rowOff>
    </xdr:to>
    <xdr:sp macro="" textlink="">
      <xdr:nvSpPr>
        <xdr:cNvPr id="19" name="TextBox 18">
          <a:extLst>
            <a:ext uri="{FF2B5EF4-FFF2-40B4-BE49-F238E27FC236}">
              <a16:creationId xmlns:a16="http://schemas.microsoft.com/office/drawing/2014/main" id="{B7136636-254D-43D2-A40F-89630F7E2558}"/>
            </a:ext>
          </a:extLst>
        </xdr:cNvPr>
        <xdr:cNvSpPr txBox="1"/>
      </xdr:nvSpPr>
      <xdr:spPr>
        <a:xfrm>
          <a:off x="7179366" y="2623930"/>
          <a:ext cx="2512391" cy="565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Avg</a:t>
          </a:r>
          <a:r>
            <a:rPr lang="en-US" sz="3600" b="1" baseline="0"/>
            <a:t> Delay</a:t>
          </a:r>
          <a:endParaRPr lang="en-US" sz="3600" b="1"/>
        </a:p>
      </xdr:txBody>
    </xdr:sp>
    <xdr:clientData/>
  </xdr:twoCellAnchor>
  <xdr:twoCellAnchor>
    <xdr:from>
      <xdr:col>17</xdr:col>
      <xdr:colOff>98288</xdr:colOff>
      <xdr:row>15</xdr:row>
      <xdr:rowOff>112091</xdr:rowOff>
    </xdr:from>
    <xdr:to>
      <xdr:col>21</xdr:col>
      <xdr:colOff>181114</xdr:colOff>
      <xdr:row>18</xdr:row>
      <xdr:rowOff>139700</xdr:rowOff>
    </xdr:to>
    <xdr:sp macro="" textlink="">
      <xdr:nvSpPr>
        <xdr:cNvPr id="20" name="TextBox 19">
          <a:extLst>
            <a:ext uri="{FF2B5EF4-FFF2-40B4-BE49-F238E27FC236}">
              <a16:creationId xmlns:a16="http://schemas.microsoft.com/office/drawing/2014/main" id="{0C8C4157-B764-4988-9320-2F0AD86B9213}"/>
            </a:ext>
          </a:extLst>
        </xdr:cNvPr>
        <xdr:cNvSpPr txBox="1"/>
      </xdr:nvSpPr>
      <xdr:spPr>
        <a:xfrm>
          <a:off x="10423940" y="2624482"/>
          <a:ext cx="2512391" cy="565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Cancelled</a:t>
          </a:r>
        </a:p>
      </xdr:txBody>
    </xdr:sp>
    <xdr:clientData/>
  </xdr:twoCellAnchor>
  <xdr:twoCellAnchor>
    <xdr:from>
      <xdr:col>14</xdr:col>
      <xdr:colOff>234674</xdr:colOff>
      <xdr:row>12</xdr:row>
      <xdr:rowOff>138043</xdr:rowOff>
    </xdr:from>
    <xdr:to>
      <xdr:col>15</xdr:col>
      <xdr:colOff>538369</xdr:colOff>
      <xdr:row>16</xdr:row>
      <xdr:rowOff>1</xdr:rowOff>
    </xdr:to>
    <xdr:sp macro="" textlink="">
      <xdr:nvSpPr>
        <xdr:cNvPr id="21" name="TextBox 20">
          <a:extLst>
            <a:ext uri="{FF2B5EF4-FFF2-40B4-BE49-F238E27FC236}">
              <a16:creationId xmlns:a16="http://schemas.microsoft.com/office/drawing/2014/main" id="{1688CE98-90C8-4DBB-8031-9E8001D81561}"/>
            </a:ext>
          </a:extLst>
        </xdr:cNvPr>
        <xdr:cNvSpPr txBox="1"/>
      </xdr:nvSpPr>
      <xdr:spPr>
        <a:xfrm>
          <a:off x="8738152" y="2112065"/>
          <a:ext cx="911087" cy="579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Min</a:t>
          </a:r>
        </a:p>
      </xdr:txBody>
    </xdr:sp>
    <xdr:clientData/>
  </xdr:twoCellAnchor>
  <xdr:twoCellAnchor>
    <xdr:from>
      <xdr:col>1</xdr:col>
      <xdr:colOff>151848</xdr:colOff>
      <xdr:row>20</xdr:row>
      <xdr:rowOff>69023</xdr:rowOff>
    </xdr:from>
    <xdr:to>
      <xdr:col>7</xdr:col>
      <xdr:colOff>565978</xdr:colOff>
      <xdr:row>33</xdr:row>
      <xdr:rowOff>13804</xdr:rowOff>
    </xdr:to>
    <xdr:graphicFrame macro="">
      <xdr:nvGraphicFramePr>
        <xdr:cNvPr id="22" name="Chart 21">
          <a:extLst>
            <a:ext uri="{FF2B5EF4-FFF2-40B4-BE49-F238E27FC236}">
              <a16:creationId xmlns:a16="http://schemas.microsoft.com/office/drawing/2014/main" id="{EC47BEC8-7AF6-42A1-8BAE-D632DC5D4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248477</xdr:colOff>
      <xdr:row>20</xdr:row>
      <xdr:rowOff>27610</xdr:rowOff>
    </xdr:from>
    <xdr:to>
      <xdr:col>15</xdr:col>
      <xdr:colOff>358912</xdr:colOff>
      <xdr:row>33</xdr:row>
      <xdr:rowOff>55217</xdr:rowOff>
    </xdr:to>
    <xdr:graphicFrame macro="">
      <xdr:nvGraphicFramePr>
        <xdr:cNvPr id="23" name="Chart 22">
          <a:extLst>
            <a:ext uri="{FF2B5EF4-FFF2-40B4-BE49-F238E27FC236}">
              <a16:creationId xmlns:a16="http://schemas.microsoft.com/office/drawing/2014/main" id="{93CF8C89-DAB1-4C6F-AE2F-D2299B220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207067</xdr:colOff>
      <xdr:row>34</xdr:row>
      <xdr:rowOff>82826</xdr:rowOff>
    </xdr:from>
    <xdr:to>
      <xdr:col>8</xdr:col>
      <xdr:colOff>13805</xdr:colOff>
      <xdr:row>46</xdr:row>
      <xdr:rowOff>96631</xdr:rowOff>
    </xdr:to>
    <xdr:pic>
      <xdr:nvPicPr>
        <xdr:cNvPr id="25" name="Picture 24">
          <a:extLst>
            <a:ext uri="{FF2B5EF4-FFF2-40B4-BE49-F238E27FC236}">
              <a16:creationId xmlns:a16="http://schemas.microsoft.com/office/drawing/2014/main" id="{10F3A959-30BB-42CE-87E5-114AD01802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4458" y="6004891"/>
          <a:ext cx="4058477" cy="2167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579782</xdr:colOff>
      <xdr:row>34</xdr:row>
      <xdr:rowOff>82825</xdr:rowOff>
    </xdr:from>
    <xdr:to>
      <xdr:col>15</xdr:col>
      <xdr:colOff>331304</xdr:colOff>
      <xdr:row>46</xdr:row>
      <xdr:rowOff>69022</xdr:rowOff>
    </xdr:to>
    <xdr:graphicFrame macro="">
      <xdr:nvGraphicFramePr>
        <xdr:cNvPr id="26" name="Chart 25">
          <a:extLst>
            <a:ext uri="{FF2B5EF4-FFF2-40B4-BE49-F238E27FC236}">
              <a16:creationId xmlns:a16="http://schemas.microsoft.com/office/drawing/2014/main" id="{2A4D8D12-6E3F-4857-9A66-1DC0503B6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526774</xdr:colOff>
      <xdr:row>21</xdr:row>
      <xdr:rowOff>13805</xdr:rowOff>
    </xdr:from>
    <xdr:to>
      <xdr:col>21</xdr:col>
      <xdr:colOff>262282</xdr:colOff>
      <xdr:row>33</xdr:row>
      <xdr:rowOff>96630</xdr:rowOff>
    </xdr:to>
    <xdr:graphicFrame macro="">
      <xdr:nvGraphicFramePr>
        <xdr:cNvPr id="27" name="Chart 26">
          <a:extLst>
            <a:ext uri="{FF2B5EF4-FFF2-40B4-BE49-F238E27FC236}">
              <a16:creationId xmlns:a16="http://schemas.microsoft.com/office/drawing/2014/main" id="{329EFB31-BDED-4D61-BCF9-3E312223D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597163</xdr:colOff>
      <xdr:row>34</xdr:row>
      <xdr:rowOff>110435</xdr:rowOff>
    </xdr:from>
    <xdr:to>
      <xdr:col>21</xdr:col>
      <xdr:colOff>207065</xdr:colOff>
      <xdr:row>46</xdr:row>
      <xdr:rowOff>41414</xdr:rowOff>
    </xdr:to>
    <xdr:graphicFrame macro="">
      <xdr:nvGraphicFramePr>
        <xdr:cNvPr id="29" name="Chart 28">
          <a:extLst>
            <a:ext uri="{FF2B5EF4-FFF2-40B4-BE49-F238E27FC236}">
              <a16:creationId xmlns:a16="http://schemas.microsoft.com/office/drawing/2014/main" id="{6EF68F38-56BE-441B-B9A0-5D56FF42C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165652</xdr:colOff>
      <xdr:row>5</xdr:row>
      <xdr:rowOff>69021</xdr:rowOff>
    </xdr:from>
    <xdr:to>
      <xdr:col>5</xdr:col>
      <xdr:colOff>593586</xdr:colOff>
      <xdr:row>11</xdr:row>
      <xdr:rowOff>27609</xdr:rowOff>
    </xdr:to>
    <mc:AlternateContent xmlns:mc="http://schemas.openxmlformats.org/markup-compatibility/2006">
      <mc:Choice xmlns:a14="http://schemas.microsoft.com/office/drawing/2010/main" Requires="a14">
        <xdr:graphicFrame macro="">
          <xdr:nvGraphicFramePr>
            <xdr:cNvPr id="31" name="TimeOfDay">
              <a:extLst>
                <a:ext uri="{FF2B5EF4-FFF2-40B4-BE49-F238E27FC236}">
                  <a16:creationId xmlns:a16="http://schemas.microsoft.com/office/drawing/2014/main" id="{49A02B31-EB21-4063-A5CC-31416C684B88}"/>
                </a:ext>
              </a:extLst>
            </xdr:cNvPr>
            <xdr:cNvGraphicFramePr/>
          </xdr:nvGraphicFramePr>
          <xdr:xfrm>
            <a:off x="0" y="0"/>
            <a:ext cx="0" cy="0"/>
          </xdr:xfrm>
          <a:graphic>
            <a:graphicData uri="http://schemas.microsoft.com/office/drawing/2010/slicer">
              <sle:slicer xmlns:sle="http://schemas.microsoft.com/office/drawing/2010/slicer" name="TimeOfDay"/>
            </a:graphicData>
          </a:graphic>
        </xdr:graphicFrame>
      </mc:Choice>
      <mc:Fallback>
        <xdr:sp macro="" textlink="">
          <xdr:nvSpPr>
            <xdr:cNvPr id="0" name=""/>
            <xdr:cNvSpPr>
              <a:spLocks noTextEdit="1"/>
            </xdr:cNvSpPr>
          </xdr:nvSpPr>
          <xdr:spPr>
            <a:xfrm>
              <a:off x="773043" y="966304"/>
              <a:ext cx="2857500" cy="1035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248479</xdr:colOff>
      <xdr:row>4</xdr:row>
      <xdr:rowOff>82826</xdr:rowOff>
    </xdr:from>
    <xdr:to>
      <xdr:col>21</xdr:col>
      <xdr:colOff>317500</xdr:colOff>
      <xdr:row>11</xdr:row>
      <xdr:rowOff>13804</xdr:rowOff>
    </xdr:to>
    <mc:AlternateContent xmlns:mc="http://schemas.openxmlformats.org/markup-compatibility/2006">
      <mc:Choice xmlns:a14="http://schemas.microsoft.com/office/drawing/2010/main" Requires="a14">
        <xdr:graphicFrame macro="">
          <xdr:nvGraphicFramePr>
            <xdr:cNvPr id="33" name="Origin">
              <a:extLst>
                <a:ext uri="{FF2B5EF4-FFF2-40B4-BE49-F238E27FC236}">
                  <a16:creationId xmlns:a16="http://schemas.microsoft.com/office/drawing/2014/main" id="{9137DFDD-7DEB-4549-838E-E9F0506D65FF}"/>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dr:sp macro="" textlink="">
          <xdr:nvSpPr>
            <xdr:cNvPr id="0" name=""/>
            <xdr:cNvSpPr>
              <a:spLocks noTextEdit="1"/>
            </xdr:cNvSpPr>
          </xdr:nvSpPr>
          <xdr:spPr>
            <a:xfrm>
              <a:off x="6929783" y="800652"/>
              <a:ext cx="6142934" cy="1187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165651</xdr:colOff>
      <xdr:row>5</xdr:row>
      <xdr:rowOff>27610</xdr:rowOff>
    </xdr:from>
    <xdr:to>
      <xdr:col>11</xdr:col>
      <xdr:colOff>96631</xdr:colOff>
      <xdr:row>11</xdr:row>
      <xdr:rowOff>0</xdr:rowOff>
    </xdr:to>
    <mc:AlternateContent xmlns:mc="http://schemas.openxmlformats.org/markup-compatibility/2006">
      <mc:Choice xmlns:a14="http://schemas.microsoft.com/office/drawing/2010/main" Requires="a14">
        <xdr:graphicFrame macro="">
          <xdr:nvGraphicFramePr>
            <xdr:cNvPr id="35" name="AircraftType">
              <a:extLst>
                <a:ext uri="{FF2B5EF4-FFF2-40B4-BE49-F238E27FC236}">
                  <a16:creationId xmlns:a16="http://schemas.microsoft.com/office/drawing/2014/main" id="{2A2CF23E-FC65-4EF5-98E2-387C5DC51098}"/>
                </a:ext>
              </a:extLst>
            </xdr:cNvPr>
            <xdr:cNvGraphicFramePr/>
          </xdr:nvGraphicFramePr>
          <xdr:xfrm>
            <a:off x="0" y="0"/>
            <a:ext cx="0" cy="0"/>
          </xdr:xfrm>
          <a:graphic>
            <a:graphicData uri="http://schemas.microsoft.com/office/drawing/2010/slicer">
              <sle:slicer xmlns:sle="http://schemas.microsoft.com/office/drawing/2010/slicer" name="AircraftType"/>
            </a:graphicData>
          </a:graphic>
        </xdr:graphicFrame>
      </mc:Choice>
      <mc:Fallback>
        <xdr:sp macro="" textlink="">
          <xdr:nvSpPr>
            <xdr:cNvPr id="0" name=""/>
            <xdr:cNvSpPr>
              <a:spLocks noTextEdit="1"/>
            </xdr:cNvSpPr>
          </xdr:nvSpPr>
          <xdr:spPr>
            <a:xfrm>
              <a:off x="3809999" y="924893"/>
              <a:ext cx="2967936" cy="1049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120650</xdr:colOff>
      <xdr:row>22</xdr:row>
      <xdr:rowOff>12699</xdr:rowOff>
    </xdr:from>
    <xdr:to>
      <xdr:col>5</xdr:col>
      <xdr:colOff>6350</xdr:colOff>
      <xdr:row>36</xdr:row>
      <xdr:rowOff>79374</xdr:rowOff>
    </xdr:to>
    <xdr:graphicFrame macro="">
      <xdr:nvGraphicFramePr>
        <xdr:cNvPr id="2" name="Chart 1">
          <a:extLst>
            <a:ext uri="{FF2B5EF4-FFF2-40B4-BE49-F238E27FC236}">
              <a16:creationId xmlns:a16="http://schemas.microsoft.com/office/drawing/2014/main" id="{9BA99F2E-AD44-4CF0-9DC7-96FB32F2F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825500</xdr:colOff>
      <xdr:row>20</xdr:row>
      <xdr:rowOff>123825</xdr:rowOff>
    </xdr:from>
    <xdr:to>
      <xdr:col>11</xdr:col>
      <xdr:colOff>184150</xdr:colOff>
      <xdr:row>35</xdr:row>
      <xdr:rowOff>104775</xdr:rowOff>
    </xdr:to>
    <xdr:graphicFrame macro="">
      <xdr:nvGraphicFramePr>
        <xdr:cNvPr id="3" name="Chart 2">
          <a:extLst>
            <a:ext uri="{FF2B5EF4-FFF2-40B4-BE49-F238E27FC236}">
              <a16:creationId xmlns:a16="http://schemas.microsoft.com/office/drawing/2014/main" id="{C92B0ADB-E45D-4FA3-B8CC-9E75550D2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495300</xdr:colOff>
      <xdr:row>56</xdr:row>
      <xdr:rowOff>79375</xdr:rowOff>
    </xdr:from>
    <xdr:to>
      <xdr:col>5</xdr:col>
      <xdr:colOff>863600</xdr:colOff>
      <xdr:row>68</xdr:row>
      <xdr:rowOff>101600</xdr:rowOff>
    </xdr:to>
    <xdr:graphicFrame macro="">
      <xdr:nvGraphicFramePr>
        <xdr:cNvPr id="4" name="Chart 3">
          <a:extLst>
            <a:ext uri="{FF2B5EF4-FFF2-40B4-BE49-F238E27FC236}">
              <a16:creationId xmlns:a16="http://schemas.microsoft.com/office/drawing/2014/main" id="{ABAA8442-D62A-4A63-AADC-2E59F7E4F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203200</xdr:colOff>
      <xdr:row>73</xdr:row>
      <xdr:rowOff>66675</xdr:rowOff>
    </xdr:from>
    <xdr:to>
      <xdr:col>5</xdr:col>
      <xdr:colOff>1136650</xdr:colOff>
      <xdr:row>86</xdr:row>
      <xdr:rowOff>171450</xdr:rowOff>
    </xdr:to>
    <xdr:graphicFrame macro="">
      <xdr:nvGraphicFramePr>
        <xdr:cNvPr id="5" name="Chart 4">
          <a:extLst>
            <a:ext uri="{FF2B5EF4-FFF2-40B4-BE49-F238E27FC236}">
              <a16:creationId xmlns:a16="http://schemas.microsoft.com/office/drawing/2014/main" id="{0D3E8319-6159-4F48-8081-D1CAA159A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241300</xdr:colOff>
      <xdr:row>95</xdr:row>
      <xdr:rowOff>174625</xdr:rowOff>
    </xdr:from>
    <xdr:to>
      <xdr:col>3</xdr:col>
      <xdr:colOff>863600</xdr:colOff>
      <xdr:row>109</xdr:row>
      <xdr:rowOff>76200</xdr:rowOff>
    </xdr:to>
    <xdr:graphicFrame macro="">
      <xdr:nvGraphicFramePr>
        <xdr:cNvPr id="6" name="Chart 5">
          <a:extLst>
            <a:ext uri="{FF2B5EF4-FFF2-40B4-BE49-F238E27FC236}">
              <a16:creationId xmlns:a16="http://schemas.microsoft.com/office/drawing/2014/main" id="{1CBF6A02-589C-4179-B541-8428B86DA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393700</xdr:colOff>
      <xdr:row>96</xdr:row>
      <xdr:rowOff>142875</xdr:rowOff>
    </xdr:from>
    <xdr:to>
      <xdr:col>3</xdr:col>
      <xdr:colOff>1016000</xdr:colOff>
      <xdr:row>110</xdr:row>
      <xdr:rowOff>44450</xdr:rowOff>
    </xdr:to>
    <xdr:graphicFrame macro="">
      <xdr:nvGraphicFramePr>
        <xdr:cNvPr id="9" name="Chart 8">
          <a:extLst>
            <a:ext uri="{FF2B5EF4-FFF2-40B4-BE49-F238E27FC236}">
              <a16:creationId xmlns:a16="http://schemas.microsoft.com/office/drawing/2014/main" id="{20021965-AD4D-4EE2-9274-02AEC56DE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3.879545370371" createdVersion="7" refreshedVersion="7" minRefreshableVersion="3" recordCount="1000" xr:uid="{5BF2320C-77DD-4CE2-B3C6-CBBDB9AC82F2}">
  <cacheSource type="worksheet">
    <worksheetSource name="Table1_2[[FlightDate]:[TimeOfDay]]"/>
  </cacheSource>
  <cacheFields count="16">
    <cacheField name="FlightDate" numFmtId="22">
      <sharedItems containsSemiMixedTypes="0" containsNonDate="0" containsDate="1" containsString="0" minDate="2025-09-01T00:00:00" maxDate="2026-09-01T00:00:00"/>
    </cacheField>
    <cacheField name="FlightNumber" numFmtId="0">
      <sharedItems count="573">
        <s v="SK438"/>
        <s v="SK700"/>
        <s v="SK843"/>
        <s v="SK823"/>
        <s v="SK594"/>
        <s v="SK514"/>
        <s v="SK621"/>
        <s v="SK759"/>
        <s v="SK598"/>
        <s v="SK201"/>
        <s v="SK446"/>
        <s v="SK327"/>
        <s v="SK682"/>
        <s v="SK872"/>
        <s v="SK624"/>
        <s v="SK889"/>
        <s v="SK546"/>
        <s v="SK493"/>
        <s v="SK434"/>
        <s v="SK413"/>
        <s v="SK611"/>
        <s v="SK645"/>
        <s v="SK810"/>
        <s v="SK420"/>
        <s v="SK241"/>
        <s v="SK328"/>
        <s v="SK153"/>
        <s v="SK113"/>
        <s v="SK177"/>
        <s v="SK809"/>
        <s v="SK812"/>
        <s v="SK510"/>
        <s v="SK898"/>
        <s v="SK551"/>
        <s v="SK376"/>
        <s v="SK782"/>
        <s v="SK660"/>
        <s v="SK456"/>
        <s v="SK508"/>
        <s v="SK383"/>
        <s v="SK408"/>
        <s v="SK803"/>
        <s v="SK427"/>
        <s v="SK395"/>
        <s v="SK368"/>
        <s v="SK652"/>
        <s v="SK538"/>
        <s v="SK401"/>
        <s v="SK178"/>
        <s v="SK301"/>
        <s v="SK159"/>
        <s v="SK377"/>
        <s v="SK452"/>
        <s v="SK185"/>
        <s v="SK639"/>
        <s v="SK294"/>
        <s v="SK534"/>
        <s v="SK405"/>
        <s v="SK778"/>
        <s v="SK296"/>
        <s v="SK138"/>
        <s v="SK145"/>
        <s v="SK357"/>
        <s v="SK387"/>
        <s v="SK360"/>
        <s v="SK346"/>
        <s v="SK340"/>
        <s v="SK848"/>
        <s v="SK103"/>
        <s v="SK505"/>
        <s v="SK613"/>
        <s v="SK545"/>
        <s v="SK659"/>
        <s v="SK570"/>
        <s v="SK167"/>
        <s v="SK144"/>
        <s v="SK871"/>
        <s v="SK610"/>
        <s v="SK283"/>
        <s v="SK628"/>
        <s v="SK897"/>
        <s v="SK343"/>
        <s v="SK392"/>
        <s v="SK574"/>
        <s v="SK305"/>
        <s v="SK448"/>
        <s v="SK148"/>
        <s v="SK720"/>
        <s v="SK312"/>
        <s v="SK119"/>
        <s v="SK814"/>
        <s v="SK820"/>
        <s v="SK737"/>
        <s v="SK255"/>
        <s v="SK150"/>
        <s v="SK631"/>
        <s v="SK111"/>
        <s v="SK702"/>
        <s v="SK277"/>
        <s v="SK744"/>
        <s v="SK596"/>
        <s v="SK603"/>
        <s v="SK742"/>
        <s v="SK475"/>
        <s v="SK716"/>
        <s v="SK583"/>
        <s v="SK884"/>
        <s v="SK462"/>
        <s v="SK442"/>
        <s v="SK115"/>
        <s v="SK163"/>
        <s v="SK435"/>
        <s v="SK717"/>
        <s v="SK762"/>
        <s v="SK242"/>
        <s v="SK266"/>
        <s v="SK237"/>
        <s v="SK757"/>
        <s v="SK497"/>
        <s v="SK162"/>
        <s v="SK735"/>
        <s v="SK521"/>
        <s v="SK213"/>
        <s v="SK549"/>
        <s v="SK748"/>
        <s v="SK849"/>
        <s v="SK112"/>
        <s v="SK868"/>
        <s v="SK527"/>
        <s v="SK194"/>
        <s v="SK349"/>
        <s v="SK416"/>
        <s v="SK423"/>
        <s v="SK252"/>
        <s v="SK670"/>
        <s v="SK656"/>
        <s v="SK496"/>
        <s v="SK787"/>
        <s v="SK860"/>
        <s v="SK768"/>
        <s v="SK304"/>
        <s v="SK876"/>
        <s v="SK535"/>
        <s v="SK459"/>
        <s v="SK650"/>
        <s v="SK649"/>
        <s v="SK211"/>
        <s v="SK743"/>
        <s v="SK589"/>
        <s v="SK412"/>
        <s v="SK790"/>
        <s v="SK563"/>
        <s v="SK379"/>
        <s v="SK358"/>
        <s v="SK479"/>
        <s v="SK417"/>
        <s v="SK169"/>
        <s v="SK168"/>
        <s v="SK564"/>
        <s v="SK326"/>
        <s v="SK181"/>
        <s v="SK463"/>
        <s v="SK227"/>
        <s v="SK431"/>
        <s v="SK747"/>
        <s v="SK225"/>
        <s v="SK385"/>
        <s v="SK314"/>
        <s v="SK821"/>
        <s v="SK352"/>
        <s v="SK330"/>
        <s v="SK334"/>
        <s v="SK571"/>
        <s v="SK478"/>
        <s v="SK512"/>
        <s v="SK671"/>
        <s v="SK800"/>
        <s v="SK663"/>
        <s v="SK444"/>
        <s v="SK222"/>
        <s v="SK494"/>
        <s v="SK612"/>
        <s v="SK190"/>
        <s v="SK795"/>
        <s v="SK286"/>
        <s v="SK767"/>
        <s v="SK249"/>
        <s v="SK120"/>
        <s v="SK267"/>
        <s v="SK774"/>
        <s v="SK443"/>
        <s v="SK107"/>
        <s v="SK502"/>
        <s v="SK516"/>
        <s v="SK792"/>
        <s v="SK501"/>
        <s v="SK230"/>
        <s v="SK114"/>
        <s v="SK122"/>
        <s v="SK240"/>
        <s v="SK275"/>
        <s v="SK158"/>
        <s v="SK116"/>
        <s v="SK464"/>
        <s v="SK319"/>
        <s v="SK152"/>
        <s v="SK156"/>
        <s v="SK293"/>
        <s v="SK517"/>
        <s v="SK777"/>
        <s v="SK174"/>
        <s v="SK786"/>
        <s v="SK147"/>
        <s v="SK257"/>
        <s v="SK485"/>
        <s v="SK105"/>
        <s v="SK339"/>
        <s v="SK825"/>
        <s v="SK541"/>
        <s v="SK498"/>
        <s v="SK694"/>
        <s v="SK522"/>
        <s v="SK176"/>
        <s v="SK325"/>
        <s v="SK322"/>
        <s v="SK465"/>
        <s v="SK289"/>
        <s v="SK679"/>
        <s v="SK217"/>
        <s v="SK799"/>
        <s v="SK460"/>
        <s v="SK364"/>
        <s v="SK865"/>
        <s v="SK203"/>
        <s v="SK482"/>
        <s v="SK214"/>
        <s v="SK488"/>
        <s v="SK672"/>
        <s v="SK675"/>
        <s v="SK108"/>
        <s v="SK651"/>
        <s v="SK837"/>
        <s v="SK852"/>
        <s v="SK432"/>
        <s v="SK761"/>
        <s v="SK149"/>
        <s v="SK351"/>
        <s v="SK259"/>
        <s v="SK712"/>
        <s v="SK329"/>
        <s v="SK687"/>
        <s v="SK193"/>
        <s v="SK879"/>
        <s v="SK644"/>
        <s v="SK381"/>
        <s v="SK850"/>
        <s v="SK104"/>
        <s v="SK345"/>
        <s v="SK736"/>
        <s v="SK251"/>
        <s v="SK404"/>
        <s v="SK449"/>
        <s v="SK365"/>
        <s v="SK681"/>
        <s v="SK258"/>
        <s v="SK204"/>
        <s v="SK481"/>
        <s v="SK166"/>
        <s v="SK414"/>
        <s v="SK458"/>
        <s v="SK688"/>
        <s v="SK695"/>
        <s v="SK805"/>
        <s v="SK469"/>
        <s v="SK461"/>
        <s v="SK802"/>
        <s v="SK543"/>
        <s v="SK783"/>
        <s v="SK738"/>
        <s v="SK344"/>
        <s v="SK269"/>
        <s v="SK760"/>
        <s v="SK677"/>
        <s v="SK380"/>
        <s v="SK772"/>
        <s v="SK642"/>
        <s v="SK885"/>
        <s v="SK531"/>
        <s v="SK845"/>
        <s v="SK131"/>
        <s v="SK398"/>
        <s v="SK851"/>
        <s v="SK229"/>
        <s v="SK773"/>
        <s v="SK236"/>
        <s v="SK424"/>
        <s v="SK887"/>
        <s v="SK665"/>
        <s v="SK806"/>
        <s v="SK359"/>
        <s v="SK335"/>
        <s v="SK429"/>
        <s v="SK393"/>
        <s v="SK601"/>
        <s v="SK441"/>
        <s v="SK861"/>
        <s v="SK653"/>
        <s v="SK623"/>
        <s v="SK350"/>
        <s v="SK733"/>
        <s v="SK881"/>
        <s v="SK827"/>
        <s v="SK824"/>
        <s v="SK495"/>
        <s v="SK291"/>
        <s v="SK558"/>
        <s v="SK136"/>
        <s v="SK859"/>
        <s v="SK715"/>
        <s v="SK725"/>
        <s v="SK839"/>
        <s v="SK302"/>
        <s v="SK484"/>
        <s v="SK270"/>
        <s v="SK308"/>
        <s v="SK232"/>
        <s v="SK341"/>
        <s v="SK600"/>
        <s v="SK419"/>
        <s v="SK196"/>
        <s v="SK100"/>
        <s v="SK247"/>
        <s v="SK626"/>
        <s v="SK831"/>
        <s v="SK841"/>
        <s v="SK386"/>
        <s v="SK503"/>
        <s v="SK151"/>
        <s v="SK591"/>
        <s v="SK766"/>
        <s v="SK332"/>
        <s v="SK673"/>
        <s v="SK457"/>
        <s v="SK500"/>
        <s v="SK789"/>
        <s v="SK262"/>
        <s v="SK171"/>
        <s v="SK195"/>
        <s v="SK264"/>
        <s v="SK559"/>
        <s v="SK528"/>
        <s v="SK741"/>
        <s v="SK602"/>
        <s v="SK674"/>
        <s v="SK199"/>
        <s v="SK590"/>
        <s v="SK557"/>
        <s v="SK451"/>
        <s v="SK445"/>
        <s v="SK391"/>
        <s v="SK586"/>
        <s v="SK279"/>
        <s v="SK268"/>
        <s v="SK170"/>
        <s v="SK311"/>
        <s v="SK867"/>
        <s v="SK796"/>
        <s v="SK633"/>
        <s v="SK680"/>
        <s v="SK101"/>
        <s v="SK593"/>
        <s v="SK109"/>
        <s v="SK487"/>
        <s v="SK630"/>
        <s v="SK804"/>
        <s v="SK524"/>
        <s v="SK221"/>
        <s v="SK400"/>
        <s v="SK141"/>
        <s v="SK568"/>
        <s v="SK811"/>
        <s v="SK654"/>
        <s v="SK466"/>
        <s v="SK819"/>
        <s v="SK261"/>
        <s v="SK378"/>
        <s v="SK409"/>
        <s v="SK756"/>
        <s v="SK243"/>
        <s v="SK894"/>
        <s v="SK697"/>
        <s v="SK784"/>
        <s v="SK553"/>
        <s v="SK662"/>
        <s v="SK285"/>
        <s v="SK215"/>
        <s v="SK705"/>
        <s v="SK891"/>
        <s v="SK763"/>
        <s v="SK282"/>
        <s v="SK664"/>
        <s v="SK609"/>
        <s v="SK525"/>
        <s v="SK617"/>
        <s v="SK338"/>
        <s v="SK278"/>
        <s v="SK298"/>
        <s v="SK183"/>
        <s v="SK668"/>
        <s v="SK394"/>
        <s v="SK708"/>
        <s v="SK146"/>
        <s v="SK523"/>
        <s v="SK321"/>
        <s v="SK123"/>
        <s v="SK855"/>
        <s v="SK490"/>
        <s v="SK540"/>
        <s v="SK533"/>
        <s v="SK815"/>
        <s v="SK698"/>
        <s v="SK569"/>
        <s v="SK250"/>
        <s v="SK492"/>
        <s v="SK422"/>
        <s v="SK632"/>
        <s v="SK323"/>
        <s v="SK507"/>
        <s v="SK234"/>
        <s v="SK290"/>
        <s v="SK134"/>
        <s v="SK272"/>
        <s v="SK374"/>
        <s v="SK770"/>
        <s v="SK880"/>
        <s v="SK846"/>
        <s v="SK246"/>
        <s v="SK207"/>
        <s v="SK798"/>
        <s v="SK605"/>
        <s v="SK562"/>
        <s v="SK297"/>
        <s v="SK693"/>
        <s v="SK856"/>
        <s v="SK655"/>
        <s v="SK370"/>
        <s v="SK585"/>
        <s v="SK683"/>
        <s v="SK191"/>
        <s v="SK863"/>
        <s v="SK793"/>
        <s v="SK779"/>
        <s v="SK274"/>
        <s v="SK271"/>
        <s v="SK471"/>
        <s v="SK184"/>
        <s v="SK198"/>
        <s v="SK154"/>
        <s v="SK840"/>
        <s v="SK483"/>
        <s v="SK640"/>
        <s v="SK769"/>
        <s v="SK480"/>
        <s v="SK592"/>
        <s v="SK711"/>
        <s v="SK781"/>
        <s v="SK866"/>
        <s v="SK318"/>
        <s v="SK678"/>
        <s v="SK373"/>
        <s v="SK118"/>
        <s v="SK751"/>
        <s v="SK689"/>
        <s v="SK511"/>
        <s v="SK755"/>
        <s v="SK518"/>
        <s v="SK411"/>
        <s v="SK388"/>
        <s v="SK421"/>
        <s v="SK740"/>
        <s v="SK155"/>
        <s v="SK317"/>
        <s v="SK239"/>
        <s v="SK486"/>
        <s v="SK724"/>
        <s v="SK710"/>
        <s v="SK254"/>
        <s v="SK548"/>
        <s v="SK560"/>
        <s v="SK801"/>
        <s v="SK403"/>
        <s v="SK607"/>
        <s v="SK579"/>
        <s v="SK474"/>
        <s v="SK165"/>
        <s v="SK719"/>
        <s v="SK309"/>
        <s v="SK389"/>
        <s v="SK842"/>
        <s v="SK164"/>
        <s v="SK450"/>
        <s v="SK892"/>
        <s v="SK657"/>
        <s v="SK616"/>
        <s v="SK197"/>
        <s v="SK581"/>
        <s v="SK745"/>
        <s v="SK472"/>
        <s v="SK547"/>
        <s v="SK749"/>
        <s v="SK128"/>
        <s v="SK473"/>
        <s v="SK276"/>
        <s v="SK307"/>
        <s v="SK396"/>
        <s v="SK127"/>
        <s v="SK331"/>
        <s v="SK316"/>
        <s v="SK205"/>
        <s v="SK604"/>
        <s v="SK555"/>
        <s v="SK126"/>
        <s v="SK731"/>
        <s v="SK615"/>
        <s v="SK537"/>
        <s v="SK361"/>
        <s v="SK244"/>
        <s v="SK287"/>
        <s v="SK356"/>
        <s v="SK102"/>
        <s v="SK730"/>
        <s v="SK706"/>
        <s v="SK874"/>
        <s v="SK192"/>
        <s v="SK348"/>
        <s v="SK489"/>
        <s v="SK888"/>
        <s v="SK832"/>
        <s v="SK542"/>
        <s v="SK256"/>
        <s v="SK299"/>
        <s v="SK625"/>
        <s v="SK648"/>
        <s v="SK303"/>
        <s v="SK437"/>
        <s v="SK265"/>
        <s v="SK306"/>
        <s v="SK238"/>
        <s v="SK515"/>
        <s v="SK746"/>
        <s v="SK864"/>
        <s v="SK410"/>
        <s v="SK121"/>
        <s v="SK280"/>
        <s v="SK284"/>
        <s v="SK281"/>
        <s v="SK666"/>
        <s v="SK253"/>
        <s v="SK248"/>
        <s v="SK520"/>
        <s v="SK882"/>
        <s v="SK453"/>
        <s v="SK477"/>
        <s v="SK324"/>
        <s v="SK599"/>
        <s v="SK124"/>
        <s v="SK816"/>
        <s v="SK854"/>
        <s v="SK870"/>
        <s v="SK224"/>
        <s v="SK220"/>
        <s v="SK433"/>
        <s v="SK808"/>
      </sharedItems>
    </cacheField>
    <cacheField name="Origin" numFmtId="0">
      <sharedItems/>
    </cacheField>
    <cacheField name="Destination" numFmtId="0">
      <sharedItems/>
    </cacheField>
    <cacheField name="AircraftType" numFmtId="0">
      <sharedItems/>
    </cacheField>
    <cacheField name="ScheduledDeparture" numFmtId="0">
      <sharedItems containsSemiMixedTypes="0" containsString="0" containsNumber="1" minValue="0.21180555555555561" maxValue="0.95138888888888884"/>
    </cacheField>
    <cacheField name="ActualDeparture" numFmtId="0">
      <sharedItems containsString="0" containsBlank="1" containsNumber="1" minValue="0.21111111111111111" maxValue="0.99583333333333335"/>
    </cacheField>
    <cacheField name="ArrivalDelayMin" numFmtId="0">
      <sharedItems containsString="0" containsBlank="1" containsNumber="1" containsInteger="1" minValue="-20" maxValue="213"/>
    </cacheField>
    <cacheField name="DelayCause" numFmtId="0">
      <sharedItems/>
    </cacheField>
    <cacheField name="Status" numFmtId="0">
      <sharedItems count="2">
        <s v="Completed"/>
        <s v="Cancelled"/>
      </sharedItems>
    </cacheField>
    <cacheField name="DistanceMiles" numFmtId="0">
      <sharedItems containsString="0" containsBlank="1" containsNumber="1" containsInteger="1" minValue="186" maxValue="2722"/>
    </cacheField>
    <cacheField name="DepartureDelayMin" numFmtId="0">
      <sharedItems containsString="0" containsBlank="1" containsNumber="1" containsInteger="1" minValue="-8" maxValue="218"/>
    </cacheField>
    <cacheField name="Month Name" numFmtId="0">
      <sharedItems/>
    </cacheField>
    <cacheField name="Day Name" numFmtId="0">
      <sharedItems/>
    </cacheField>
    <cacheField name="OnTime" numFmtId="0">
      <sharedItems containsString="0" containsBlank="1" containsNumber="1" containsInteger="1" minValue="0" maxValue="1"/>
    </cacheField>
    <cacheField name="TimeOfDa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3.892224768519" createdVersion="7" refreshedVersion="7" minRefreshableVersion="3" recordCount="1000" xr:uid="{7BF1B724-AAB3-484E-8D6D-58BC7758ED16}">
  <cacheSource type="worksheet">
    <worksheetSource name="Table1_2"/>
  </cacheSource>
  <cacheFields count="20">
    <cacheField name="Column1" numFmtId="0">
      <sharedItems/>
    </cacheField>
    <cacheField name="FlightDate" numFmtId="22">
      <sharedItems containsSemiMixedTypes="0" containsNonDate="0" containsDate="1" containsString="0" minDate="2025-09-01T00:00:00" maxDate="2026-09-01T00:00:00" count="341">
        <d v="2025-09-01T00:00:00"/>
        <d v="2025-09-02T00:00:00"/>
        <d v="2025-09-03T00:00:00"/>
        <d v="2025-09-04T00:00:00"/>
        <d v="2025-09-05T00:00:00"/>
        <d v="2025-09-06T00:00:00"/>
        <d v="2025-09-07T00:00:00"/>
        <d v="2025-09-08T00:00:00"/>
        <d v="2025-09-09T00:00:00"/>
        <d v="2025-09-10T00:00:00"/>
        <d v="2025-09-11T00:00:00"/>
        <d v="2025-09-12T00:00:00"/>
        <d v="2025-09-13T00:00:00"/>
        <d v="2025-09-14T00:00:00"/>
        <d v="2025-09-16T00:00:00"/>
        <d v="2025-09-17T00:00:00"/>
        <d v="2025-09-18T00:00:00"/>
        <d v="2025-09-19T00:00:00"/>
        <d v="2025-09-20T00:00:00"/>
        <d v="2025-09-21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5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1T00:00:00"/>
        <d v="2026-01-12T00:00:00"/>
        <d v="2026-01-13T00:00:00"/>
        <d v="2026-01-15T00:00:00"/>
        <d v="2026-01-16T00:00:00"/>
        <d v="2026-01-17T00:00:00"/>
        <d v="2026-01-18T00:00:00"/>
        <d v="2026-01-19T00:00:00"/>
        <d v="2026-01-21T00:00:00"/>
        <d v="2026-01-22T00:00:00"/>
        <d v="2026-01-23T00:00:00"/>
        <d v="2026-01-24T00:00:00"/>
        <d v="2026-01-25T00:00:00"/>
        <d v="2026-01-26T00:00:00"/>
        <d v="2026-01-27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4T00:00:00"/>
        <d v="2026-02-15T00:00:00"/>
        <d v="2026-02-16T00:00:00"/>
        <d v="2026-02-17T00:00:00"/>
        <d v="2026-02-18T00:00:00"/>
        <d v="2026-02-19T00:00:00"/>
        <d v="2026-02-20T00:00:00"/>
        <d v="2026-02-21T00:00:00"/>
        <d v="2026-02-22T00:00:00"/>
        <d v="2026-02-23T00:00:00"/>
        <d v="2026-02-24T00:00:00"/>
        <d v="2026-02-25T00:00:00"/>
        <d v="2026-02-27T00:00:00"/>
        <d v="2026-02-28T00:00:00"/>
        <d v="2026-03-01T00:00:00"/>
        <d v="2026-03-02T00:00:00"/>
        <d v="2026-03-03T00:00:00"/>
        <d v="2026-03-04T00:00:00"/>
        <d v="2026-03-06T00:00:00"/>
        <d v="2026-03-07T00:00:00"/>
        <d v="2026-03-08T00:00:00"/>
        <d v="2026-03-09T00:00:00"/>
        <d v="2026-03-10T00:00:00"/>
        <d v="2026-03-11T00:00:00"/>
        <d v="2026-03-12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8T00:00:00"/>
        <d v="2026-05-19T00:00:00"/>
        <d v="2026-05-20T00:00:00"/>
        <d v="2026-05-21T00:00:00"/>
        <d v="2026-05-23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4T00:00:00"/>
        <d v="2026-07-15T00:00:00"/>
        <d v="2026-07-16T00:00:00"/>
        <d v="2026-07-18T00:00:00"/>
        <d v="2026-07-20T00:00:00"/>
        <d v="2026-07-21T00:00:00"/>
        <d v="2026-07-22T00:00:00"/>
        <d v="2026-07-24T00:00:00"/>
        <d v="2026-07-25T00:00:00"/>
        <d v="2026-07-26T00:00:00"/>
        <d v="2026-07-27T00:00:00"/>
        <d v="2026-07-28T00:00:00"/>
        <d v="2026-07-29T00:00:00"/>
        <d v="2026-07-30T00:00:00"/>
        <d v="2026-07-31T00:00:00"/>
        <d v="2026-08-01T00:00:00"/>
        <d v="2026-08-02T00:00:00"/>
        <d v="2026-08-03T00:00:00"/>
        <d v="2026-08-04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7T00:00:00"/>
        <d v="2026-08-28T00:00:00"/>
        <d v="2026-08-29T00:00:00"/>
        <d v="2026-08-30T00:00:00"/>
        <d v="2026-08-31T00:00:00"/>
      </sharedItems>
      <fieldGroup par="19" base="1">
        <rangePr groupBy="months" startDate="2025-09-01T00:00:00" endDate="2026-09-01T00:00:00"/>
        <groupItems count="14">
          <s v="&lt;9/1/2025"/>
          <s v="Jan"/>
          <s v="Feb"/>
          <s v="Mar"/>
          <s v="Apr"/>
          <s v="May"/>
          <s v="Jun"/>
          <s v="Jul"/>
          <s v="Aug"/>
          <s v="Sep"/>
          <s v="Oct"/>
          <s v="Nov"/>
          <s v="Dec"/>
          <s v="&gt;9/1/2026"/>
        </groupItems>
      </fieldGroup>
    </cacheField>
    <cacheField name="FlightNumber" numFmtId="0">
      <sharedItems count="573">
        <s v="SK438"/>
        <s v="SK700"/>
        <s v="SK843"/>
        <s v="SK823"/>
        <s v="SK594"/>
        <s v="SK514"/>
        <s v="SK621"/>
        <s v="SK759"/>
        <s v="SK598"/>
        <s v="SK201"/>
        <s v="SK446"/>
        <s v="SK327"/>
        <s v="SK682"/>
        <s v="SK872"/>
        <s v="SK624"/>
        <s v="SK889"/>
        <s v="SK546"/>
        <s v="SK493"/>
        <s v="SK434"/>
        <s v="SK413"/>
        <s v="SK611"/>
        <s v="SK645"/>
        <s v="SK810"/>
        <s v="SK420"/>
        <s v="SK241"/>
        <s v="SK328"/>
        <s v="SK153"/>
        <s v="SK113"/>
        <s v="SK177"/>
        <s v="SK809"/>
        <s v="SK812"/>
        <s v="SK510"/>
        <s v="SK898"/>
        <s v="SK551"/>
        <s v="SK376"/>
        <s v="SK782"/>
        <s v="SK660"/>
        <s v="SK456"/>
        <s v="SK508"/>
        <s v="SK383"/>
        <s v="SK408"/>
        <s v="SK803"/>
        <s v="SK427"/>
        <s v="SK395"/>
        <s v="SK368"/>
        <s v="SK652"/>
        <s v="SK538"/>
        <s v="SK401"/>
        <s v="SK178"/>
        <s v="SK301"/>
        <s v="SK159"/>
        <s v="SK377"/>
        <s v="SK452"/>
        <s v="SK185"/>
        <s v="SK639"/>
        <s v="SK294"/>
        <s v="SK534"/>
        <s v="SK405"/>
        <s v="SK778"/>
        <s v="SK296"/>
        <s v="SK138"/>
        <s v="SK145"/>
        <s v="SK357"/>
        <s v="SK387"/>
        <s v="SK360"/>
        <s v="SK346"/>
        <s v="SK340"/>
        <s v="SK848"/>
        <s v="SK103"/>
        <s v="SK505"/>
        <s v="SK613"/>
        <s v="SK545"/>
        <s v="SK659"/>
        <s v="SK570"/>
        <s v="SK167"/>
        <s v="SK144"/>
        <s v="SK871"/>
        <s v="SK610"/>
        <s v="SK283"/>
        <s v="SK628"/>
        <s v="SK897"/>
        <s v="SK343"/>
        <s v="SK392"/>
        <s v="SK574"/>
        <s v="SK305"/>
        <s v="SK448"/>
        <s v="SK148"/>
        <s v="SK720"/>
        <s v="SK312"/>
        <s v="SK119"/>
        <s v="SK814"/>
        <s v="SK820"/>
        <s v="SK737"/>
        <s v="SK255"/>
        <s v="SK150"/>
        <s v="SK631"/>
        <s v="SK111"/>
        <s v="SK702"/>
        <s v="SK277"/>
        <s v="SK744"/>
        <s v="SK596"/>
        <s v="SK603"/>
        <s v="SK742"/>
        <s v="SK475"/>
        <s v="SK716"/>
        <s v="SK583"/>
        <s v="SK884"/>
        <s v="SK462"/>
        <s v="SK442"/>
        <s v="SK115"/>
        <s v="SK163"/>
        <s v="SK435"/>
        <s v="SK717"/>
        <s v="SK762"/>
        <s v="SK242"/>
        <s v="SK266"/>
        <s v="SK237"/>
        <s v="SK757"/>
        <s v="SK497"/>
        <s v="SK162"/>
        <s v="SK735"/>
        <s v="SK521"/>
        <s v="SK213"/>
        <s v="SK549"/>
        <s v="SK748"/>
        <s v="SK849"/>
        <s v="SK112"/>
        <s v="SK868"/>
        <s v="SK527"/>
        <s v="SK194"/>
        <s v="SK349"/>
        <s v="SK416"/>
        <s v="SK423"/>
        <s v="SK252"/>
        <s v="SK670"/>
        <s v="SK656"/>
        <s v="SK496"/>
        <s v="SK787"/>
        <s v="SK860"/>
        <s v="SK768"/>
        <s v="SK304"/>
        <s v="SK876"/>
        <s v="SK535"/>
        <s v="SK459"/>
        <s v="SK650"/>
        <s v="SK649"/>
        <s v="SK211"/>
        <s v="SK743"/>
        <s v="SK589"/>
        <s v="SK412"/>
        <s v="SK790"/>
        <s v="SK563"/>
        <s v="SK379"/>
        <s v="SK358"/>
        <s v="SK479"/>
        <s v="SK417"/>
        <s v="SK169"/>
        <s v="SK168"/>
        <s v="SK564"/>
        <s v="SK326"/>
        <s v="SK181"/>
        <s v="SK463"/>
        <s v="SK227"/>
        <s v="SK431"/>
        <s v="SK747"/>
        <s v="SK225"/>
        <s v="SK385"/>
        <s v="SK314"/>
        <s v="SK821"/>
        <s v="SK352"/>
        <s v="SK330"/>
        <s v="SK334"/>
        <s v="SK571"/>
        <s v="SK478"/>
        <s v="SK512"/>
        <s v="SK671"/>
        <s v="SK800"/>
        <s v="SK663"/>
        <s v="SK444"/>
        <s v="SK222"/>
        <s v="SK494"/>
        <s v="SK612"/>
        <s v="SK190"/>
        <s v="SK795"/>
        <s v="SK286"/>
        <s v="SK767"/>
        <s v="SK249"/>
        <s v="SK120"/>
        <s v="SK267"/>
        <s v="SK774"/>
        <s v="SK443"/>
        <s v="SK107"/>
        <s v="SK502"/>
        <s v="SK516"/>
        <s v="SK792"/>
        <s v="SK501"/>
        <s v="SK230"/>
        <s v="SK114"/>
        <s v="SK122"/>
        <s v="SK240"/>
        <s v="SK275"/>
        <s v="SK158"/>
        <s v="SK116"/>
        <s v="SK464"/>
        <s v="SK319"/>
        <s v="SK152"/>
        <s v="SK156"/>
        <s v="SK293"/>
        <s v="SK517"/>
        <s v="SK777"/>
        <s v="SK174"/>
        <s v="SK786"/>
        <s v="SK147"/>
        <s v="SK257"/>
        <s v="SK485"/>
        <s v="SK105"/>
        <s v="SK339"/>
        <s v="SK825"/>
        <s v="SK541"/>
        <s v="SK498"/>
        <s v="SK694"/>
        <s v="SK522"/>
        <s v="SK176"/>
        <s v="SK325"/>
        <s v="SK322"/>
        <s v="SK465"/>
        <s v="SK289"/>
        <s v="SK679"/>
        <s v="SK217"/>
        <s v="SK799"/>
        <s v="SK460"/>
        <s v="SK364"/>
        <s v="SK865"/>
        <s v="SK203"/>
        <s v="SK482"/>
        <s v="SK214"/>
        <s v="SK488"/>
        <s v="SK672"/>
        <s v="SK675"/>
        <s v="SK108"/>
        <s v="SK651"/>
        <s v="SK837"/>
        <s v="SK852"/>
        <s v="SK432"/>
        <s v="SK761"/>
        <s v="SK149"/>
        <s v="SK351"/>
        <s v="SK259"/>
        <s v="SK712"/>
        <s v="SK329"/>
        <s v="SK687"/>
        <s v="SK193"/>
        <s v="SK879"/>
        <s v="SK644"/>
        <s v="SK381"/>
        <s v="SK850"/>
        <s v="SK104"/>
        <s v="SK345"/>
        <s v="SK736"/>
        <s v="SK251"/>
        <s v="SK404"/>
        <s v="SK449"/>
        <s v="SK365"/>
        <s v="SK681"/>
        <s v="SK258"/>
        <s v="SK204"/>
        <s v="SK481"/>
        <s v="SK166"/>
        <s v="SK414"/>
        <s v="SK458"/>
        <s v="SK688"/>
        <s v="SK695"/>
        <s v="SK805"/>
        <s v="SK469"/>
        <s v="SK461"/>
        <s v="SK802"/>
        <s v="SK543"/>
        <s v="SK783"/>
        <s v="SK738"/>
        <s v="SK344"/>
        <s v="SK269"/>
        <s v="SK760"/>
        <s v="SK677"/>
        <s v="SK380"/>
        <s v="SK772"/>
        <s v="SK642"/>
        <s v="SK885"/>
        <s v="SK531"/>
        <s v="SK845"/>
        <s v="SK131"/>
        <s v="SK398"/>
        <s v="SK851"/>
        <s v="SK229"/>
        <s v="SK773"/>
        <s v="SK236"/>
        <s v="SK424"/>
        <s v="SK887"/>
        <s v="SK665"/>
        <s v="SK806"/>
        <s v="SK359"/>
        <s v="SK335"/>
        <s v="SK429"/>
        <s v="SK393"/>
        <s v="SK601"/>
        <s v="SK441"/>
        <s v="SK861"/>
        <s v="SK653"/>
        <s v="SK623"/>
        <s v="SK350"/>
        <s v="SK733"/>
        <s v="SK881"/>
        <s v="SK827"/>
        <s v="SK824"/>
        <s v="SK495"/>
        <s v="SK291"/>
        <s v="SK558"/>
        <s v="SK136"/>
        <s v="SK859"/>
        <s v="SK715"/>
        <s v="SK725"/>
        <s v="SK839"/>
        <s v="SK302"/>
        <s v="SK484"/>
        <s v="SK270"/>
        <s v="SK308"/>
        <s v="SK232"/>
        <s v="SK341"/>
        <s v="SK600"/>
        <s v="SK419"/>
        <s v="SK196"/>
        <s v="SK100"/>
        <s v="SK247"/>
        <s v="SK626"/>
        <s v="SK831"/>
        <s v="SK841"/>
        <s v="SK386"/>
        <s v="SK503"/>
        <s v="SK151"/>
        <s v="SK591"/>
        <s v="SK766"/>
        <s v="SK332"/>
        <s v="SK673"/>
        <s v="SK457"/>
        <s v="SK500"/>
        <s v="SK789"/>
        <s v="SK262"/>
        <s v="SK171"/>
        <s v="SK195"/>
        <s v="SK264"/>
        <s v="SK559"/>
        <s v="SK528"/>
        <s v="SK741"/>
        <s v="SK602"/>
        <s v="SK674"/>
        <s v="SK199"/>
        <s v="SK590"/>
        <s v="SK557"/>
        <s v="SK451"/>
        <s v="SK445"/>
        <s v="SK391"/>
        <s v="SK586"/>
        <s v="SK279"/>
        <s v="SK268"/>
        <s v="SK170"/>
        <s v="SK311"/>
        <s v="SK867"/>
        <s v="SK796"/>
        <s v="SK633"/>
        <s v="SK680"/>
        <s v="SK101"/>
        <s v="SK593"/>
        <s v="SK109"/>
        <s v="SK487"/>
        <s v="SK630"/>
        <s v="SK804"/>
        <s v="SK524"/>
        <s v="SK221"/>
        <s v="SK400"/>
        <s v="SK141"/>
        <s v="SK568"/>
        <s v="SK811"/>
        <s v="SK654"/>
        <s v="SK466"/>
        <s v="SK819"/>
        <s v="SK261"/>
        <s v="SK378"/>
        <s v="SK409"/>
        <s v="SK756"/>
        <s v="SK243"/>
        <s v="SK894"/>
        <s v="SK697"/>
        <s v="SK784"/>
        <s v="SK553"/>
        <s v="SK662"/>
        <s v="SK285"/>
        <s v="SK215"/>
        <s v="SK705"/>
        <s v="SK891"/>
        <s v="SK763"/>
        <s v="SK282"/>
        <s v="SK664"/>
        <s v="SK609"/>
        <s v="SK525"/>
        <s v="SK617"/>
        <s v="SK338"/>
        <s v="SK278"/>
        <s v="SK298"/>
        <s v="SK183"/>
        <s v="SK668"/>
        <s v="SK394"/>
        <s v="SK708"/>
        <s v="SK146"/>
        <s v="SK523"/>
        <s v="SK321"/>
        <s v="SK123"/>
        <s v="SK855"/>
        <s v="SK490"/>
        <s v="SK540"/>
        <s v="SK533"/>
        <s v="SK815"/>
        <s v="SK698"/>
        <s v="SK569"/>
        <s v="SK250"/>
        <s v="SK492"/>
        <s v="SK422"/>
        <s v="SK632"/>
        <s v="SK323"/>
        <s v="SK507"/>
        <s v="SK234"/>
        <s v="SK290"/>
        <s v="SK134"/>
        <s v="SK272"/>
        <s v="SK374"/>
        <s v="SK770"/>
        <s v="SK880"/>
        <s v="SK846"/>
        <s v="SK246"/>
        <s v="SK207"/>
        <s v="SK798"/>
        <s v="SK605"/>
        <s v="SK562"/>
        <s v="SK297"/>
        <s v="SK693"/>
        <s v="SK856"/>
        <s v="SK655"/>
        <s v="SK370"/>
        <s v="SK585"/>
        <s v="SK683"/>
        <s v="SK191"/>
        <s v="SK863"/>
        <s v="SK793"/>
        <s v="SK779"/>
        <s v="SK274"/>
        <s v="SK271"/>
        <s v="SK471"/>
        <s v="SK184"/>
        <s v="SK198"/>
        <s v="SK154"/>
        <s v="SK840"/>
        <s v="SK483"/>
        <s v="SK640"/>
        <s v="SK769"/>
        <s v="SK480"/>
        <s v="SK592"/>
        <s v="SK711"/>
        <s v="SK781"/>
        <s v="SK866"/>
        <s v="SK318"/>
        <s v="SK678"/>
        <s v="SK373"/>
        <s v="SK118"/>
        <s v="SK751"/>
        <s v="SK689"/>
        <s v="SK511"/>
        <s v="SK755"/>
        <s v="SK518"/>
        <s v="SK411"/>
        <s v="SK388"/>
        <s v="SK421"/>
        <s v="SK740"/>
        <s v="SK155"/>
        <s v="SK317"/>
        <s v="SK239"/>
        <s v="SK486"/>
        <s v="SK724"/>
        <s v="SK710"/>
        <s v="SK254"/>
        <s v="SK548"/>
        <s v="SK560"/>
        <s v="SK801"/>
        <s v="SK403"/>
        <s v="SK607"/>
        <s v="SK579"/>
        <s v="SK474"/>
        <s v="SK165"/>
        <s v="SK719"/>
        <s v="SK309"/>
        <s v="SK389"/>
        <s v="SK842"/>
        <s v="SK164"/>
        <s v="SK450"/>
        <s v="SK892"/>
        <s v="SK657"/>
        <s v="SK616"/>
        <s v="SK197"/>
        <s v="SK581"/>
        <s v="SK745"/>
        <s v="SK472"/>
        <s v="SK547"/>
        <s v="SK749"/>
        <s v="SK128"/>
        <s v="SK473"/>
        <s v="SK276"/>
        <s v="SK307"/>
        <s v="SK396"/>
        <s v="SK127"/>
        <s v="SK331"/>
        <s v="SK316"/>
        <s v="SK205"/>
        <s v="SK604"/>
        <s v="SK555"/>
        <s v="SK126"/>
        <s v="SK731"/>
        <s v="SK615"/>
        <s v="SK537"/>
        <s v="SK361"/>
        <s v="SK244"/>
        <s v="SK287"/>
        <s v="SK356"/>
        <s v="SK102"/>
        <s v="SK730"/>
        <s v="SK706"/>
        <s v="SK874"/>
        <s v="SK192"/>
        <s v="SK348"/>
        <s v="SK489"/>
        <s v="SK888"/>
        <s v="SK832"/>
        <s v="SK542"/>
        <s v="SK256"/>
        <s v="SK299"/>
        <s v="SK625"/>
        <s v="SK648"/>
        <s v="SK303"/>
        <s v="SK437"/>
        <s v="SK265"/>
        <s v="SK306"/>
        <s v="SK238"/>
        <s v="SK515"/>
        <s v="SK746"/>
        <s v="SK864"/>
        <s v="SK410"/>
        <s v="SK121"/>
        <s v="SK280"/>
        <s v="SK284"/>
        <s v="SK281"/>
        <s v="SK666"/>
        <s v="SK253"/>
        <s v="SK248"/>
        <s v="SK520"/>
        <s v="SK882"/>
        <s v="SK453"/>
        <s v="SK477"/>
        <s v="SK324"/>
        <s v="SK599"/>
        <s v="SK124"/>
        <s v="SK816"/>
        <s v="SK854"/>
        <s v="SK870"/>
        <s v="SK224"/>
        <s v="SK220"/>
        <s v="SK433"/>
        <s v="SK808"/>
      </sharedItems>
    </cacheField>
    <cacheField name="Origin" numFmtId="0">
      <sharedItems count="12">
        <s v="Los Angeles"/>
        <s v="New York"/>
        <s v="Dallas"/>
        <s v="Las Vegas"/>
        <s v="Seattle"/>
        <s v="Chicago"/>
        <s v="San Francisco"/>
        <s v="Atlanta"/>
        <s v="Boston"/>
        <s v="Denver"/>
        <s v="Phoenix"/>
        <s v="Miami"/>
      </sharedItems>
    </cacheField>
    <cacheField name="Destination" numFmtId="0">
      <sharedItems/>
    </cacheField>
    <cacheField name="AircraftType" numFmtId="0">
      <sharedItems count="4">
        <s v="Boeing 737-800"/>
        <s v="Airbus A320"/>
        <s v="Embraer E175"/>
        <s v="CRJ900"/>
      </sharedItems>
    </cacheField>
    <cacheField name="ScheduledDeparture" numFmtId="0">
      <sharedItems containsSemiMixedTypes="0" containsString="0" containsNumber="1" minValue="0.21180555555555561" maxValue="0.95138888888888884"/>
    </cacheField>
    <cacheField name="ActualDeparture" numFmtId="0">
      <sharedItems containsString="0" containsBlank="1" containsNumber="1" minValue="0.21111111111111111" maxValue="0.99583333333333335"/>
    </cacheField>
    <cacheField name="ArrivalDelayMin" numFmtId="0">
      <sharedItems containsString="0" containsBlank="1" containsNumber="1" containsInteger="1" minValue="-20" maxValue="213"/>
    </cacheField>
    <cacheField name="DelayCause" numFmtId="0">
      <sharedItems count="6">
        <s v="None"/>
        <s v="Late Aircraft"/>
        <s v="Carrier"/>
        <s v="Weather"/>
        <s v="Air Traffic Control"/>
        <s v="Security"/>
      </sharedItems>
    </cacheField>
    <cacheField name="Status" numFmtId="0">
      <sharedItems count="2">
        <s v="Completed"/>
        <s v="Cancelled"/>
      </sharedItems>
    </cacheField>
    <cacheField name="DistanceMiles" numFmtId="0">
      <sharedItems containsString="0" containsBlank="1" containsNumber="1" containsInteger="1" minValue="186" maxValue="2722"/>
    </cacheField>
    <cacheField name="DepartureDelayMin" numFmtId="0">
      <sharedItems containsString="0" containsBlank="1" containsNumber="1" containsInteger="1" minValue="-8" maxValue="218"/>
    </cacheField>
    <cacheField name="Month Name" numFmtId="0">
      <sharedItems/>
    </cacheField>
    <cacheField name="Day Name" numFmtId="0">
      <sharedItems count="7">
        <s v="Monday"/>
        <s v="Tuesday"/>
        <s v="Wednesday"/>
        <s v="Thursday"/>
        <s v="Friday"/>
        <s v="Saturday"/>
        <s v="Sunday"/>
      </sharedItems>
    </cacheField>
    <cacheField name="OnTime" numFmtId="0">
      <sharedItems containsString="0" containsBlank="1" containsNumber="1" containsInteger="1" minValue="0" maxValue="1" count="3">
        <n v="1"/>
        <n v="0"/>
        <m/>
      </sharedItems>
    </cacheField>
    <cacheField name="TimeOfDay" numFmtId="0">
      <sharedItems count="4">
        <s v="Morning"/>
        <s v="Afternoon"/>
        <s v="Evening"/>
        <s v="Night"/>
      </sharedItems>
    </cacheField>
    <cacheField name="Controllable" numFmtId="0">
      <sharedItems containsBlank="1" count="3">
        <m/>
        <s v="Controllable"/>
        <s v="Less controllable"/>
      </sharedItems>
    </cacheField>
    <cacheField name="Quarters" numFmtId="0" databaseField="0">
      <fieldGroup base="1">
        <rangePr groupBy="quarters" startDate="2025-09-01T00:00:00" endDate="2026-09-01T00:00:00"/>
        <groupItems count="6">
          <s v="&lt;9/1/2025"/>
          <s v="Qtr1"/>
          <s v="Qtr2"/>
          <s v="Qtr3"/>
          <s v="Qtr4"/>
          <s v="&gt;9/1/2026"/>
        </groupItems>
      </fieldGroup>
    </cacheField>
    <cacheField name="Years" numFmtId="0" databaseField="0">
      <fieldGroup base="1">
        <rangePr groupBy="years" startDate="2025-09-01T00:00:00" endDate="2026-09-01T00:00:00"/>
        <groupItems count="4">
          <s v="&lt;9/1/2025"/>
          <s v="2025"/>
          <s v="2026"/>
          <s v="&gt;9/1/2026"/>
        </groupItems>
      </fieldGroup>
    </cacheField>
  </cacheFields>
  <extLst>
    <ext xmlns:x14="http://schemas.microsoft.com/office/spreadsheetml/2009/9/main" uri="{725AE2AE-9491-48be-B2B4-4EB974FC3084}">
      <x14:pivotCacheDefinition pivotCacheId="432842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5-09-01T00:00:00"/>
    <x v="0"/>
    <s v="Los Angeles"/>
    <s v="Chicago"/>
    <s v="Boeing 737-800"/>
    <n v="0.28819444444444442"/>
    <n v="0.28680555555555548"/>
    <n v="-12"/>
    <s v="None"/>
    <x v="0"/>
    <n v="1742"/>
    <n v="-2"/>
    <s v="September"/>
    <s v="Monday"/>
    <n v="1"/>
    <s v="Morning"/>
  </r>
  <r>
    <d v="2025-09-01T00:00:00"/>
    <x v="1"/>
    <s v="New York"/>
    <s v="Denver"/>
    <s v="Airbus A320"/>
    <n v="0.375"/>
    <n v="0.38333333333333341"/>
    <n v="22"/>
    <s v="None"/>
    <x v="0"/>
    <n v="1622"/>
    <n v="12"/>
    <s v="September"/>
    <s v="Monday"/>
    <n v="0"/>
    <s v="Morning"/>
  </r>
  <r>
    <d v="2025-09-01T00:00:00"/>
    <x v="2"/>
    <s v="Dallas"/>
    <s v="Los Angeles"/>
    <s v="Embraer E175"/>
    <n v="0.40625"/>
    <n v="0.40486111111111112"/>
    <n v="-3"/>
    <s v="None"/>
    <x v="0"/>
    <n v="1232"/>
    <n v="-2"/>
    <s v="September"/>
    <s v="Monday"/>
    <n v="1"/>
    <s v="Morning"/>
  </r>
  <r>
    <d v="2025-09-02T00:00:00"/>
    <x v="3"/>
    <s v="Las Vegas"/>
    <s v="New York"/>
    <s v="Boeing 737-800"/>
    <n v="0.44444444444444442"/>
    <n v="0.44166666666666671"/>
    <n v="4"/>
    <s v="None"/>
    <x v="0"/>
    <n v="2243"/>
    <n v="-4"/>
    <s v="September"/>
    <s v="Tuesday"/>
    <n v="1"/>
    <s v="Morning"/>
  </r>
  <r>
    <d v="2025-09-03T00:00:00"/>
    <x v="4"/>
    <s v="New York"/>
    <s v="Denver"/>
    <s v="Boeing 737-800"/>
    <n v="0.26041666666666669"/>
    <n v="0.26180555555555562"/>
    <n v="-1"/>
    <s v="None"/>
    <x v="0"/>
    <n v="1622"/>
    <n v="2"/>
    <s v="September"/>
    <s v="Wednesday"/>
    <n v="1"/>
    <s v="Morning"/>
  </r>
  <r>
    <d v="2025-09-03T00:00:00"/>
    <x v="5"/>
    <s v="Seattle"/>
    <s v="New York"/>
    <s v="CRJ900"/>
    <n v="0.41319444444444442"/>
    <n v="0.41944444444444451"/>
    <n v="-2"/>
    <s v="None"/>
    <x v="0"/>
    <n v="2415"/>
    <n v="9"/>
    <s v="September"/>
    <s v="Wednesday"/>
    <n v="1"/>
    <s v="Morning"/>
  </r>
  <r>
    <d v="2025-09-03T00:00:00"/>
    <x v="6"/>
    <s v="Chicago"/>
    <s v="Miami"/>
    <s v="CRJ900"/>
    <n v="0.44791666666666669"/>
    <n v="0.45624999999999999"/>
    <n v="2"/>
    <s v="None"/>
    <x v="0"/>
    <n v="1199"/>
    <n v="12"/>
    <s v="September"/>
    <s v="Wednesday"/>
    <n v="1"/>
    <s v="Morning"/>
  </r>
  <r>
    <d v="2025-09-03T00:00:00"/>
    <x v="7"/>
    <s v="Las Vegas"/>
    <s v="Boston"/>
    <s v="Embraer E175"/>
    <n v="0.51736111111111116"/>
    <n v="0.51597222222222228"/>
    <n v="1"/>
    <s v="None"/>
    <x v="0"/>
    <n v="2375"/>
    <n v="-2"/>
    <s v="September"/>
    <s v="Wednesday"/>
    <n v="1"/>
    <s v="Afternoon"/>
  </r>
  <r>
    <d v="2025-09-04T00:00:00"/>
    <x v="8"/>
    <s v="San Francisco"/>
    <s v="Denver"/>
    <s v="Embraer E175"/>
    <n v="0.27430555555555558"/>
    <n v="0.27152777777777781"/>
    <n v="-10"/>
    <s v="None"/>
    <x v="0"/>
    <n v="965"/>
    <n v="-4"/>
    <s v="September"/>
    <s v="Thursday"/>
    <n v="1"/>
    <s v="Morning"/>
  </r>
  <r>
    <d v="2025-09-04T00:00:00"/>
    <x v="9"/>
    <s v="Atlanta"/>
    <s v="Dallas"/>
    <s v="CRJ900"/>
    <n v="0.34722222222222221"/>
    <n v="0.35555555555555562"/>
    <n v="21"/>
    <s v="None"/>
    <x v="0"/>
    <n v="730"/>
    <n v="12"/>
    <s v="September"/>
    <s v="Thursday"/>
    <n v="0"/>
    <s v="Morning"/>
  </r>
  <r>
    <d v="2025-09-04T00:00:00"/>
    <x v="10"/>
    <s v="Los Angeles"/>
    <s v="New York"/>
    <s v="Boeing 737-800"/>
    <n v="0.55555555555555558"/>
    <n v="0.60972222222222228"/>
    <n v="76"/>
    <s v="Late Aircraft"/>
    <x v="0"/>
    <n v="2470"/>
    <n v="78"/>
    <s v="September"/>
    <s v="Thursday"/>
    <n v="0"/>
    <s v="Afternoon"/>
  </r>
  <r>
    <d v="2025-09-04T00:00:00"/>
    <x v="11"/>
    <s v="Los Angeles"/>
    <s v="Dallas"/>
    <s v="Boeing 737-800"/>
    <n v="0.57291666666666663"/>
    <n v="0.56944444444444442"/>
    <n v="0"/>
    <s v="None"/>
    <x v="0"/>
    <n v="1232"/>
    <n v="-5"/>
    <s v="September"/>
    <s v="Thursday"/>
    <n v="1"/>
    <s v="Afternoon"/>
  </r>
  <r>
    <d v="2025-09-04T00:00:00"/>
    <x v="12"/>
    <s v="Atlanta"/>
    <s v="Boston"/>
    <s v="Airbus A320"/>
    <n v="0.80555555555555558"/>
    <n v="0.81736111111111109"/>
    <n v="23"/>
    <s v="Carrier"/>
    <x v="0"/>
    <n v="945"/>
    <n v="17"/>
    <s v="September"/>
    <s v="Thursday"/>
    <n v="0"/>
    <s v="Evening"/>
  </r>
  <r>
    <d v="2025-09-04T00:00:00"/>
    <x v="13"/>
    <s v="New York"/>
    <s v="Los Angeles"/>
    <s v="Embraer E175"/>
    <n v="0.82638888888888884"/>
    <n v="0.83472222222222225"/>
    <n v="13"/>
    <s v="None"/>
    <x v="0"/>
    <n v="2470"/>
    <n v="12"/>
    <s v="September"/>
    <s v="Thursday"/>
    <n v="1"/>
    <s v="Evening"/>
  </r>
  <r>
    <d v="2025-09-05T00:00:00"/>
    <x v="14"/>
    <s v="New York"/>
    <s v="Atlanta"/>
    <s v="Airbus A320"/>
    <n v="0.58680555555555558"/>
    <n v="0.59444444444444444"/>
    <n v="2"/>
    <s v="None"/>
    <x v="0"/>
    <n v="759"/>
    <n v="11"/>
    <s v="September"/>
    <s v="Friday"/>
    <n v="1"/>
    <s v="Afternoon"/>
  </r>
  <r>
    <d v="2025-09-05T00:00:00"/>
    <x v="15"/>
    <s v="San Francisco"/>
    <s v="Atlanta"/>
    <s v="CRJ900"/>
    <n v="0.69097222222222221"/>
    <m/>
    <n v="10"/>
    <s v="None"/>
    <x v="0"/>
    <n v="2134"/>
    <n v="6"/>
    <s v="September"/>
    <s v="Friday"/>
    <n v="1"/>
    <s v="Afternoon"/>
  </r>
  <r>
    <d v="2025-09-06T00:00:00"/>
    <x v="16"/>
    <s v="Boston"/>
    <s v="Los Angeles"/>
    <s v="Embraer E175"/>
    <n v="0.52777777777777779"/>
    <n v="0.52222222222222225"/>
    <n v="-13"/>
    <s v="None"/>
    <x v="0"/>
    <n v="2606"/>
    <n v="-8"/>
    <s v="September"/>
    <s v="Saturday"/>
    <n v="1"/>
    <s v="Afternoon"/>
  </r>
  <r>
    <d v="2025-09-06T00:00:00"/>
    <x v="17"/>
    <s v="Denver"/>
    <s v="Chicago"/>
    <s v="CRJ900"/>
    <n v="0.56944444444444442"/>
    <n v="0.56527777777777777"/>
    <n v="-13"/>
    <s v="None"/>
    <x v="0"/>
    <n v="886"/>
    <n v="-6"/>
    <s v="September"/>
    <s v="Saturday"/>
    <n v="1"/>
    <s v="Afternoon"/>
  </r>
  <r>
    <d v="2025-09-06T00:00:00"/>
    <x v="18"/>
    <s v="Denver"/>
    <s v="Chicago"/>
    <s v="Boeing 737-800"/>
    <n v="0.72569444444444442"/>
    <n v="0.73055555555555551"/>
    <n v="-2"/>
    <s v="None"/>
    <x v="0"/>
    <n v="886"/>
    <n v="7"/>
    <s v="September"/>
    <s v="Saturday"/>
    <n v="1"/>
    <s v="Evening"/>
  </r>
  <r>
    <d v="2025-09-07T00:00:00"/>
    <x v="19"/>
    <s v="Las Vegas"/>
    <s v="New York"/>
    <s v="Embraer E175"/>
    <n v="0.375"/>
    <n v="0.38055555555555548"/>
    <n v="-1"/>
    <s v="None"/>
    <x v="0"/>
    <n v="2243"/>
    <n v="8"/>
    <s v="September"/>
    <s v="Sunday"/>
    <n v="1"/>
    <s v="Morning"/>
  </r>
  <r>
    <d v="2025-09-08T00:00:00"/>
    <x v="20"/>
    <s v="Phoenix"/>
    <s v="Atlanta"/>
    <s v="Boeing 737-800"/>
    <n v="0.47569444444444442"/>
    <n v="0.47152777777777782"/>
    <n v="-9"/>
    <s v="None"/>
    <x v="0"/>
    <n v="1584"/>
    <n v="-6"/>
    <s v="September"/>
    <s v="Monday"/>
    <n v="1"/>
    <s v="Morning"/>
  </r>
  <r>
    <d v="2025-09-08T00:00:00"/>
    <x v="21"/>
    <s v="Dallas"/>
    <s v="Denver"/>
    <s v="CRJ900"/>
    <n v="0.63541666666666663"/>
    <m/>
    <n v="-9"/>
    <s v="None"/>
    <x v="0"/>
    <n v="641"/>
    <n v="0"/>
    <s v="September"/>
    <s v="Monday"/>
    <n v="1"/>
    <s v="Afternoon"/>
  </r>
  <r>
    <d v="2025-09-08T00:00:00"/>
    <x v="22"/>
    <s v="Seattle"/>
    <s v="Chicago"/>
    <s v="Airbus A320"/>
    <n v="0.81597222222222221"/>
    <n v="0.81874999999999998"/>
    <m/>
    <s v="None"/>
    <x v="0"/>
    <n v="1717"/>
    <n v="4"/>
    <s v="September"/>
    <s v="Monday"/>
    <m/>
    <s v="Evening"/>
  </r>
  <r>
    <d v="2025-09-09T00:00:00"/>
    <x v="23"/>
    <s v="Phoenix"/>
    <s v="Boston"/>
    <s v="Embraer E175"/>
    <n v="0.40972222222222221"/>
    <n v="0.5229166666666667"/>
    <n v="160"/>
    <s v="Carrier"/>
    <x v="0"/>
    <n v="2295"/>
    <n v="163"/>
    <s v="September"/>
    <s v="Tuesday"/>
    <n v="0"/>
    <s v="Morning"/>
  </r>
  <r>
    <d v="2025-09-09T00:00:00"/>
    <x v="24"/>
    <s v="Chicago"/>
    <s v="Miami"/>
    <s v="Airbus A320"/>
    <n v="0.56944444444444442"/>
    <n v="0.56388888888888888"/>
    <n v="-2"/>
    <s v="None"/>
    <x v="0"/>
    <n v="1199"/>
    <n v="-8"/>
    <s v="September"/>
    <s v="Tuesday"/>
    <n v="1"/>
    <s v="Afternoon"/>
  </r>
  <r>
    <d v="2025-09-09T00:00:00"/>
    <x v="25"/>
    <s v="San Francisco"/>
    <s v="Boston"/>
    <s v="Embraer E175"/>
    <n v="0.59375"/>
    <n v="0.59097222222222223"/>
    <n v="-5"/>
    <s v="None"/>
    <x v="0"/>
    <n v="2698"/>
    <n v="-4"/>
    <s v="September"/>
    <s v="Tuesday"/>
    <n v="1"/>
    <s v="Afternoon"/>
  </r>
  <r>
    <d v="2025-09-09T00:00:00"/>
    <x v="26"/>
    <s v="Chicago"/>
    <s v="Dallas"/>
    <s v="Airbus A320"/>
    <n v="0.70486111111111116"/>
    <n v="0.7"/>
    <n v="-15"/>
    <s v="None"/>
    <x v="0"/>
    <n v="802"/>
    <n v="-7"/>
    <s v="September"/>
    <s v="Tuesday"/>
    <n v="1"/>
    <s v="Afternoon"/>
  </r>
  <r>
    <d v="2025-09-10T00:00:00"/>
    <x v="27"/>
    <s v="Denver"/>
    <s v="Phoenix"/>
    <s v="Boeing 737-800"/>
    <n v="0.3576388888888889"/>
    <n v="0.3611111111111111"/>
    <n v="-3"/>
    <s v="None"/>
    <x v="0"/>
    <n v="602"/>
    <n v="5"/>
    <s v="September"/>
    <s v="Wednesday"/>
    <n v="1"/>
    <s v="Morning"/>
  </r>
  <r>
    <d v="2025-09-10T00:00:00"/>
    <x v="4"/>
    <s v="Denver"/>
    <s v="Seattle"/>
    <s v="Airbus A320"/>
    <n v="0.64236111111111116"/>
    <n v="0.65902777777777777"/>
    <n v="13"/>
    <s v="Late Aircraft"/>
    <x v="0"/>
    <n v="1023"/>
    <n v="24"/>
    <s v="September"/>
    <s v="Wednesday"/>
    <n v="1"/>
    <s v="Afternoon"/>
  </r>
  <r>
    <d v="2025-09-10T00:00:00"/>
    <x v="28"/>
    <s v="Denver"/>
    <s v="Atlanta"/>
    <s v="Embraer E175"/>
    <n v="0.67361111111111116"/>
    <n v="0.67638888888888893"/>
    <n v="5"/>
    <s v="None"/>
    <x v="0"/>
    <n v="1197"/>
    <n v="4"/>
    <s v="September"/>
    <s v="Wednesday"/>
    <n v="1"/>
    <s v="Afternoon"/>
  </r>
  <r>
    <d v="2025-09-10T00:00:00"/>
    <x v="29"/>
    <s v="Dallas"/>
    <s v="Chicago"/>
    <s v="Embraer E175"/>
    <n v="0.67708333333333337"/>
    <n v="0.67638888888888893"/>
    <n v="-7"/>
    <s v="None"/>
    <x v="0"/>
    <n v="802"/>
    <n v="-1"/>
    <s v="September"/>
    <s v="Wednesday"/>
    <n v="1"/>
    <s v="Afternoon"/>
  </r>
  <r>
    <d v="2025-09-10T00:00:00"/>
    <x v="30"/>
    <s v="Chicago"/>
    <s v="Denver"/>
    <s v="Embraer E175"/>
    <n v="0.70486111111111116"/>
    <n v="0.70833333333333337"/>
    <n v="4"/>
    <s v="None"/>
    <x v="0"/>
    <n v="886"/>
    <n v="5"/>
    <s v="September"/>
    <s v="Wednesday"/>
    <n v="1"/>
    <s v="Afternoon"/>
  </r>
  <r>
    <d v="2025-09-10T00:00:00"/>
    <x v="31"/>
    <s v="Phoenix"/>
    <s v="New York"/>
    <s v="Boeing 737-800"/>
    <n v="0.86111111111111116"/>
    <n v="0.88194444444444442"/>
    <n v="36"/>
    <s v="Late Aircraft"/>
    <x v="0"/>
    <n v="2149"/>
    <n v="30"/>
    <s v="September"/>
    <s v="Wednesday"/>
    <n v="0"/>
    <s v="Evening"/>
  </r>
  <r>
    <d v="2025-09-11T00:00:00"/>
    <x v="32"/>
    <s v="Boston"/>
    <s v="Chicago"/>
    <s v="CRJ900"/>
    <n v="0.24305555555555561"/>
    <n v="0.2472222222222222"/>
    <n v="15"/>
    <s v="None"/>
    <x v="0"/>
    <n v="864"/>
    <n v="6"/>
    <s v="September"/>
    <s v="Thursday"/>
    <n v="1"/>
    <s v="Morning"/>
  </r>
  <r>
    <d v="2025-09-11T00:00:00"/>
    <x v="33"/>
    <s v="Chicago"/>
    <s v="Seattle"/>
    <s v="Embraer E175"/>
    <n v="0.3263888888888889"/>
    <n v="0.32777777777777778"/>
    <n v="-10"/>
    <s v="None"/>
    <x v="0"/>
    <n v="1717"/>
    <n v="2"/>
    <s v="September"/>
    <s v="Thursday"/>
    <n v="1"/>
    <s v="Morning"/>
  </r>
  <r>
    <d v="2025-09-11T00:00:00"/>
    <x v="34"/>
    <s v="New York"/>
    <s v="Miami"/>
    <s v="CRJ900"/>
    <n v="0.375"/>
    <n v="0.36944444444444452"/>
    <n v="-18"/>
    <s v="None"/>
    <x v="0"/>
    <n v="1092"/>
    <n v="-8"/>
    <s v="September"/>
    <s v="Thursday"/>
    <n v="1"/>
    <s v="Morning"/>
  </r>
  <r>
    <d v="2025-09-11T00:00:00"/>
    <x v="35"/>
    <s v="Denver"/>
    <s v="Atlanta"/>
    <s v="Boeing 737-800"/>
    <n v="0.6875"/>
    <n v="0.68680555555555556"/>
    <n v="-7"/>
    <s v="None"/>
    <x v="0"/>
    <n v="1197"/>
    <n v="-1"/>
    <s v="September"/>
    <s v="Thursday"/>
    <n v="1"/>
    <s v="Afternoon"/>
  </r>
  <r>
    <d v="2025-09-12T00:00:00"/>
    <x v="36"/>
    <s v="San Francisco"/>
    <s v="Dallas"/>
    <s v="Airbus A320"/>
    <n v="0.67361111111111116"/>
    <n v="0.68194444444444446"/>
    <n v="5"/>
    <s v="None"/>
    <x v="0"/>
    <n v="1462"/>
    <n v="12"/>
    <s v="September"/>
    <s v="Friday"/>
    <n v="1"/>
    <s v="Afternoon"/>
  </r>
  <r>
    <d v="2025-09-12T00:00:00"/>
    <x v="37"/>
    <s v="Denver"/>
    <s v="New York"/>
    <s v="Boeing 737-800"/>
    <n v="0.90972222222222221"/>
    <n v="0.91736111111111107"/>
    <n v="11"/>
    <s v="None"/>
    <x v="0"/>
    <n v="1622"/>
    <n v="11"/>
    <s v="September"/>
    <s v="Friday"/>
    <n v="1"/>
    <s v="Night"/>
  </r>
  <r>
    <d v="2025-09-13T00:00:00"/>
    <x v="38"/>
    <s v="Denver"/>
    <s v="Los Angeles"/>
    <s v="CRJ900"/>
    <n v="0.36805555555555558"/>
    <n v="0.37361111111111112"/>
    <n v="17"/>
    <s v="None"/>
    <x v="0"/>
    <n v="861"/>
    <n v="8"/>
    <s v="September"/>
    <s v="Saturday"/>
    <n v="0"/>
    <s v="Morning"/>
  </r>
  <r>
    <d v="2025-09-13T00:00:00"/>
    <x v="39"/>
    <s v="Miami"/>
    <s v="Atlanta"/>
    <s v="Boeing 737-800"/>
    <n v="0.66319444444444442"/>
    <n v="0.66527777777777775"/>
    <n v="10"/>
    <s v="None"/>
    <x v="0"/>
    <n v="596"/>
    <n v="3"/>
    <s v="September"/>
    <s v="Saturday"/>
    <n v="1"/>
    <s v="Afternoon"/>
  </r>
  <r>
    <d v="2025-09-14T00:00:00"/>
    <x v="40"/>
    <s v="Las Vegas"/>
    <s v="Chicago"/>
    <s v="Boeing 737-800"/>
    <n v="0.79861111111111116"/>
    <n v="0.80625000000000002"/>
    <n v="13"/>
    <s v="None"/>
    <x v="0"/>
    <n v="1511"/>
    <n v="11"/>
    <s v="September"/>
    <s v="Sunday"/>
    <n v="1"/>
    <s v="Evening"/>
  </r>
  <r>
    <d v="2025-09-16T00:00:00"/>
    <x v="41"/>
    <s v="New York"/>
    <s v="Las Vegas"/>
    <s v="Airbus A320"/>
    <n v="0.47916666666666669"/>
    <n v="0.50416666666666665"/>
    <n v="22"/>
    <s v="Weather"/>
    <x v="0"/>
    <n v="2243"/>
    <n v="36"/>
    <s v="September"/>
    <s v="Tuesday"/>
    <n v="0"/>
    <s v="Morning"/>
  </r>
  <r>
    <d v="2025-09-16T00:00:00"/>
    <x v="42"/>
    <s v="Chicago"/>
    <s v="Miami"/>
    <s v="Embraer E175"/>
    <n v="0.85416666666666663"/>
    <n v="0.85347222222222219"/>
    <n v="-7"/>
    <s v="None"/>
    <x v="0"/>
    <n v="1199"/>
    <n v="-1"/>
    <s v="September"/>
    <s v="Tuesday"/>
    <n v="1"/>
    <s v="Evening"/>
  </r>
  <r>
    <d v="2025-09-17T00:00:00"/>
    <x v="43"/>
    <s v="New York"/>
    <s v="Atlanta"/>
    <s v="Boeing 737-800"/>
    <n v="0.67013888888888884"/>
    <n v="0.67500000000000004"/>
    <n v="17"/>
    <s v="None"/>
    <x v="0"/>
    <n v="759"/>
    <n v="7"/>
    <s v="September"/>
    <s v="Wednesday"/>
    <n v="0"/>
    <s v="Afternoon"/>
  </r>
  <r>
    <d v="2025-09-17T00:00:00"/>
    <x v="44"/>
    <s v="Los Angeles"/>
    <s v="Chicago"/>
    <s v="Airbus A320"/>
    <n v="0.78819444444444442"/>
    <n v="0.83402777777777781"/>
    <n v="65"/>
    <s v="Late Aircraft"/>
    <x v="0"/>
    <n v="1742"/>
    <n v="66"/>
    <s v="September"/>
    <s v="Wednesday"/>
    <n v="0"/>
    <s v="Evening"/>
  </r>
  <r>
    <d v="2025-09-17T00:00:00"/>
    <x v="45"/>
    <s v="Denver"/>
    <s v="San Francisco"/>
    <s v="Boeing 737-800"/>
    <n v="0.80555555555555558"/>
    <m/>
    <n v="-16"/>
    <s v="None"/>
    <x v="0"/>
    <n v="965"/>
    <n v="-7"/>
    <s v="September"/>
    <s v="Wednesday"/>
    <n v="1"/>
    <s v="Evening"/>
  </r>
  <r>
    <d v="2025-09-18T00:00:00"/>
    <x v="46"/>
    <s v="Atlanta"/>
    <s v="Phoenix"/>
    <s v="Airbus A320"/>
    <n v="0.35416666666666669"/>
    <n v="0.3576388888888889"/>
    <n v="10"/>
    <s v="None"/>
    <x v="0"/>
    <n v="1584"/>
    <n v="5"/>
    <s v="September"/>
    <s v="Thursday"/>
    <n v="1"/>
    <s v="Morning"/>
  </r>
  <r>
    <d v="2025-09-18T00:00:00"/>
    <x v="42"/>
    <s v="Phoenix"/>
    <s v="Los Angeles"/>
    <s v="CRJ900"/>
    <n v="0.56944444444444442"/>
    <n v="0.56874999999999998"/>
    <n v="1"/>
    <s v="None"/>
    <x v="0"/>
    <n v="370"/>
    <n v="-1"/>
    <s v="September"/>
    <s v="Thursday"/>
    <n v="1"/>
    <s v="Afternoon"/>
  </r>
  <r>
    <d v="2025-09-18T00:00:00"/>
    <x v="47"/>
    <s v="Los Angeles"/>
    <s v="New York"/>
    <s v="Embraer E175"/>
    <n v="0.73958333333333337"/>
    <m/>
    <n v="4"/>
    <s v="None"/>
    <x v="0"/>
    <n v="2470"/>
    <n v="2"/>
    <s v="September"/>
    <s v="Thursday"/>
    <n v="1"/>
    <s v="Evening"/>
  </r>
  <r>
    <d v="2025-09-19T00:00:00"/>
    <x v="48"/>
    <s v="Los Angeles"/>
    <s v="Chicago"/>
    <s v="Boeing 737-800"/>
    <n v="0.34722222222222221"/>
    <n v="0.35069444444444442"/>
    <n v="14"/>
    <s v="None"/>
    <x v="0"/>
    <n v="1742"/>
    <n v="5"/>
    <s v="September"/>
    <s v="Friday"/>
    <n v="1"/>
    <s v="Morning"/>
  </r>
  <r>
    <d v="2025-09-19T00:00:00"/>
    <x v="49"/>
    <s v="Miami"/>
    <s v="Atlanta"/>
    <s v="Boeing 737-800"/>
    <n v="0.51736111111111116"/>
    <n v="0.51736111111111116"/>
    <n v="-8"/>
    <s v="None"/>
    <x v="0"/>
    <n v="596"/>
    <n v="0"/>
    <s v="September"/>
    <s v="Friday"/>
    <n v="1"/>
    <s v="Afternoon"/>
  </r>
  <r>
    <d v="2025-09-19T00:00:00"/>
    <x v="50"/>
    <s v="Boston"/>
    <s v="Los Angeles"/>
    <s v="Boeing 737-800"/>
    <n v="0.63541666666666663"/>
    <n v="0.66180555555555554"/>
    <n v="24"/>
    <s v="Carrier"/>
    <x v="0"/>
    <n v="2606"/>
    <n v="38"/>
    <s v="September"/>
    <s v="Friday"/>
    <n v="0"/>
    <s v="Afternoon"/>
  </r>
  <r>
    <d v="2025-09-20T00:00:00"/>
    <x v="51"/>
    <s v="Los Angeles"/>
    <s v="Dallas"/>
    <s v="Airbus A320"/>
    <n v="0.60416666666666663"/>
    <n v="0.59861111111111109"/>
    <n v="-10"/>
    <s v="None"/>
    <x v="0"/>
    <n v="1232"/>
    <n v="-8"/>
    <s v="September"/>
    <s v="Saturday"/>
    <n v="1"/>
    <s v="Afternoon"/>
  </r>
  <r>
    <d v="2025-09-20T00:00:00"/>
    <x v="52"/>
    <s v="Las Vegas"/>
    <s v="San Francisco"/>
    <s v="Airbus A320"/>
    <n v="0.63194444444444442"/>
    <n v="0.63611111111111107"/>
    <n v="7"/>
    <s v="None"/>
    <x v="0"/>
    <n v="414"/>
    <n v="6"/>
    <s v="September"/>
    <s v="Saturday"/>
    <n v="1"/>
    <s v="Afternoon"/>
  </r>
  <r>
    <d v="2025-09-20T00:00:00"/>
    <x v="53"/>
    <s v="Chicago"/>
    <s v="Denver"/>
    <s v="Airbus A320"/>
    <n v="0.87152777777777779"/>
    <n v="0.89513888888888893"/>
    <n v="38"/>
    <s v="Late Aircraft"/>
    <x v="0"/>
    <n v="886"/>
    <n v="34"/>
    <s v="September"/>
    <s v="Saturday"/>
    <n v="0"/>
    <s v="Evening"/>
  </r>
  <r>
    <d v="2025-09-21T00:00:00"/>
    <x v="54"/>
    <s v="Atlanta"/>
    <s v="Denver"/>
    <s v="Embraer E175"/>
    <n v="0.70486111111111116"/>
    <n v="0.70486111111111116"/>
    <n v="10"/>
    <s v="None"/>
    <x v="0"/>
    <n v="1197"/>
    <n v="0"/>
    <s v="September"/>
    <s v="Sunday"/>
    <n v="1"/>
    <s v="Afternoon"/>
  </r>
  <r>
    <d v="2025-09-23T00:00:00"/>
    <x v="55"/>
    <s v="Atlanta"/>
    <s v="Los Angeles"/>
    <s v="Boeing 737-800"/>
    <n v="0.67013888888888884"/>
    <n v="0.67708333333333337"/>
    <n v="9"/>
    <s v="None"/>
    <x v="0"/>
    <n v="1942"/>
    <n v="10"/>
    <s v="September"/>
    <s v="Tuesday"/>
    <n v="1"/>
    <s v="Afternoon"/>
  </r>
  <r>
    <d v="2025-09-24T00:00:00"/>
    <x v="56"/>
    <s v="Dallas"/>
    <s v="New York"/>
    <s v="Boeing 737-800"/>
    <n v="0.30555555555555558"/>
    <n v="0.39097222222222222"/>
    <n v="117"/>
    <s v="Late Aircraft"/>
    <x v="0"/>
    <n v="1389"/>
    <n v="123"/>
    <s v="September"/>
    <s v="Wednesday"/>
    <n v="0"/>
    <s v="Morning"/>
  </r>
  <r>
    <d v="2025-09-25T00:00:00"/>
    <x v="57"/>
    <s v="Denver"/>
    <s v="Phoenix"/>
    <s v="Boeing 737-800"/>
    <n v="0.33680555555555558"/>
    <m/>
    <n v="0"/>
    <s v="None"/>
    <x v="0"/>
    <n v="602"/>
    <n v="12"/>
    <s v="September"/>
    <s v="Thursday"/>
    <n v="1"/>
    <s v="Morning"/>
  </r>
  <r>
    <d v="2025-09-25T00:00:00"/>
    <x v="58"/>
    <s v="San Francisco"/>
    <s v="Atlanta"/>
    <s v="Embraer E175"/>
    <n v="0.61458333333333337"/>
    <n v="0.63611111111111107"/>
    <n v="29"/>
    <s v="Carrier"/>
    <x v="0"/>
    <n v="2134"/>
    <n v="31"/>
    <s v="September"/>
    <s v="Thursday"/>
    <n v="0"/>
    <s v="Afternoon"/>
  </r>
  <r>
    <d v="2025-09-25T00:00:00"/>
    <x v="59"/>
    <s v="Dallas"/>
    <s v="Las Vegas"/>
    <s v="Boeing 737-800"/>
    <n v="0.70486111111111116"/>
    <n v="0.70347222222222228"/>
    <n v="-8"/>
    <s v="None"/>
    <x v="0"/>
    <m/>
    <n v="-2"/>
    <s v="September"/>
    <s v="Thursday"/>
    <n v="1"/>
    <s v="Afternoon"/>
  </r>
  <r>
    <d v="2025-09-26T00:00:00"/>
    <x v="60"/>
    <s v="Los Angeles"/>
    <s v="Chicago"/>
    <s v="Embraer E175"/>
    <n v="0.31597222222222221"/>
    <n v="0.32083333333333341"/>
    <n v="7"/>
    <s v="None"/>
    <x v="0"/>
    <n v="1742"/>
    <n v="7"/>
    <s v="September"/>
    <s v="Friday"/>
    <n v="1"/>
    <s v="Morning"/>
  </r>
  <r>
    <d v="2025-09-26T00:00:00"/>
    <x v="61"/>
    <s v="Atlanta"/>
    <s v="Boston"/>
    <s v="Boeing 737-800"/>
    <n v="0.46875"/>
    <n v="0.47499999999999998"/>
    <n v="14"/>
    <s v="None"/>
    <x v="0"/>
    <n v="945"/>
    <n v="9"/>
    <s v="September"/>
    <s v="Friday"/>
    <n v="1"/>
    <s v="Morning"/>
  </r>
  <r>
    <d v="2025-09-26T00:00:00"/>
    <x v="62"/>
    <s v="Dallas"/>
    <s v="Los Angeles"/>
    <s v="Embraer E175"/>
    <n v="0.82291666666666663"/>
    <n v="0.83472222222222225"/>
    <n v="12"/>
    <s v="Late Aircraft"/>
    <x v="0"/>
    <n v="1232"/>
    <n v="17"/>
    <s v="September"/>
    <s v="Friday"/>
    <n v="1"/>
    <s v="Evening"/>
  </r>
  <r>
    <d v="2025-09-27T00:00:00"/>
    <x v="63"/>
    <s v="New York"/>
    <s v="Miami"/>
    <s v="Embraer E175"/>
    <n v="0.49305555555555558"/>
    <n v="0.49722222222222218"/>
    <n v="10"/>
    <s v="None"/>
    <x v="0"/>
    <n v="1092"/>
    <n v="6"/>
    <s v="September"/>
    <s v="Saturday"/>
    <n v="1"/>
    <s v="Morning"/>
  </r>
  <r>
    <d v="2025-09-27T00:00:00"/>
    <x v="64"/>
    <s v="Phoenix"/>
    <s v="Chicago"/>
    <s v="Boeing 737-800"/>
    <n v="0.61805555555555558"/>
    <n v="0.61527777777777781"/>
    <n v="-9"/>
    <s v="None"/>
    <x v="0"/>
    <n v="1438"/>
    <n v="-4"/>
    <s v="September"/>
    <s v="Saturday"/>
    <n v="1"/>
    <s v="Afternoon"/>
  </r>
  <r>
    <d v="2025-09-28T00:00:00"/>
    <x v="65"/>
    <s v="New York"/>
    <s v="Atlanta"/>
    <s v="Boeing 737-800"/>
    <n v="0.40277777777777779"/>
    <n v="0.40347222222222218"/>
    <n v="8"/>
    <s v="None"/>
    <x v="0"/>
    <n v="759"/>
    <n v="1"/>
    <s v="September"/>
    <s v="Sunday"/>
    <n v="1"/>
    <s v="Morning"/>
  </r>
  <r>
    <d v="2025-09-28T00:00:00"/>
    <x v="66"/>
    <s v="Dallas"/>
    <s v="Chicago"/>
    <s v="Boeing 737-800"/>
    <n v="0.47916666666666669"/>
    <n v="0.47916666666666669"/>
    <n v="-8"/>
    <s v="None"/>
    <x v="0"/>
    <n v="802"/>
    <n v="0"/>
    <s v="September"/>
    <s v="Sunday"/>
    <n v="1"/>
    <s v="Morning"/>
  </r>
  <r>
    <d v="2025-09-28T00:00:00"/>
    <x v="67"/>
    <s v="Chicago"/>
    <s v="Boston"/>
    <s v="Embraer E175"/>
    <n v="0.53472222222222221"/>
    <n v="0.53611111111111109"/>
    <n v="6"/>
    <s v="None"/>
    <x v="0"/>
    <n v="864"/>
    <n v="2"/>
    <s v="September"/>
    <s v="Sunday"/>
    <n v="1"/>
    <s v="Afternoon"/>
  </r>
  <r>
    <d v="2025-09-28T00:00:00"/>
    <x v="68"/>
    <s v="Dallas"/>
    <s v="Boston"/>
    <s v="Airbus A320"/>
    <n v="0.72222222222222221"/>
    <n v="0.74652777777777779"/>
    <n v="41"/>
    <s v="Carrier"/>
    <x v="0"/>
    <n v="1559"/>
    <n v="35"/>
    <s v="September"/>
    <s v="Sunday"/>
    <n v="0"/>
    <s v="Evening"/>
  </r>
  <r>
    <d v="2025-09-28T00:00:00"/>
    <x v="69"/>
    <s v="New York"/>
    <s v="Dallas"/>
    <s v="Boeing 737-800"/>
    <n v="0.88541666666666663"/>
    <n v="0.8930555555555556"/>
    <n v="-1"/>
    <s v="None"/>
    <x v="0"/>
    <n v="1389"/>
    <n v="11"/>
    <s v="September"/>
    <s v="Sunday"/>
    <n v="1"/>
    <s v="Night"/>
  </r>
  <r>
    <d v="2025-09-29T00:00:00"/>
    <x v="70"/>
    <s v="Denver"/>
    <s v="Atlanta"/>
    <s v="Boeing 737-800"/>
    <n v="0.72569444444444442"/>
    <n v="0.74097222222222225"/>
    <n v="25"/>
    <s v="Late Aircraft"/>
    <x v="0"/>
    <n v="1197"/>
    <n v="22"/>
    <s v="September"/>
    <s v="Monday"/>
    <n v="0"/>
    <s v="Evening"/>
  </r>
  <r>
    <d v="2025-09-29T00:00:00"/>
    <x v="71"/>
    <s v="Los Angeles"/>
    <s v="Atlanta"/>
    <s v="Embraer E175"/>
    <n v="0.78472222222222221"/>
    <n v="0.78819444444444442"/>
    <m/>
    <s v="None"/>
    <x v="0"/>
    <n v="1942"/>
    <n v="5"/>
    <s v="September"/>
    <s v="Monday"/>
    <m/>
    <s v="Evening"/>
  </r>
  <r>
    <d v="2025-09-29T00:00:00"/>
    <x v="72"/>
    <s v="Denver"/>
    <s v="Los Angeles"/>
    <s v="Boeing 737-800"/>
    <n v="0.84375"/>
    <n v="0.84305555555555556"/>
    <n v="2"/>
    <s v="None"/>
    <x v="0"/>
    <n v="861"/>
    <n v="-1"/>
    <s v="September"/>
    <s v="Monday"/>
    <n v="1"/>
    <s v="Evening"/>
  </r>
  <r>
    <d v="2025-09-30T00:00:00"/>
    <x v="73"/>
    <s v="New York"/>
    <s v="Seattle"/>
    <s v="Airbus A320"/>
    <n v="0.2986111111111111"/>
    <n v="0.2986111111111111"/>
    <n v="-6"/>
    <s v="None"/>
    <x v="0"/>
    <n v="2415"/>
    <n v="0"/>
    <s v="September"/>
    <s v="Tuesday"/>
    <n v="1"/>
    <s v="Morning"/>
  </r>
  <r>
    <d v="2025-09-30T00:00:00"/>
    <x v="74"/>
    <s v="Las Vegas"/>
    <s v="Seattle"/>
    <s v="Boeing 737-800"/>
    <n v="0.3888888888888889"/>
    <n v="0.38680555555555562"/>
    <n v="-5"/>
    <s v="None"/>
    <x v="0"/>
    <n v="867"/>
    <n v="-3"/>
    <s v="September"/>
    <s v="Tuesday"/>
    <n v="1"/>
    <s v="Morning"/>
  </r>
  <r>
    <d v="2025-09-30T00:00:00"/>
    <x v="75"/>
    <s v="Phoenix"/>
    <s v="Miami"/>
    <s v="Boeing 737-800"/>
    <n v="0.42708333333333331"/>
    <n v="0.42986111111111108"/>
    <m/>
    <s v="None"/>
    <x v="0"/>
    <n v="1969"/>
    <n v="4"/>
    <s v="September"/>
    <s v="Tuesday"/>
    <m/>
    <s v="Morning"/>
  </r>
  <r>
    <d v="2025-10-01T00:00:00"/>
    <x v="39"/>
    <s v="Dallas"/>
    <s v="Las Vegas"/>
    <s v="Boeing 737-800"/>
    <n v="0.2986111111111111"/>
    <n v="0.30416666666666659"/>
    <n v="8"/>
    <s v="None"/>
    <x v="0"/>
    <n v="1053"/>
    <n v="8"/>
    <s v="October"/>
    <s v="Wednesday"/>
    <n v="1"/>
    <s v="Morning"/>
  </r>
  <r>
    <d v="2025-10-01T00:00:00"/>
    <x v="76"/>
    <s v="Atlanta"/>
    <s v="Miami"/>
    <s v="Boeing 737-800"/>
    <n v="0.31597222222222221"/>
    <n v="0.31527777777777782"/>
    <n v="8"/>
    <s v="None"/>
    <x v="0"/>
    <n v="596"/>
    <n v="-1"/>
    <s v="October"/>
    <s v="Wednesday"/>
    <n v="1"/>
    <s v="Morning"/>
  </r>
  <r>
    <d v="2025-10-01T00:00:00"/>
    <x v="77"/>
    <s v="Las Vegas"/>
    <s v="Chicago"/>
    <s v="Airbus A320"/>
    <n v="0.34375"/>
    <n v="0.34930555555555548"/>
    <n v="10"/>
    <s v="None"/>
    <x v="0"/>
    <n v="1511"/>
    <n v="8"/>
    <s v="October"/>
    <s v="Wednesday"/>
    <n v="1"/>
    <s v="Morning"/>
  </r>
  <r>
    <d v="2025-10-01T00:00:00"/>
    <x v="78"/>
    <s v="Phoenix"/>
    <s v="San Francisco"/>
    <s v="Boeing 737-800"/>
    <n v="0.5625"/>
    <n v="0.56319444444444444"/>
    <n v="0"/>
    <s v="None"/>
    <x v="0"/>
    <m/>
    <n v="1"/>
    <s v="October"/>
    <s v="Wednesday"/>
    <n v="1"/>
    <s v="Afternoon"/>
  </r>
  <r>
    <d v="2025-10-01T00:00:00"/>
    <x v="79"/>
    <s v="Atlanta"/>
    <s v="Denver"/>
    <s v="Embraer E175"/>
    <n v="0.58333333333333337"/>
    <n v="0.58750000000000002"/>
    <n v="7"/>
    <s v="None"/>
    <x v="0"/>
    <n v="1197"/>
    <n v="6"/>
    <s v="October"/>
    <s v="Wednesday"/>
    <n v="1"/>
    <s v="Afternoon"/>
  </r>
  <r>
    <d v="2025-10-01T00:00:00"/>
    <x v="80"/>
    <s v="Chicago"/>
    <s v="Denver"/>
    <s v="Airbus A320"/>
    <n v="0.60416666666666663"/>
    <n v="0.60277777777777775"/>
    <n v="-6"/>
    <s v="None"/>
    <x v="0"/>
    <n v="886"/>
    <n v="-2"/>
    <s v="October"/>
    <s v="Wednesday"/>
    <n v="1"/>
    <s v="Afternoon"/>
  </r>
  <r>
    <d v="2025-10-01T00:00:00"/>
    <x v="81"/>
    <s v="Seattle"/>
    <s v="Miami"/>
    <s v="Boeing 737-800"/>
    <n v="0.74652777777777779"/>
    <n v="0.80208333333333337"/>
    <n v="85"/>
    <s v="Weather"/>
    <x v="0"/>
    <n v="2722"/>
    <n v="80"/>
    <s v="October"/>
    <s v="Wednesday"/>
    <n v="0"/>
    <s v="Evening"/>
  </r>
  <r>
    <d v="2025-10-02T00:00:00"/>
    <x v="82"/>
    <s v="Boston"/>
    <s v="Atlanta"/>
    <s v="Airbus A320"/>
    <n v="0.28125"/>
    <n v="0.28125"/>
    <n v="-9"/>
    <s v="None"/>
    <x v="0"/>
    <n v="945"/>
    <n v="0"/>
    <s v="October"/>
    <s v="Thursday"/>
    <n v="1"/>
    <s v="Morning"/>
  </r>
  <r>
    <d v="2025-10-02T00:00:00"/>
    <x v="83"/>
    <s v="Chicago"/>
    <s v="Los Angeles"/>
    <s v="Airbus A320"/>
    <n v="0.60416666666666663"/>
    <n v="0.60972222222222228"/>
    <n v="5"/>
    <s v="None"/>
    <x v="0"/>
    <n v="1742"/>
    <n v="8"/>
    <s v="October"/>
    <s v="Thursday"/>
    <n v="1"/>
    <s v="Afternoon"/>
  </r>
  <r>
    <d v="2025-10-02T00:00:00"/>
    <x v="84"/>
    <s v="Miami"/>
    <s v="Seattle"/>
    <s v="CRJ900"/>
    <n v="0.76041666666666663"/>
    <n v="0.76041666666666663"/>
    <n v="1"/>
    <s v="None"/>
    <x v="0"/>
    <n v="2722"/>
    <n v="0"/>
    <s v="October"/>
    <s v="Thursday"/>
    <n v="1"/>
    <s v="Evening"/>
  </r>
  <r>
    <d v="2025-10-02T00:00:00"/>
    <x v="85"/>
    <s v="Denver"/>
    <s v="Las Vegas"/>
    <s v="Boeing 737-800"/>
    <n v="0.92708333333333337"/>
    <n v="0.93541666666666667"/>
    <n v="6"/>
    <s v="None"/>
    <x v="0"/>
    <n v="627"/>
    <n v="12"/>
    <s v="October"/>
    <s v="Thursday"/>
    <n v="1"/>
    <s v="Night"/>
  </r>
  <r>
    <d v="2025-10-03T00:00:00"/>
    <x v="86"/>
    <s v="Los Angeles"/>
    <s v="Denver"/>
    <s v="Embraer E175"/>
    <n v="0.82986111111111116"/>
    <n v="0.83611111111111114"/>
    <n v="17"/>
    <s v="None"/>
    <x v="0"/>
    <n v="861"/>
    <n v="9"/>
    <s v="October"/>
    <s v="Friday"/>
    <n v="0"/>
    <s v="Evening"/>
  </r>
  <r>
    <d v="2025-10-04T00:00:00"/>
    <x v="87"/>
    <s v="Los Angeles"/>
    <s v="Chicago"/>
    <s v="Airbus A320"/>
    <n v="0.49652777777777779"/>
    <n v="0.49305555555555558"/>
    <n v="-8"/>
    <s v="None"/>
    <x v="0"/>
    <n v="1742"/>
    <n v="-5"/>
    <s v="October"/>
    <s v="Saturday"/>
    <n v="1"/>
    <s v="Morning"/>
  </r>
  <r>
    <d v="2025-10-04T00:00:00"/>
    <x v="88"/>
    <s v="Los Angeles"/>
    <s v="Denver"/>
    <s v="CRJ900"/>
    <n v="0.70138888888888884"/>
    <n v="0.70208333333333328"/>
    <n v="3"/>
    <s v="None"/>
    <x v="0"/>
    <n v="861"/>
    <n v="1"/>
    <s v="October"/>
    <s v="Saturday"/>
    <n v="1"/>
    <s v="Afternoon"/>
  </r>
  <r>
    <d v="2025-10-04T00:00:00"/>
    <x v="89"/>
    <s v="Seattle"/>
    <s v="San Francisco"/>
    <s v="Embraer E175"/>
    <n v="0.73263888888888884"/>
    <n v="0.73124999999999996"/>
    <n v="-7"/>
    <s v="None"/>
    <x v="0"/>
    <n v="679"/>
    <n v="-2"/>
    <s v="October"/>
    <s v="Saturday"/>
    <n v="1"/>
    <s v="Evening"/>
  </r>
  <r>
    <d v="2025-10-05T00:00:00"/>
    <x v="90"/>
    <s v="Denver"/>
    <s v="Boston"/>
    <s v="Embraer E175"/>
    <n v="0.75"/>
    <n v="0.74652777777777779"/>
    <n v="-13"/>
    <s v="None"/>
    <x v="0"/>
    <n v="1749"/>
    <n v="-5"/>
    <s v="October"/>
    <s v="Sunday"/>
    <n v="1"/>
    <s v="Evening"/>
  </r>
  <r>
    <d v="2025-10-05T00:00:00"/>
    <x v="84"/>
    <s v="Dallas"/>
    <s v="San Francisco"/>
    <s v="CRJ900"/>
    <n v="0.85763888888888884"/>
    <n v="0.8569444444444444"/>
    <n v="4"/>
    <s v="None"/>
    <x v="0"/>
    <n v="1462"/>
    <n v="-1"/>
    <s v="October"/>
    <s v="Sunday"/>
    <n v="1"/>
    <s v="Evening"/>
  </r>
  <r>
    <d v="2025-10-06T00:00:00"/>
    <x v="91"/>
    <s v="New York"/>
    <s v="Boston"/>
    <s v="Boeing 737-800"/>
    <n v="0.33680555555555558"/>
    <n v="0.34166666666666667"/>
    <n v="-2"/>
    <s v="None"/>
    <x v="0"/>
    <n v="186"/>
    <n v="7"/>
    <s v="October"/>
    <s v="Monday"/>
    <n v="1"/>
    <s v="Morning"/>
  </r>
  <r>
    <d v="2025-10-06T00:00:00"/>
    <x v="92"/>
    <s v="New York"/>
    <s v="Denver"/>
    <s v="Boeing 737-800"/>
    <n v="0.47222222222222221"/>
    <n v="0.48055555555555562"/>
    <n v="19"/>
    <s v="None"/>
    <x v="0"/>
    <n v="1622"/>
    <n v="12"/>
    <s v="October"/>
    <s v="Monday"/>
    <n v="0"/>
    <s v="Morning"/>
  </r>
  <r>
    <d v="2025-10-06T00:00:00"/>
    <x v="93"/>
    <s v="Denver"/>
    <s v="San Francisco"/>
    <s v="Airbus A320"/>
    <n v="0.75694444444444442"/>
    <n v="0.75416666666666665"/>
    <n v="-3"/>
    <s v="None"/>
    <x v="0"/>
    <n v="965"/>
    <n v="-4"/>
    <s v="October"/>
    <s v="Monday"/>
    <n v="1"/>
    <s v="Evening"/>
  </r>
  <r>
    <d v="2025-10-06T00:00:00"/>
    <x v="94"/>
    <s v="Dallas"/>
    <s v="Las Vegas"/>
    <s v="Boeing 737-800"/>
    <n v="0.86111111111111116"/>
    <n v="0.86736111111111114"/>
    <n v="5"/>
    <s v="None"/>
    <x v="0"/>
    <n v="1053"/>
    <n v="9"/>
    <s v="October"/>
    <s v="Monday"/>
    <n v="1"/>
    <s v="Evening"/>
  </r>
  <r>
    <d v="2025-10-07T00:00:00"/>
    <x v="95"/>
    <s v="Atlanta"/>
    <s v="Chicago"/>
    <s v="Embraer E175"/>
    <n v="0.4513888888888889"/>
    <n v="0.45694444444444438"/>
    <n v="9"/>
    <s v="None"/>
    <x v="0"/>
    <n v="606"/>
    <n v="8"/>
    <s v="October"/>
    <s v="Tuesday"/>
    <n v="1"/>
    <s v="Morning"/>
  </r>
  <r>
    <d v="2025-10-07T00:00:00"/>
    <x v="96"/>
    <s v="Miami"/>
    <s v="Chicago"/>
    <s v="Airbus A320"/>
    <n v="0.60763888888888884"/>
    <n v="0.60486111111111107"/>
    <n v="-16"/>
    <s v="None"/>
    <x v="0"/>
    <n v="1199"/>
    <n v="-4"/>
    <s v="October"/>
    <s v="Tuesday"/>
    <n v="1"/>
    <s v="Afternoon"/>
  </r>
  <r>
    <d v="2025-10-07T00:00:00"/>
    <x v="97"/>
    <s v="Atlanta"/>
    <s v="New York"/>
    <s v="Boeing 737-800"/>
    <n v="0.64583333333333337"/>
    <n v="0.6791666666666667"/>
    <n v="34"/>
    <s v="Carrier"/>
    <x v="0"/>
    <n v="759"/>
    <n v="48"/>
    <s v="October"/>
    <s v="Tuesday"/>
    <n v="0"/>
    <s v="Afternoon"/>
  </r>
  <r>
    <d v="2025-10-07T00:00:00"/>
    <x v="98"/>
    <s v="Denver"/>
    <s v="Los Angeles"/>
    <s v="Embraer E175"/>
    <n v="0.82986111111111116"/>
    <m/>
    <m/>
    <s v="Weather"/>
    <x v="1"/>
    <n v="861"/>
    <m/>
    <s v="October"/>
    <s v="Tuesday"/>
    <m/>
    <s v="Evening"/>
  </r>
  <r>
    <d v="2025-10-07T00:00:00"/>
    <x v="99"/>
    <s v="Seattle"/>
    <s v="Atlanta"/>
    <s v="Embraer E175"/>
    <n v="0.94791666666666663"/>
    <n v="0.95486111111111116"/>
    <n v="6"/>
    <s v="None"/>
    <x v="0"/>
    <n v="2178"/>
    <n v="10"/>
    <s v="October"/>
    <s v="Tuesday"/>
    <n v="1"/>
    <s v="Night"/>
  </r>
  <r>
    <d v="2025-10-08T00:00:00"/>
    <x v="100"/>
    <s v="Dallas"/>
    <s v="Miami"/>
    <s v="Embraer E175"/>
    <n v="0.44097222222222221"/>
    <n v="0.44583333333333341"/>
    <n v="-1"/>
    <s v="None"/>
    <x v="0"/>
    <n v="1120"/>
    <n v="7"/>
    <s v="October"/>
    <s v="Wednesday"/>
    <n v="1"/>
    <s v="Morning"/>
  </r>
  <r>
    <d v="2025-10-08T00:00:00"/>
    <x v="101"/>
    <s v="New York"/>
    <s v="Miami"/>
    <s v="Airbus A320"/>
    <n v="0.77430555555555558"/>
    <n v="0.78055555555555556"/>
    <n v="11"/>
    <s v="None"/>
    <x v="0"/>
    <n v="1092"/>
    <n v="9"/>
    <s v="October"/>
    <s v="Wednesday"/>
    <n v="1"/>
    <s v="Evening"/>
  </r>
  <r>
    <d v="2025-10-09T00:00:00"/>
    <x v="102"/>
    <s v="New York"/>
    <s v="Atlanta"/>
    <s v="Airbus A320"/>
    <n v="0.21180555555555561"/>
    <n v="0.23958333333333329"/>
    <n v="30"/>
    <s v="Air Traffic Control"/>
    <x v="0"/>
    <n v="759"/>
    <n v="40"/>
    <s v="October"/>
    <s v="Thursday"/>
    <n v="0"/>
    <s v="Morning"/>
  </r>
  <r>
    <d v="2025-10-09T00:00:00"/>
    <x v="103"/>
    <s v="Boston"/>
    <s v="Atlanta"/>
    <s v="Embraer E175"/>
    <n v="0.40625"/>
    <n v="0.40069444444444452"/>
    <n v="-13"/>
    <s v="None"/>
    <x v="0"/>
    <n v="945"/>
    <n v="-8"/>
    <s v="October"/>
    <s v="Thursday"/>
    <n v="1"/>
    <s v="Morning"/>
  </r>
  <r>
    <d v="2025-10-09T00:00:00"/>
    <x v="104"/>
    <s v="Chicago"/>
    <s v="Dallas"/>
    <s v="Airbus A320"/>
    <n v="0.42708333333333331"/>
    <n v="0.42777777777777781"/>
    <n v="-8"/>
    <s v="None"/>
    <x v="0"/>
    <n v="802"/>
    <n v="1"/>
    <s v="October"/>
    <s v="Thursday"/>
    <n v="1"/>
    <s v="Morning"/>
  </r>
  <r>
    <d v="2025-10-09T00:00:00"/>
    <x v="105"/>
    <s v="New York"/>
    <s v="Chicago"/>
    <s v="Boeing 737-800"/>
    <n v="0.66666666666666663"/>
    <n v="0.67222222222222228"/>
    <n v="10"/>
    <s v="None"/>
    <x v="0"/>
    <n v="738"/>
    <n v="8"/>
    <s v="October"/>
    <s v="Thursday"/>
    <n v="1"/>
    <s v="Afternoon"/>
  </r>
  <r>
    <d v="2025-10-10T00:00:00"/>
    <x v="106"/>
    <s v="Chicago"/>
    <s v="Dallas"/>
    <s v="Embraer E175"/>
    <n v="0.53819444444444442"/>
    <m/>
    <n v="-14"/>
    <s v="None"/>
    <x v="0"/>
    <n v="802"/>
    <n v="-8"/>
    <s v="October"/>
    <s v="Friday"/>
    <n v="1"/>
    <s v="Afternoon"/>
  </r>
  <r>
    <d v="2025-10-10T00:00:00"/>
    <x v="107"/>
    <s v="Denver"/>
    <s v="Los Angeles"/>
    <s v="Boeing 737-800"/>
    <n v="0.875"/>
    <n v="0.87430555555555556"/>
    <n v="7"/>
    <s v="None"/>
    <x v="0"/>
    <n v="861"/>
    <n v="-1"/>
    <s v="October"/>
    <s v="Friday"/>
    <n v="1"/>
    <s v="Night"/>
  </r>
  <r>
    <d v="2025-10-10T00:00:00"/>
    <x v="108"/>
    <s v="Boston"/>
    <s v="Dallas"/>
    <s v="CRJ900"/>
    <n v="0.91319444444444442"/>
    <n v="0.97361111111111109"/>
    <n v="95"/>
    <s v="Weather"/>
    <x v="0"/>
    <n v="1559"/>
    <n v="87"/>
    <s v="October"/>
    <s v="Friday"/>
    <n v="0"/>
    <s v="Night"/>
  </r>
  <r>
    <d v="2025-10-11T00:00:00"/>
    <x v="109"/>
    <s v="Chicago"/>
    <s v="Dallas"/>
    <s v="Airbus A320"/>
    <n v="0.41319444444444442"/>
    <n v="0.41319444444444442"/>
    <n v="-4"/>
    <s v="None"/>
    <x v="0"/>
    <n v="802"/>
    <n v="0"/>
    <s v="October"/>
    <s v="Saturday"/>
    <n v="1"/>
    <s v="Morning"/>
  </r>
  <r>
    <d v="2025-10-11T00:00:00"/>
    <x v="110"/>
    <s v="Chicago"/>
    <s v="Los Angeles"/>
    <s v="Boeing 737-800"/>
    <n v="0.44444444444444442"/>
    <n v="0.44444444444444442"/>
    <n v="2"/>
    <s v="None"/>
    <x v="0"/>
    <n v="1742"/>
    <n v="0"/>
    <s v="October"/>
    <s v="Saturday"/>
    <n v="1"/>
    <s v="Morning"/>
  </r>
  <r>
    <d v="2025-10-11T00:00:00"/>
    <x v="111"/>
    <s v="Atlanta"/>
    <s v="Las Vegas"/>
    <s v="Airbus A320"/>
    <n v="0.57638888888888884"/>
    <n v="0.63472222222222219"/>
    <n v="84"/>
    <s v="Weather"/>
    <x v="0"/>
    <n v="1743"/>
    <n v="84"/>
    <s v="October"/>
    <s v="Saturday"/>
    <n v="0"/>
    <s v="Afternoon"/>
  </r>
  <r>
    <d v="2025-10-11T00:00:00"/>
    <x v="112"/>
    <s v="Boston"/>
    <s v="Atlanta"/>
    <s v="Embraer E175"/>
    <n v="0.70486111111111116"/>
    <n v="0.70694444444444449"/>
    <n v="-6"/>
    <s v="None"/>
    <x v="0"/>
    <n v="945"/>
    <n v="3"/>
    <s v="October"/>
    <s v="Saturday"/>
    <n v="1"/>
    <s v="Afternoon"/>
  </r>
  <r>
    <d v="2025-10-12T00:00:00"/>
    <x v="113"/>
    <s v="Seattle"/>
    <s v="Miami"/>
    <s v="Boeing 737-800"/>
    <n v="0.31597222222222221"/>
    <n v="0.31388888888888888"/>
    <n v="-2"/>
    <s v="None"/>
    <x v="0"/>
    <n v="2722"/>
    <n v="-3"/>
    <s v="October"/>
    <s v="Sunday"/>
    <n v="1"/>
    <s v="Morning"/>
  </r>
  <r>
    <d v="2025-10-12T00:00:00"/>
    <x v="114"/>
    <s v="New York"/>
    <s v="Chicago"/>
    <s v="Boeing 737-800"/>
    <n v="0.38541666666666669"/>
    <n v="0.3923611111111111"/>
    <n v="6"/>
    <s v="None"/>
    <x v="0"/>
    <n v="738"/>
    <n v="10"/>
    <s v="October"/>
    <s v="Sunday"/>
    <n v="1"/>
    <s v="Morning"/>
  </r>
  <r>
    <d v="2025-10-12T00:00:00"/>
    <x v="115"/>
    <s v="Miami"/>
    <s v="Boston"/>
    <s v="Airbus A320"/>
    <n v="0.59375"/>
    <n v="0.59722222222222221"/>
    <n v="-4"/>
    <s v="None"/>
    <x v="0"/>
    <n v="1260"/>
    <n v="5"/>
    <s v="October"/>
    <s v="Sunday"/>
    <n v="1"/>
    <s v="Afternoon"/>
  </r>
  <r>
    <d v="2025-10-12T00:00:00"/>
    <x v="116"/>
    <s v="Chicago"/>
    <s v="Denver"/>
    <s v="Airbus A320"/>
    <n v="0.61111111111111116"/>
    <n v="0.61805555555555558"/>
    <n v="-2"/>
    <s v="None"/>
    <x v="0"/>
    <n v="886"/>
    <n v="10"/>
    <s v="October"/>
    <s v="Sunday"/>
    <n v="1"/>
    <s v="Afternoon"/>
  </r>
  <r>
    <d v="2025-10-12T00:00:00"/>
    <x v="117"/>
    <s v="Dallas"/>
    <s v="Denver"/>
    <s v="CRJ900"/>
    <n v="0.80555555555555558"/>
    <n v="0.80347222222222225"/>
    <n v="0"/>
    <s v="None"/>
    <x v="0"/>
    <n v="641"/>
    <n v="-3"/>
    <s v="October"/>
    <s v="Sunday"/>
    <n v="1"/>
    <s v="Evening"/>
  </r>
  <r>
    <d v="2025-10-12T00:00:00"/>
    <x v="118"/>
    <s v="Los Angeles"/>
    <s v="Denver"/>
    <s v="Boeing 737-800"/>
    <n v="0.88541666666666663"/>
    <n v="0.88402777777777775"/>
    <n v="-10"/>
    <s v="None"/>
    <x v="0"/>
    <n v="861"/>
    <n v="-2"/>
    <s v="October"/>
    <s v="Sunday"/>
    <n v="1"/>
    <s v="Night"/>
  </r>
  <r>
    <d v="2025-10-13T00:00:00"/>
    <x v="119"/>
    <s v="Los Angeles"/>
    <s v="Dallas"/>
    <s v="Boeing 737-800"/>
    <n v="0.2638888888888889"/>
    <n v="0.27013888888888887"/>
    <n v="4"/>
    <s v="None"/>
    <x v="0"/>
    <n v="1232"/>
    <n v="9"/>
    <s v="October"/>
    <s v="Monday"/>
    <n v="1"/>
    <s v="Morning"/>
  </r>
  <r>
    <d v="2025-10-13T00:00:00"/>
    <x v="120"/>
    <s v="San Francisco"/>
    <s v="Atlanta"/>
    <s v="Embraer E175"/>
    <n v="0.35069444444444442"/>
    <n v="0.37083333333333329"/>
    <n v="14"/>
    <s v="Carrier"/>
    <x v="0"/>
    <n v="2134"/>
    <n v="29"/>
    <s v="October"/>
    <s v="Monday"/>
    <n v="1"/>
    <s v="Morning"/>
  </r>
  <r>
    <d v="2025-10-13T00:00:00"/>
    <x v="121"/>
    <s v="Atlanta"/>
    <s v="New York"/>
    <s v="Embraer E175"/>
    <n v="0.41319444444444442"/>
    <n v="0.42986111111111108"/>
    <n v="24"/>
    <s v="Weather"/>
    <x v="0"/>
    <n v="759"/>
    <n v="24"/>
    <s v="October"/>
    <s v="Monday"/>
    <n v="0"/>
    <s v="Morning"/>
  </r>
  <r>
    <d v="2025-10-13T00:00:00"/>
    <x v="122"/>
    <s v="Miami"/>
    <s v="Chicago"/>
    <s v="Boeing 737-800"/>
    <n v="0.50347222222222221"/>
    <n v="0.50486111111111109"/>
    <n v="1"/>
    <s v="None"/>
    <x v="0"/>
    <n v="1199"/>
    <n v="2"/>
    <s v="October"/>
    <s v="Monday"/>
    <n v="1"/>
    <s v="Afternoon"/>
  </r>
  <r>
    <d v="2025-10-13T00:00:00"/>
    <x v="123"/>
    <s v="New York"/>
    <s v="Miami"/>
    <s v="Embraer E175"/>
    <n v="0.77430555555555558"/>
    <n v="0.77361111111111114"/>
    <n v="8"/>
    <s v="None"/>
    <x v="0"/>
    <n v="1092"/>
    <n v="-1"/>
    <s v="October"/>
    <s v="Monday"/>
    <n v="1"/>
    <s v="Evening"/>
  </r>
  <r>
    <d v="2025-10-14T00:00:00"/>
    <x v="124"/>
    <s v="Dallas"/>
    <s v="Atlanta"/>
    <s v="Boeing 737-800"/>
    <n v="0.3298611111111111"/>
    <n v="0.32916666666666672"/>
    <n v="1"/>
    <s v="None"/>
    <x v="0"/>
    <n v="730"/>
    <n v="-1"/>
    <s v="October"/>
    <s v="Tuesday"/>
    <n v="1"/>
    <s v="Morning"/>
  </r>
  <r>
    <d v="2025-10-14T00:00:00"/>
    <x v="76"/>
    <s v="Los Angeles"/>
    <s v="Miami"/>
    <s v="Embraer E175"/>
    <n v="0.40972222222222221"/>
    <n v="0.41736111111111113"/>
    <n v="13"/>
    <s v="None"/>
    <x v="0"/>
    <n v="2338"/>
    <n v="11"/>
    <s v="October"/>
    <s v="Tuesday"/>
    <n v="1"/>
    <s v="Morning"/>
  </r>
  <r>
    <d v="2025-10-14T00:00:00"/>
    <x v="125"/>
    <s v="Los Angeles"/>
    <s v="New York"/>
    <s v="Boeing 737-800"/>
    <n v="0.76388888888888884"/>
    <n v="0.77708333333333335"/>
    <n v="20"/>
    <s v="Weather"/>
    <x v="0"/>
    <n v="2470"/>
    <n v="19"/>
    <s v="October"/>
    <s v="Tuesday"/>
    <n v="0"/>
    <s v="Evening"/>
  </r>
  <r>
    <d v="2025-10-15T00:00:00"/>
    <x v="126"/>
    <s v="Las Vegas"/>
    <s v="Phoenix"/>
    <s v="Boeing 737-800"/>
    <n v="0.41666666666666669"/>
    <n v="0.42083333333333328"/>
    <n v="-5"/>
    <s v="None"/>
    <x v="0"/>
    <n v="256"/>
    <n v="6"/>
    <s v="October"/>
    <s v="Wednesday"/>
    <n v="1"/>
    <s v="Morning"/>
  </r>
  <r>
    <d v="2025-10-15T00:00:00"/>
    <x v="127"/>
    <s v="Dallas"/>
    <s v="Boston"/>
    <s v="Boeing 737-800"/>
    <n v="0.4375"/>
    <n v="0.44444444444444442"/>
    <n v="11"/>
    <s v="None"/>
    <x v="0"/>
    <n v="1559"/>
    <n v="10"/>
    <s v="October"/>
    <s v="Wednesday"/>
    <n v="1"/>
    <s v="Morning"/>
  </r>
  <r>
    <d v="2025-10-15T00:00:00"/>
    <x v="128"/>
    <s v="Atlanta"/>
    <s v="Seattle"/>
    <s v="Airbus A320"/>
    <n v="0.75347222222222221"/>
    <n v="0.77708333333333335"/>
    <n v="31"/>
    <s v="Security"/>
    <x v="0"/>
    <n v="2178"/>
    <n v="34"/>
    <s v="October"/>
    <s v="Wednesday"/>
    <n v="0"/>
    <s v="Evening"/>
  </r>
  <r>
    <d v="2025-10-15T00:00:00"/>
    <x v="119"/>
    <s v="Seattle"/>
    <s v="Las Vegas"/>
    <s v="CRJ900"/>
    <n v="0.78819444444444442"/>
    <n v="0.79166666666666663"/>
    <n v="-7"/>
    <s v="None"/>
    <x v="0"/>
    <n v="867"/>
    <n v="5"/>
    <s v="October"/>
    <s v="Wednesday"/>
    <n v="1"/>
    <s v="Evening"/>
  </r>
  <r>
    <d v="2025-10-16T00:00:00"/>
    <x v="129"/>
    <s v="Miami"/>
    <s v="Atlanta"/>
    <s v="Embraer E175"/>
    <n v="0.36458333333333331"/>
    <n v="0.36249999999999999"/>
    <n v="1"/>
    <s v="None"/>
    <x v="0"/>
    <n v="596"/>
    <n v="-3"/>
    <s v="October"/>
    <s v="Thursday"/>
    <n v="1"/>
    <s v="Morning"/>
  </r>
  <r>
    <d v="2025-10-16T00:00:00"/>
    <x v="130"/>
    <s v="Boston"/>
    <s v="Seattle"/>
    <s v="Airbus A320"/>
    <n v="0.44791666666666669"/>
    <n v="0.46388888888888891"/>
    <n v="23"/>
    <s v="Air Traffic Control"/>
    <x v="0"/>
    <n v="2489"/>
    <n v="23"/>
    <s v="October"/>
    <s v="Thursday"/>
    <n v="0"/>
    <s v="Morning"/>
  </r>
  <r>
    <d v="2025-10-16T00:00:00"/>
    <x v="131"/>
    <s v="New York"/>
    <s v="Seattle"/>
    <s v="Boeing 737-800"/>
    <n v="0.46180555555555558"/>
    <n v="0.46944444444444439"/>
    <n v="9"/>
    <s v="None"/>
    <x v="0"/>
    <n v="2415"/>
    <n v="11"/>
    <s v="October"/>
    <s v="Thursday"/>
    <n v="1"/>
    <s v="Morning"/>
  </r>
  <r>
    <d v="2025-10-16T00:00:00"/>
    <x v="132"/>
    <s v="Chicago"/>
    <s v="Miami"/>
    <s v="Boeing 737-800"/>
    <n v="0.78472222222222221"/>
    <n v="0.78402777777777777"/>
    <n v="-10"/>
    <s v="None"/>
    <x v="0"/>
    <n v="1199"/>
    <n v="-1"/>
    <s v="October"/>
    <s v="Thursday"/>
    <n v="1"/>
    <s v="Evening"/>
  </r>
  <r>
    <d v="2025-10-16T00:00:00"/>
    <x v="133"/>
    <s v="Phoenix"/>
    <s v="Miami"/>
    <s v="Embraer E175"/>
    <n v="0.84375"/>
    <n v="0.85069444444444442"/>
    <n v="9"/>
    <s v="None"/>
    <x v="0"/>
    <n v="1969"/>
    <n v="10"/>
    <s v="October"/>
    <s v="Thursday"/>
    <n v="1"/>
    <s v="Evening"/>
  </r>
  <r>
    <d v="2025-10-17T00:00:00"/>
    <x v="134"/>
    <s v="Las Vegas"/>
    <s v="Chicago"/>
    <s v="Boeing 737-800"/>
    <n v="0.27430555555555558"/>
    <n v="0.2722222222222222"/>
    <n v="5"/>
    <s v="None"/>
    <x v="0"/>
    <n v="1511"/>
    <n v="-3"/>
    <s v="October"/>
    <s v="Friday"/>
    <n v="1"/>
    <s v="Morning"/>
  </r>
  <r>
    <d v="2025-10-17T00:00:00"/>
    <x v="135"/>
    <s v="Chicago"/>
    <s v="Dallas"/>
    <s v="Airbus A320"/>
    <n v="0.67708333333333337"/>
    <n v="0.68194444444444446"/>
    <n v="6"/>
    <s v="None"/>
    <x v="0"/>
    <n v="802"/>
    <n v="7"/>
    <s v="October"/>
    <s v="Friday"/>
    <n v="1"/>
    <s v="Afternoon"/>
  </r>
  <r>
    <d v="2025-10-17T00:00:00"/>
    <x v="136"/>
    <s v="Dallas"/>
    <s v="Los Angeles"/>
    <s v="Airbus A320"/>
    <n v="0.83333333333333337"/>
    <n v="0.84861111111111109"/>
    <n v="13"/>
    <s v="Late Aircraft"/>
    <x v="0"/>
    <n v="1232"/>
    <n v="22"/>
    <s v="October"/>
    <s v="Friday"/>
    <n v="1"/>
    <s v="Evening"/>
  </r>
  <r>
    <d v="2025-10-18T00:00:00"/>
    <x v="137"/>
    <s v="Miami"/>
    <s v="Dallas"/>
    <s v="Airbus A320"/>
    <n v="0.22916666666666671"/>
    <n v="0.24930555555555561"/>
    <n v="33"/>
    <s v="Late Aircraft"/>
    <x v="0"/>
    <n v="1120"/>
    <n v="29"/>
    <s v="October"/>
    <s v="Saturday"/>
    <n v="0"/>
    <s v="Morning"/>
  </r>
  <r>
    <d v="2025-10-18T00:00:00"/>
    <x v="138"/>
    <s v="Atlanta"/>
    <s v="San Francisco"/>
    <s v="Boeing 737-800"/>
    <n v="0.34027777777777779"/>
    <n v="0.3347222222222222"/>
    <n v="-8"/>
    <s v="None"/>
    <x v="0"/>
    <n v="2134"/>
    <n v="-8"/>
    <s v="October"/>
    <s v="Saturday"/>
    <n v="1"/>
    <s v="Morning"/>
  </r>
  <r>
    <d v="2025-10-18T00:00:00"/>
    <x v="139"/>
    <s v="Los Angeles"/>
    <s v="Atlanta"/>
    <s v="Boeing 737-800"/>
    <n v="0.77777777777777779"/>
    <n v="0.78333333333333333"/>
    <n v="13"/>
    <s v="None"/>
    <x v="0"/>
    <n v="1942"/>
    <n v="8"/>
    <s v="October"/>
    <s v="Saturday"/>
    <n v="1"/>
    <s v="Evening"/>
  </r>
  <r>
    <d v="2025-10-18T00:00:00"/>
    <x v="140"/>
    <s v="Boston"/>
    <s v="Chicago"/>
    <s v="Boeing 737-800"/>
    <n v="0.84027777777777779"/>
    <n v="0.83958333333333335"/>
    <n v="-2"/>
    <s v="None"/>
    <x v="0"/>
    <n v="864"/>
    <n v="-1"/>
    <s v="October"/>
    <s v="Saturday"/>
    <n v="1"/>
    <s v="Evening"/>
  </r>
  <r>
    <d v="2025-10-18T00:00:00"/>
    <x v="107"/>
    <s v="Chicago"/>
    <s v="Las Vegas"/>
    <s v="CRJ900"/>
    <n v="0.85069444444444442"/>
    <n v="0.85833333333333328"/>
    <n v="2"/>
    <s v="None"/>
    <x v="0"/>
    <n v="1511"/>
    <n v="11"/>
    <s v="October"/>
    <s v="Saturday"/>
    <n v="1"/>
    <s v="Evening"/>
  </r>
  <r>
    <d v="2025-10-19T00:00:00"/>
    <x v="141"/>
    <s v="Phoenix"/>
    <s v="Seattle"/>
    <s v="Airbus A320"/>
    <n v="0.39583333333333331"/>
    <n v="0.4"/>
    <n v="5"/>
    <s v="None"/>
    <x v="0"/>
    <n v="1108"/>
    <n v="6"/>
    <s v="October"/>
    <s v="Sunday"/>
    <n v="1"/>
    <s v="Morning"/>
  </r>
  <r>
    <d v="2025-10-19T00:00:00"/>
    <x v="142"/>
    <s v="Atlanta"/>
    <s v="Los Angeles"/>
    <s v="Boeing 737-800"/>
    <n v="0.40625"/>
    <m/>
    <m/>
    <s v="Carrier"/>
    <x v="1"/>
    <n v="1942"/>
    <m/>
    <s v="October"/>
    <s v="Sunday"/>
    <m/>
    <s v="Morning"/>
  </r>
  <r>
    <d v="2025-10-19T00:00:00"/>
    <x v="143"/>
    <s v="Atlanta"/>
    <s v="New York"/>
    <s v="Embraer E175"/>
    <n v="0.52777777777777779"/>
    <n v="0.53472222222222221"/>
    <m/>
    <s v="None"/>
    <x v="0"/>
    <n v="759"/>
    <n v="10"/>
    <s v="October"/>
    <s v="Sunday"/>
    <m/>
    <s v="Afternoon"/>
  </r>
  <r>
    <d v="2025-10-20T00:00:00"/>
    <x v="144"/>
    <s v="Los Angeles"/>
    <s v="Atlanta"/>
    <s v="Airbus A320"/>
    <n v="0.22222222222222221"/>
    <n v="0.22361111111111109"/>
    <n v="0"/>
    <s v="None"/>
    <x v="0"/>
    <n v="1942"/>
    <n v="2"/>
    <s v="October"/>
    <s v="Monday"/>
    <n v="1"/>
    <s v="Morning"/>
  </r>
  <r>
    <d v="2025-10-21T00:00:00"/>
    <x v="145"/>
    <s v="Chicago"/>
    <s v="Denver"/>
    <s v="Airbus A320"/>
    <n v="0.29166666666666669"/>
    <n v="0.29375000000000001"/>
    <n v="3"/>
    <s v="None"/>
    <x v="0"/>
    <n v="886"/>
    <n v="3"/>
    <s v="October"/>
    <s v="Tuesday"/>
    <n v="1"/>
    <s v="Morning"/>
  </r>
  <r>
    <d v="2025-10-21T00:00:00"/>
    <x v="146"/>
    <s v="Denver"/>
    <s v="Dallas"/>
    <s v="Airbus A320"/>
    <n v="0.36805555555555558"/>
    <n v="0.37152777777777779"/>
    <n v="2"/>
    <s v="None"/>
    <x v="0"/>
    <n v="641"/>
    <n v="5"/>
    <s v="October"/>
    <s v="Tuesday"/>
    <n v="1"/>
    <s v="Morning"/>
  </r>
  <r>
    <d v="2025-10-21T00:00:00"/>
    <x v="147"/>
    <s v="Phoenix"/>
    <s v="Chicago"/>
    <s v="Boeing 737-800"/>
    <n v="0.66666666666666663"/>
    <n v="0.66874999999999996"/>
    <n v="5"/>
    <s v="None"/>
    <x v="0"/>
    <n v="1438"/>
    <n v="3"/>
    <s v="October"/>
    <s v="Tuesday"/>
    <n v="1"/>
    <s v="Afternoon"/>
  </r>
  <r>
    <d v="2025-10-21T00:00:00"/>
    <x v="148"/>
    <s v="Atlanta"/>
    <s v="Las Vegas"/>
    <s v="Airbus A320"/>
    <n v="0.70833333333333337"/>
    <m/>
    <m/>
    <s v="Carrier"/>
    <x v="1"/>
    <n v="1743"/>
    <m/>
    <s v="October"/>
    <s v="Tuesday"/>
    <m/>
    <s v="Evening"/>
  </r>
  <r>
    <d v="2025-10-22T00:00:00"/>
    <x v="149"/>
    <s v="Seattle"/>
    <s v="Chicago"/>
    <s v="Embraer E175"/>
    <n v="0.47916666666666669"/>
    <n v="0.4777777777777778"/>
    <n v="-12"/>
    <s v="None"/>
    <x v="0"/>
    <n v="1717"/>
    <n v="-2"/>
    <s v="October"/>
    <s v="Wednesday"/>
    <n v="1"/>
    <s v="Morning"/>
  </r>
  <r>
    <d v="2025-10-22T00:00:00"/>
    <x v="150"/>
    <s v="New York"/>
    <s v="Seattle"/>
    <s v="Embraer E175"/>
    <n v="0.61458333333333337"/>
    <n v="0.69305555555555554"/>
    <n v="100"/>
    <s v="Late Aircraft"/>
    <x v="0"/>
    <n v="2415"/>
    <n v="113"/>
    <s v="October"/>
    <s v="Wednesday"/>
    <n v="0"/>
    <s v="Afternoon"/>
  </r>
  <r>
    <d v="2025-10-22T00:00:00"/>
    <x v="151"/>
    <s v="Chicago"/>
    <s v="Atlanta"/>
    <s v="Boeing 737-800"/>
    <n v="0.84722222222222221"/>
    <n v="0.85"/>
    <n v="-3"/>
    <s v="None"/>
    <x v="0"/>
    <n v="606"/>
    <n v="4"/>
    <s v="October"/>
    <s v="Wednesday"/>
    <n v="1"/>
    <s v="Evening"/>
  </r>
  <r>
    <d v="2025-10-23T00:00:00"/>
    <x v="152"/>
    <s v="Chicago"/>
    <s v="Los Angeles"/>
    <s v="CRJ900"/>
    <n v="0.63888888888888884"/>
    <n v="0.63541666666666663"/>
    <n v="4"/>
    <s v="None"/>
    <x v="0"/>
    <n v="1742"/>
    <n v="-5"/>
    <s v="October"/>
    <s v="Thursday"/>
    <n v="1"/>
    <s v="Afternoon"/>
  </r>
  <r>
    <d v="2025-10-23T00:00:00"/>
    <x v="43"/>
    <s v="Atlanta"/>
    <s v="Dallas"/>
    <s v="Boeing 737-800"/>
    <n v="0.75"/>
    <n v="0.75069444444444444"/>
    <n v="7"/>
    <s v="None"/>
    <x v="0"/>
    <n v="730"/>
    <n v="1"/>
    <s v="October"/>
    <s v="Thursday"/>
    <n v="1"/>
    <s v="Evening"/>
  </r>
  <r>
    <d v="2025-10-24T00:00:00"/>
    <x v="153"/>
    <s v="Los Angeles"/>
    <s v="Dallas"/>
    <s v="Airbus A320"/>
    <n v="0.78819444444444442"/>
    <n v="0.7895833333333333"/>
    <n v="-7"/>
    <s v="None"/>
    <x v="0"/>
    <n v="1232"/>
    <n v="2"/>
    <s v="October"/>
    <s v="Friday"/>
    <n v="1"/>
    <s v="Evening"/>
  </r>
  <r>
    <d v="2025-10-24T00:00:00"/>
    <x v="154"/>
    <s v="Los Angeles"/>
    <s v="Phoenix"/>
    <s v="CRJ900"/>
    <n v="0.81597222222222221"/>
    <n v="0.89375000000000004"/>
    <n v="117"/>
    <s v="Late Aircraft"/>
    <x v="0"/>
    <n v="370"/>
    <n v="112"/>
    <s v="October"/>
    <s v="Friday"/>
    <n v="0"/>
    <s v="Evening"/>
  </r>
  <r>
    <d v="2025-10-25T00:00:00"/>
    <x v="155"/>
    <s v="Chicago"/>
    <s v="Dallas"/>
    <s v="Embraer E175"/>
    <n v="0.28125"/>
    <n v="0.28125"/>
    <n v="-12"/>
    <s v="None"/>
    <x v="0"/>
    <n v="802"/>
    <n v="0"/>
    <s v="October"/>
    <s v="Saturday"/>
    <n v="1"/>
    <s v="Morning"/>
  </r>
  <r>
    <d v="2025-10-25T00:00:00"/>
    <x v="140"/>
    <s v="Dallas"/>
    <s v="Chicago"/>
    <s v="Embraer E175"/>
    <n v="0.30208333333333331"/>
    <n v="0.29930555555555549"/>
    <n v="-15"/>
    <s v="None"/>
    <x v="0"/>
    <n v="802"/>
    <n v="-4"/>
    <s v="October"/>
    <s v="Saturday"/>
    <n v="1"/>
    <s v="Morning"/>
  </r>
  <r>
    <d v="2025-10-26T00:00:00"/>
    <x v="156"/>
    <s v="New York"/>
    <s v="Phoenix"/>
    <s v="Airbus A320"/>
    <n v="0.63541666666666663"/>
    <n v="0.63402777777777775"/>
    <n v="-7"/>
    <s v="None"/>
    <x v="0"/>
    <n v="2149"/>
    <n v="-2"/>
    <s v="October"/>
    <s v="Sunday"/>
    <n v="1"/>
    <s v="Afternoon"/>
  </r>
  <r>
    <d v="2025-10-27T00:00:00"/>
    <x v="157"/>
    <s v="Las Vegas"/>
    <s v="Boston"/>
    <s v="Boeing 737-800"/>
    <n v="0.31597222222222221"/>
    <n v="0.32291666666666669"/>
    <n v="3"/>
    <s v="None"/>
    <x v="0"/>
    <n v="2375"/>
    <n v="10"/>
    <s v="October"/>
    <s v="Monday"/>
    <n v="1"/>
    <s v="Morning"/>
  </r>
  <r>
    <d v="2025-10-27T00:00:00"/>
    <x v="158"/>
    <s v="Atlanta"/>
    <s v="San Francisco"/>
    <s v="Boeing 737-800"/>
    <n v="0.36805555555555558"/>
    <n v="0.36944444444444452"/>
    <n v="1"/>
    <s v="None"/>
    <x v="0"/>
    <n v="2134"/>
    <n v="2"/>
    <s v="October"/>
    <s v="Monday"/>
    <n v="1"/>
    <s v="Morning"/>
  </r>
  <r>
    <d v="2025-10-27T00:00:00"/>
    <x v="159"/>
    <s v="Dallas"/>
    <s v="Atlanta"/>
    <s v="Airbus A320"/>
    <n v="0.74652777777777779"/>
    <n v="0.7416666666666667"/>
    <n v="-12"/>
    <s v="None"/>
    <x v="0"/>
    <n v="730"/>
    <n v="-7"/>
    <s v="October"/>
    <s v="Monday"/>
    <n v="1"/>
    <s v="Evening"/>
  </r>
  <r>
    <d v="2025-10-27T00:00:00"/>
    <x v="160"/>
    <s v="New York"/>
    <s v="Seattle"/>
    <s v="Airbus A320"/>
    <n v="0.89583333333333337"/>
    <n v="0.89027777777777772"/>
    <n v="-5"/>
    <s v="None"/>
    <x v="0"/>
    <n v="2415"/>
    <n v="-8"/>
    <s v="October"/>
    <s v="Monday"/>
    <n v="1"/>
    <s v="Night"/>
  </r>
  <r>
    <d v="2025-10-28T00:00:00"/>
    <x v="158"/>
    <s v="Phoenix"/>
    <s v="Dallas"/>
    <s v="CRJ900"/>
    <n v="0.36458333333333331"/>
    <n v="0.37222222222222218"/>
    <n v="14"/>
    <s v="None"/>
    <x v="0"/>
    <n v="866"/>
    <n v="11"/>
    <s v="October"/>
    <s v="Tuesday"/>
    <n v="1"/>
    <s v="Morning"/>
  </r>
  <r>
    <d v="2025-10-28T00:00:00"/>
    <x v="73"/>
    <s v="Los Angeles"/>
    <s v="Boston"/>
    <s v="Embraer E175"/>
    <n v="0.58333333333333337"/>
    <n v="0.58680555555555558"/>
    <n v="10"/>
    <s v="None"/>
    <x v="0"/>
    <n v="2606"/>
    <n v="5"/>
    <s v="October"/>
    <s v="Tuesday"/>
    <n v="1"/>
    <s v="Afternoon"/>
  </r>
  <r>
    <d v="2025-10-28T00:00:00"/>
    <x v="161"/>
    <s v="Atlanta"/>
    <s v="Phoenix"/>
    <s v="CRJ900"/>
    <n v="0.71180555555555558"/>
    <n v="0.7270833333333333"/>
    <n v="17"/>
    <s v="Carrier"/>
    <x v="0"/>
    <n v="1584"/>
    <n v="22"/>
    <s v="October"/>
    <s v="Tuesday"/>
    <n v="0"/>
    <s v="Evening"/>
  </r>
  <r>
    <d v="2025-10-29T00:00:00"/>
    <x v="38"/>
    <s v="Chicago"/>
    <s v="Atlanta"/>
    <s v="Airbus A320"/>
    <n v="0.33333333333333331"/>
    <n v="0.33750000000000002"/>
    <n v="5"/>
    <s v="None"/>
    <x v="0"/>
    <n v="606"/>
    <n v="6"/>
    <s v="October"/>
    <s v="Wednesday"/>
    <n v="1"/>
    <s v="Morning"/>
  </r>
  <r>
    <d v="2025-10-29T00:00:00"/>
    <x v="162"/>
    <s v="Atlanta"/>
    <s v="Boston"/>
    <s v="Boeing 737-800"/>
    <n v="0.61111111111111116"/>
    <n v="0.6166666666666667"/>
    <n v="1"/>
    <s v="None"/>
    <x v="0"/>
    <n v="945"/>
    <n v="8"/>
    <s v="October"/>
    <s v="Wednesday"/>
    <n v="1"/>
    <s v="Afternoon"/>
  </r>
  <r>
    <d v="2025-10-31T00:00:00"/>
    <x v="163"/>
    <s v="Chicago"/>
    <s v="Atlanta"/>
    <s v="Airbus A320"/>
    <n v="0.2638888888888889"/>
    <n v="0.26041666666666669"/>
    <n v="-13"/>
    <s v="None"/>
    <x v="0"/>
    <n v="606"/>
    <n v="-5"/>
    <s v="October"/>
    <s v="Friday"/>
    <n v="1"/>
    <s v="Morning"/>
  </r>
  <r>
    <d v="2025-10-31T00:00:00"/>
    <x v="156"/>
    <s v="Atlanta"/>
    <s v="Miami"/>
    <s v="CRJ900"/>
    <n v="0.38194444444444442"/>
    <n v="0.38055555555555548"/>
    <n v="6"/>
    <s v="None"/>
    <x v="0"/>
    <n v="596"/>
    <n v="-2"/>
    <s v="October"/>
    <s v="Friday"/>
    <n v="1"/>
    <s v="Morning"/>
  </r>
  <r>
    <d v="2025-10-31T00:00:00"/>
    <x v="164"/>
    <s v="Atlanta"/>
    <s v="Denver"/>
    <s v="CRJ900"/>
    <n v="0.45833333333333331"/>
    <n v="0.45763888888888887"/>
    <n v="1"/>
    <s v="None"/>
    <x v="0"/>
    <n v="1197"/>
    <n v="-1"/>
    <s v="October"/>
    <s v="Friday"/>
    <n v="1"/>
    <s v="Morning"/>
  </r>
  <r>
    <d v="2025-10-31T00:00:00"/>
    <x v="165"/>
    <s v="Chicago"/>
    <s v="Las Vegas"/>
    <s v="Boeing 737-800"/>
    <n v="0.67013888888888884"/>
    <n v="0.67847222222222225"/>
    <n v="0"/>
    <s v="None"/>
    <x v="0"/>
    <n v="1511"/>
    <n v="12"/>
    <s v="October"/>
    <s v="Friday"/>
    <n v="1"/>
    <s v="Afternoon"/>
  </r>
  <r>
    <d v="2025-10-31T00:00:00"/>
    <x v="166"/>
    <s v="New York"/>
    <s v="Los Angeles"/>
    <s v="Boeing 737-800"/>
    <n v="0.73263888888888884"/>
    <n v="0.72916666666666663"/>
    <n v="-7"/>
    <s v="None"/>
    <x v="0"/>
    <n v="2470"/>
    <n v="-5"/>
    <s v="October"/>
    <s v="Friday"/>
    <n v="1"/>
    <s v="Evening"/>
  </r>
  <r>
    <d v="2025-10-31T00:00:00"/>
    <x v="167"/>
    <s v="New York"/>
    <s v="Miami"/>
    <s v="CRJ900"/>
    <n v="0.74652777777777779"/>
    <n v="0.75208333333333333"/>
    <n v="11"/>
    <s v="None"/>
    <x v="0"/>
    <n v="1092"/>
    <n v="8"/>
    <s v="October"/>
    <s v="Friday"/>
    <n v="1"/>
    <s v="Evening"/>
  </r>
  <r>
    <d v="2025-10-31T00:00:00"/>
    <x v="168"/>
    <s v="Atlanta"/>
    <s v="Denver"/>
    <s v="Embraer E175"/>
    <n v="0.81944444444444442"/>
    <n v="0.82777777777777772"/>
    <n v="1"/>
    <s v="None"/>
    <x v="0"/>
    <n v="1197"/>
    <n v="12"/>
    <s v="October"/>
    <s v="Friday"/>
    <n v="1"/>
    <s v="Evening"/>
  </r>
  <r>
    <d v="2025-11-01T00:00:00"/>
    <x v="169"/>
    <s v="Miami"/>
    <s v="Los Angeles"/>
    <s v="Airbus A320"/>
    <n v="0.71875"/>
    <n v="0.73541666666666672"/>
    <n v="31"/>
    <s v="Carrier"/>
    <x v="0"/>
    <n v="2338"/>
    <n v="24"/>
    <s v="November"/>
    <s v="Saturday"/>
    <n v="0"/>
    <s v="Evening"/>
  </r>
  <r>
    <d v="2025-11-02T00:00:00"/>
    <x v="170"/>
    <s v="Denver"/>
    <s v="New York"/>
    <s v="Boeing 737-800"/>
    <n v="0.27777777777777779"/>
    <n v="0.27916666666666667"/>
    <n v="-5"/>
    <s v="None"/>
    <x v="0"/>
    <n v="1622"/>
    <n v="2"/>
    <s v="November"/>
    <s v="Sunday"/>
    <n v="1"/>
    <s v="Morning"/>
  </r>
  <r>
    <d v="2025-11-02T00:00:00"/>
    <x v="171"/>
    <s v="Dallas"/>
    <s v="Miami"/>
    <s v="Embraer E175"/>
    <n v="0.31597222222222221"/>
    <n v="0.31319444444444439"/>
    <n v="-15"/>
    <s v="None"/>
    <x v="0"/>
    <n v="1120"/>
    <n v="-4"/>
    <s v="November"/>
    <s v="Sunday"/>
    <n v="1"/>
    <s v="Morning"/>
  </r>
  <r>
    <d v="2025-11-02T00:00:00"/>
    <x v="172"/>
    <s v="Los Angeles"/>
    <s v="Dallas"/>
    <s v="Airbus A320"/>
    <n v="0.35416666666666669"/>
    <n v="0.35486111111111113"/>
    <n v="3"/>
    <s v="None"/>
    <x v="0"/>
    <n v="1232"/>
    <n v="1"/>
    <s v="November"/>
    <s v="Sunday"/>
    <n v="1"/>
    <s v="Morning"/>
  </r>
  <r>
    <d v="2025-11-02T00:00:00"/>
    <x v="173"/>
    <s v="Atlanta"/>
    <s v="Chicago"/>
    <s v="Embraer E175"/>
    <n v="0.3888888888888889"/>
    <n v="0.38472222222222219"/>
    <n v="1"/>
    <s v="None"/>
    <x v="0"/>
    <n v="606"/>
    <n v="-6"/>
    <s v="November"/>
    <s v="Sunday"/>
    <n v="1"/>
    <s v="Morning"/>
  </r>
  <r>
    <d v="2025-11-02T00:00:00"/>
    <x v="174"/>
    <s v="Atlanta"/>
    <s v="Miami"/>
    <s v="Embraer E175"/>
    <n v="0.77777777777777779"/>
    <n v="0.83472222222222225"/>
    <n v="79"/>
    <s v="Carrier"/>
    <x v="0"/>
    <n v="596"/>
    <n v="82"/>
    <s v="November"/>
    <s v="Sunday"/>
    <n v="0"/>
    <s v="Evening"/>
  </r>
  <r>
    <d v="2025-11-03T00:00:00"/>
    <x v="175"/>
    <s v="Miami"/>
    <s v="Atlanta"/>
    <s v="Embraer E175"/>
    <n v="0.43055555555555558"/>
    <n v="0.43680555555555561"/>
    <n v="13"/>
    <s v="None"/>
    <x v="0"/>
    <n v="596"/>
    <n v="9"/>
    <s v="November"/>
    <s v="Monday"/>
    <n v="1"/>
    <s v="Morning"/>
  </r>
  <r>
    <d v="2025-11-04T00:00:00"/>
    <x v="176"/>
    <s v="Atlanta"/>
    <s v="Los Angeles"/>
    <s v="Airbus A320"/>
    <n v="0.2986111111111111"/>
    <n v="0.30486111111111108"/>
    <n v="17"/>
    <s v="None"/>
    <x v="0"/>
    <n v="1942"/>
    <n v="9"/>
    <s v="November"/>
    <s v="Tuesday"/>
    <n v="0"/>
    <s v="Morning"/>
  </r>
  <r>
    <d v="2025-11-04T00:00:00"/>
    <x v="177"/>
    <s v="New York"/>
    <s v="Chicago"/>
    <s v="Airbus A320"/>
    <n v="0.40625"/>
    <n v="0.41388888888888892"/>
    <n v="15"/>
    <s v="None"/>
    <x v="0"/>
    <n v="738"/>
    <n v="11"/>
    <s v="November"/>
    <s v="Tuesday"/>
    <n v="1"/>
    <s v="Morning"/>
  </r>
  <r>
    <d v="2025-11-04T00:00:00"/>
    <x v="178"/>
    <s v="Boston"/>
    <s v="Denver"/>
    <s v="CRJ900"/>
    <n v="0.48958333333333331"/>
    <n v="0.49444444444444452"/>
    <n v="3"/>
    <s v="None"/>
    <x v="0"/>
    <n v="1749"/>
    <n v="7"/>
    <s v="November"/>
    <s v="Tuesday"/>
    <n v="1"/>
    <s v="Morning"/>
  </r>
  <r>
    <d v="2025-11-05T00:00:00"/>
    <x v="179"/>
    <s v="Dallas"/>
    <s v="Los Angeles"/>
    <s v="Boeing 737-800"/>
    <n v="0.34722222222222221"/>
    <n v="0.34236111111111112"/>
    <n v="-9"/>
    <s v="None"/>
    <x v="0"/>
    <n v="1232"/>
    <n v="-7"/>
    <s v="November"/>
    <s v="Wednesday"/>
    <n v="1"/>
    <s v="Morning"/>
  </r>
  <r>
    <d v="2025-11-05T00:00:00"/>
    <x v="180"/>
    <s v="Seattle"/>
    <s v="Denver"/>
    <s v="CRJ900"/>
    <n v="0.38194444444444442"/>
    <n v="0.38541666666666669"/>
    <n v="-6"/>
    <s v="None"/>
    <x v="0"/>
    <n v="1023"/>
    <n v="5"/>
    <s v="November"/>
    <s v="Wednesday"/>
    <n v="1"/>
    <s v="Morning"/>
  </r>
  <r>
    <d v="2025-11-05T00:00:00"/>
    <x v="181"/>
    <s v="Chicago"/>
    <s v="Phoenix"/>
    <s v="Boeing 737-800"/>
    <n v="0.66319444444444442"/>
    <n v="0.66597222222222219"/>
    <n v="8"/>
    <s v="None"/>
    <x v="0"/>
    <n v="1438"/>
    <n v="4"/>
    <s v="November"/>
    <s v="Wednesday"/>
    <n v="1"/>
    <s v="Afternoon"/>
  </r>
  <r>
    <d v="2025-11-05T00:00:00"/>
    <x v="182"/>
    <s v="Dallas"/>
    <s v="Phoenix"/>
    <s v="Boeing 737-800"/>
    <n v="0.82638888888888884"/>
    <n v="0.83472222222222225"/>
    <n v="2"/>
    <s v="None"/>
    <x v="0"/>
    <n v="866"/>
    <n v="12"/>
    <s v="November"/>
    <s v="Wednesday"/>
    <n v="1"/>
    <s v="Evening"/>
  </r>
  <r>
    <d v="2025-11-05T00:00:00"/>
    <x v="183"/>
    <s v="San Francisco"/>
    <s v="New York"/>
    <s v="Boeing 737-800"/>
    <n v="0.85416666666666663"/>
    <n v="0.86041666666666672"/>
    <n v="1"/>
    <s v="None"/>
    <x v="0"/>
    <n v="2580"/>
    <n v="9"/>
    <s v="November"/>
    <s v="Wednesday"/>
    <n v="1"/>
    <s v="Evening"/>
  </r>
  <r>
    <d v="2025-11-06T00:00:00"/>
    <x v="184"/>
    <s v="Chicago"/>
    <s v="New York"/>
    <s v="Boeing 737-800"/>
    <n v="0.47916666666666669"/>
    <n v="0.48680555555555549"/>
    <n v="19"/>
    <s v="None"/>
    <x v="0"/>
    <n v="738"/>
    <n v="11"/>
    <s v="November"/>
    <s v="Thursday"/>
    <n v="0"/>
    <s v="Morning"/>
  </r>
  <r>
    <d v="2025-11-06T00:00:00"/>
    <x v="185"/>
    <s v="Chicago"/>
    <s v="Miami"/>
    <s v="Airbus A320"/>
    <n v="0.88888888888888884"/>
    <n v="0.90625"/>
    <n v="25"/>
    <s v="Air Traffic Control"/>
    <x v="0"/>
    <n v="1199"/>
    <n v="25"/>
    <s v="November"/>
    <s v="Thursday"/>
    <n v="0"/>
    <s v="Night"/>
  </r>
  <r>
    <d v="2025-11-07T00:00:00"/>
    <x v="186"/>
    <s v="Chicago"/>
    <s v="Phoenix"/>
    <s v="CRJ900"/>
    <n v="0.3263888888888889"/>
    <n v="0.32361111111111113"/>
    <n v="1"/>
    <s v="None"/>
    <x v="0"/>
    <n v="1438"/>
    <n v="-4"/>
    <s v="November"/>
    <s v="Friday"/>
    <n v="1"/>
    <s v="Morning"/>
  </r>
  <r>
    <d v="2025-11-07T00:00:00"/>
    <x v="43"/>
    <s v="New York"/>
    <s v="Chicago"/>
    <s v="Airbus A320"/>
    <n v="0.38194444444444442"/>
    <n v="0.37847222222222221"/>
    <n v="-16"/>
    <s v="None"/>
    <x v="0"/>
    <n v="738"/>
    <n v="-5"/>
    <s v="November"/>
    <s v="Friday"/>
    <n v="1"/>
    <s v="Morning"/>
  </r>
  <r>
    <d v="2025-11-07T00:00:00"/>
    <x v="8"/>
    <s v="New York"/>
    <s v="Chicago"/>
    <s v="Boeing 737-800"/>
    <n v="0.39583333333333331"/>
    <n v="0.40277777777777779"/>
    <n v="2"/>
    <s v="None"/>
    <x v="0"/>
    <n v="738"/>
    <n v="10"/>
    <s v="November"/>
    <s v="Friday"/>
    <n v="1"/>
    <s v="Morning"/>
  </r>
  <r>
    <d v="2025-11-07T00:00:00"/>
    <x v="187"/>
    <s v="Chicago"/>
    <s v="Boston"/>
    <s v="Boeing 737-800"/>
    <n v="0.43055555555555558"/>
    <n v="0.43263888888888891"/>
    <n v="-3"/>
    <s v="None"/>
    <x v="0"/>
    <n v="864"/>
    <n v="3"/>
    <s v="November"/>
    <s v="Friday"/>
    <n v="1"/>
    <s v="Morning"/>
  </r>
  <r>
    <d v="2025-11-08T00:00:00"/>
    <x v="188"/>
    <s v="Atlanta"/>
    <s v="Phoenix"/>
    <s v="Boeing 737-800"/>
    <n v="0.22916666666666671"/>
    <n v="0.22847222222222219"/>
    <n v="7"/>
    <s v="None"/>
    <x v="0"/>
    <n v="1584"/>
    <n v="-1"/>
    <s v="November"/>
    <s v="Saturday"/>
    <n v="1"/>
    <s v="Morning"/>
  </r>
  <r>
    <d v="2025-11-08T00:00:00"/>
    <x v="189"/>
    <s v="San Francisco"/>
    <s v="Los Angeles"/>
    <s v="Boeing 737-800"/>
    <n v="0.3125"/>
    <n v="0.31319444444444439"/>
    <n v="6"/>
    <s v="None"/>
    <x v="0"/>
    <n v="338"/>
    <n v="1"/>
    <s v="November"/>
    <s v="Saturday"/>
    <n v="1"/>
    <s v="Morning"/>
  </r>
  <r>
    <d v="2025-11-08T00:00:00"/>
    <x v="190"/>
    <s v="Los Angeles"/>
    <s v="Denver"/>
    <s v="Airbus A320"/>
    <n v="0.70486111111111116"/>
    <m/>
    <n v="-8"/>
    <s v="None"/>
    <x v="0"/>
    <n v="861"/>
    <n v="4"/>
    <s v="November"/>
    <s v="Saturday"/>
    <n v="1"/>
    <s v="Afternoon"/>
  </r>
  <r>
    <d v="2025-11-08T00:00:00"/>
    <x v="191"/>
    <s v="Dallas"/>
    <s v="New York"/>
    <s v="Embraer E175"/>
    <n v="0.72569444444444442"/>
    <n v="0.72013888888888888"/>
    <n v="-4"/>
    <s v="None"/>
    <x v="0"/>
    <n v="1389"/>
    <n v="-8"/>
    <s v="November"/>
    <s v="Saturday"/>
    <n v="1"/>
    <s v="Evening"/>
  </r>
  <r>
    <d v="2025-11-08T00:00:00"/>
    <x v="0"/>
    <s v="New York"/>
    <s v="Boston"/>
    <s v="Embraer E175"/>
    <n v="0.77777777777777779"/>
    <n v="0.81458333333333333"/>
    <n v="41"/>
    <s v="Late Aircraft"/>
    <x v="0"/>
    <n v="186"/>
    <n v="53"/>
    <s v="November"/>
    <s v="Saturday"/>
    <n v="0"/>
    <s v="Evening"/>
  </r>
  <r>
    <d v="2025-11-08T00:00:00"/>
    <x v="192"/>
    <s v="Miami"/>
    <s v="Dallas"/>
    <s v="CRJ900"/>
    <n v="0.80902777777777779"/>
    <n v="0.82222222222222219"/>
    <n v="17"/>
    <s v="Late Aircraft"/>
    <x v="0"/>
    <n v="1120"/>
    <n v="19"/>
    <s v="November"/>
    <s v="Saturday"/>
    <n v="0"/>
    <s v="Evening"/>
  </r>
  <r>
    <d v="2025-11-09T00:00:00"/>
    <x v="193"/>
    <s v="Seattle"/>
    <s v="Chicago"/>
    <s v="Airbus A320"/>
    <n v="0.34375"/>
    <n v="0.34722222222222221"/>
    <n v="10"/>
    <s v="None"/>
    <x v="0"/>
    <n v="1717"/>
    <n v="5"/>
    <s v="November"/>
    <s v="Sunday"/>
    <n v="1"/>
    <s v="Morning"/>
  </r>
  <r>
    <d v="2025-11-09T00:00:00"/>
    <x v="51"/>
    <s v="Dallas"/>
    <s v="Atlanta"/>
    <s v="Boeing 737-800"/>
    <n v="0.52083333333333337"/>
    <n v="0.52569444444444446"/>
    <n v="4"/>
    <s v="None"/>
    <x v="0"/>
    <n v="730"/>
    <n v="7"/>
    <s v="November"/>
    <s v="Sunday"/>
    <n v="1"/>
    <s v="Afternoon"/>
  </r>
  <r>
    <d v="2025-11-09T00:00:00"/>
    <x v="194"/>
    <s v="Denver"/>
    <s v="Boston"/>
    <s v="Boeing 737-800"/>
    <n v="0.79166666666666663"/>
    <n v="0.79791666666666672"/>
    <n v="7"/>
    <s v="None"/>
    <x v="0"/>
    <n v="1749"/>
    <n v="9"/>
    <s v="November"/>
    <s v="Sunday"/>
    <n v="1"/>
    <s v="Evening"/>
  </r>
  <r>
    <d v="2025-11-10T00:00:00"/>
    <x v="195"/>
    <s v="Los Angeles"/>
    <s v="Chicago"/>
    <s v="Airbus A320"/>
    <n v="0.35069444444444442"/>
    <n v="0.35625000000000001"/>
    <n v="17"/>
    <s v="None"/>
    <x v="0"/>
    <n v="1742"/>
    <n v="8"/>
    <s v="November"/>
    <s v="Monday"/>
    <n v="0"/>
    <s v="Morning"/>
  </r>
  <r>
    <d v="2025-11-10T00:00:00"/>
    <x v="196"/>
    <s v="New York"/>
    <s v="Dallas"/>
    <s v="Airbus A320"/>
    <n v="0.62152777777777779"/>
    <n v="0.63958333333333328"/>
    <n v="24"/>
    <s v="Weather"/>
    <x v="0"/>
    <n v="1389"/>
    <n v="26"/>
    <s v="November"/>
    <s v="Monday"/>
    <n v="0"/>
    <s v="Afternoon"/>
  </r>
  <r>
    <d v="2025-11-11T00:00:00"/>
    <x v="197"/>
    <s v="Phoenix"/>
    <s v="Denver"/>
    <s v="CRJ900"/>
    <n v="0.52430555555555558"/>
    <n v="0.52569444444444446"/>
    <n v="11"/>
    <s v="None"/>
    <x v="0"/>
    <n v="602"/>
    <n v="2"/>
    <s v="November"/>
    <s v="Tuesday"/>
    <n v="1"/>
    <s v="Afternoon"/>
  </r>
  <r>
    <d v="2025-11-11T00:00:00"/>
    <x v="198"/>
    <s v="New York"/>
    <s v="Atlanta"/>
    <s v="CRJ900"/>
    <n v="0.73263888888888884"/>
    <n v="0.7631944444444444"/>
    <n v="45"/>
    <s v="Air Traffic Control"/>
    <x v="0"/>
    <n v="759"/>
    <n v="44"/>
    <s v="November"/>
    <s v="Tuesday"/>
    <n v="0"/>
    <s v="Evening"/>
  </r>
  <r>
    <d v="2025-11-12T00:00:00"/>
    <x v="199"/>
    <s v="Miami"/>
    <s v="San Francisco"/>
    <s v="Embraer E175"/>
    <n v="0.4548611111111111"/>
    <n v="0.44930555555555562"/>
    <n v="-16"/>
    <s v="None"/>
    <x v="0"/>
    <n v="2582"/>
    <n v="-8"/>
    <s v="November"/>
    <s v="Wednesday"/>
    <n v="1"/>
    <s v="Morning"/>
  </r>
  <r>
    <d v="2025-11-12T00:00:00"/>
    <x v="200"/>
    <s v="Dallas"/>
    <s v="Boston"/>
    <s v="Boeing 737-800"/>
    <n v="0.57638888888888884"/>
    <n v="0.57777777777777772"/>
    <n v="1"/>
    <s v="None"/>
    <x v="0"/>
    <n v="1559"/>
    <n v="2"/>
    <s v="November"/>
    <s v="Wednesday"/>
    <n v="1"/>
    <s v="Afternoon"/>
  </r>
  <r>
    <d v="2025-11-12T00:00:00"/>
    <x v="201"/>
    <s v="Dallas"/>
    <s v="Atlanta"/>
    <s v="Airbus A320"/>
    <n v="0.69444444444444442"/>
    <n v="0.69305555555555554"/>
    <n v="6"/>
    <s v="None"/>
    <x v="0"/>
    <n v="730"/>
    <n v="-2"/>
    <s v="November"/>
    <s v="Wednesday"/>
    <n v="1"/>
    <s v="Afternoon"/>
  </r>
  <r>
    <d v="2025-11-12T00:00:00"/>
    <x v="202"/>
    <s v="Seattle"/>
    <s v="Las Vegas"/>
    <s v="CRJ900"/>
    <n v="0.73611111111111116"/>
    <n v="0.7319444444444444"/>
    <n v="2"/>
    <s v="None"/>
    <x v="0"/>
    <n v="867"/>
    <n v="-6"/>
    <s v="November"/>
    <s v="Wednesday"/>
    <n v="1"/>
    <s v="Evening"/>
  </r>
  <r>
    <d v="2025-11-12T00:00:00"/>
    <x v="203"/>
    <s v="Dallas"/>
    <s v="Boston"/>
    <s v="Boeing 737-800"/>
    <n v="0.78472222222222221"/>
    <n v="0.78402777777777777"/>
    <m/>
    <s v="None"/>
    <x v="0"/>
    <n v="1559"/>
    <n v="-1"/>
    <s v="November"/>
    <s v="Wednesday"/>
    <m/>
    <s v="Evening"/>
  </r>
  <r>
    <d v="2025-11-12T00:00:00"/>
    <x v="204"/>
    <s v="Miami"/>
    <s v="Chicago"/>
    <s v="Boeing 737-800"/>
    <n v="0.82291666666666663"/>
    <n v="0.85"/>
    <n v="36"/>
    <s v="Carrier"/>
    <x v="0"/>
    <n v="1199"/>
    <n v="39"/>
    <s v="November"/>
    <s v="Wednesday"/>
    <n v="0"/>
    <s v="Evening"/>
  </r>
  <r>
    <d v="2025-11-13T00:00:00"/>
    <x v="91"/>
    <s v="Atlanta"/>
    <s v="Dallas"/>
    <s v="Embraer E175"/>
    <n v="0.4548611111111111"/>
    <n v="0.4513888888888889"/>
    <n v="-12"/>
    <s v="None"/>
    <x v="0"/>
    <n v="730"/>
    <n v="-5"/>
    <s v="November"/>
    <s v="Thursday"/>
    <n v="1"/>
    <s v="Morning"/>
  </r>
  <r>
    <d v="2025-11-13T00:00:00"/>
    <x v="205"/>
    <s v="Dallas"/>
    <s v="Los Angeles"/>
    <s v="Airbus A320"/>
    <n v="0.73958333333333337"/>
    <n v="0.74305555555555558"/>
    <m/>
    <s v="None"/>
    <x v="0"/>
    <n v="1232"/>
    <n v="5"/>
    <s v="November"/>
    <s v="Thursday"/>
    <m/>
    <s v="Evening"/>
  </r>
  <r>
    <d v="2025-11-13T00:00:00"/>
    <x v="206"/>
    <s v="Dallas"/>
    <s v="Boston"/>
    <s v="CRJ900"/>
    <n v="0.8125"/>
    <n v="0.81805555555555554"/>
    <n v="11"/>
    <s v="None"/>
    <x v="0"/>
    <n v="1559"/>
    <m/>
    <s v="November"/>
    <s v="Thursday"/>
    <n v="1"/>
    <s v="Evening"/>
  </r>
  <r>
    <d v="2025-11-14T00:00:00"/>
    <x v="207"/>
    <s v="Atlanta"/>
    <s v="Dallas"/>
    <s v="Boeing 737-800"/>
    <n v="0.4513888888888889"/>
    <n v="0.45833333333333331"/>
    <n v="13"/>
    <s v="None"/>
    <x v="0"/>
    <n v="730"/>
    <n v="10"/>
    <s v="November"/>
    <s v="Friday"/>
    <n v="1"/>
    <s v="Morning"/>
  </r>
  <r>
    <d v="2025-11-14T00:00:00"/>
    <x v="115"/>
    <s v="Denver"/>
    <s v="Atlanta"/>
    <s v="Embraer E175"/>
    <n v="0.70833333333333337"/>
    <n v="0.71319444444444446"/>
    <n v="-2"/>
    <s v="None"/>
    <x v="0"/>
    <n v="1197"/>
    <n v="7"/>
    <s v="November"/>
    <s v="Friday"/>
    <n v="1"/>
    <s v="Evening"/>
  </r>
  <r>
    <d v="2025-11-15T00:00:00"/>
    <x v="208"/>
    <s v="Chicago"/>
    <s v="Denver"/>
    <s v="Airbus A320"/>
    <n v="0.2361111111111111"/>
    <n v="0.23333333333333331"/>
    <n v="-4"/>
    <s v="None"/>
    <x v="0"/>
    <n v="886"/>
    <n v="-4"/>
    <s v="November"/>
    <s v="Saturday"/>
    <n v="1"/>
    <s v="Morning"/>
  </r>
  <r>
    <d v="2025-11-15T00:00:00"/>
    <x v="209"/>
    <s v="Denver"/>
    <s v="Boston"/>
    <s v="Airbus A320"/>
    <n v="0.3263888888888889"/>
    <n v="0.32708333333333328"/>
    <n v="-1"/>
    <s v="None"/>
    <x v="0"/>
    <n v="1749"/>
    <n v="1"/>
    <s v="November"/>
    <s v="Saturday"/>
    <n v="1"/>
    <s v="Morning"/>
  </r>
  <r>
    <d v="2025-11-15T00:00:00"/>
    <x v="195"/>
    <s v="Atlanta"/>
    <s v="Los Angeles"/>
    <s v="Airbus A320"/>
    <n v="0.3263888888888889"/>
    <n v="0.3215277777777778"/>
    <n v="-9"/>
    <s v="None"/>
    <x v="0"/>
    <n v="1942"/>
    <n v="-7"/>
    <s v="November"/>
    <s v="Saturday"/>
    <n v="1"/>
    <s v="Morning"/>
  </r>
  <r>
    <d v="2025-11-15T00:00:00"/>
    <x v="210"/>
    <s v="Atlanta"/>
    <s v="New York"/>
    <s v="CRJ900"/>
    <n v="0.33333333333333331"/>
    <n v="0.33958333333333329"/>
    <n v="1"/>
    <s v="None"/>
    <x v="0"/>
    <n v="759"/>
    <n v="9"/>
    <s v="November"/>
    <s v="Saturday"/>
    <n v="1"/>
    <s v="Morning"/>
  </r>
  <r>
    <d v="2025-11-15T00:00:00"/>
    <x v="211"/>
    <s v="Denver"/>
    <s v="Phoenix"/>
    <s v="Boeing 737-800"/>
    <n v="0.36458333333333331"/>
    <n v="0.37083333333333329"/>
    <n v="12"/>
    <s v="None"/>
    <x v="0"/>
    <n v="602"/>
    <n v="9"/>
    <s v="November"/>
    <s v="Saturday"/>
    <n v="1"/>
    <s v="Morning"/>
  </r>
  <r>
    <d v="2025-11-15T00:00:00"/>
    <x v="212"/>
    <s v="Seattle"/>
    <s v="Boston"/>
    <s v="CRJ900"/>
    <n v="0.59375"/>
    <n v="0.59583333333333333"/>
    <n v="-3"/>
    <s v="None"/>
    <x v="0"/>
    <n v="2489"/>
    <n v="3"/>
    <s v="November"/>
    <s v="Saturday"/>
    <n v="1"/>
    <s v="Afternoon"/>
  </r>
  <r>
    <d v="2025-11-15T00:00:00"/>
    <x v="213"/>
    <s v="Denver"/>
    <s v="New York"/>
    <s v="Boeing 737-800"/>
    <n v="0.62152777777777779"/>
    <n v="0.62013888888888891"/>
    <m/>
    <s v="None"/>
    <x v="0"/>
    <n v="1622"/>
    <n v="-2"/>
    <s v="November"/>
    <s v="Saturday"/>
    <m/>
    <s v="Afternoon"/>
  </r>
  <r>
    <d v="2025-11-16T00:00:00"/>
    <x v="214"/>
    <s v="Miami"/>
    <s v="Atlanta"/>
    <s v="Airbus A320"/>
    <n v="0.22916666666666671"/>
    <n v="0.23472222222222219"/>
    <n v="10"/>
    <s v="None"/>
    <x v="0"/>
    <n v="596"/>
    <n v="8"/>
    <s v="November"/>
    <s v="Sunday"/>
    <n v="1"/>
    <s v="Morning"/>
  </r>
  <r>
    <d v="2025-11-16T00:00:00"/>
    <x v="175"/>
    <s v="Chicago"/>
    <s v="Atlanta"/>
    <s v="Boeing 737-800"/>
    <n v="0.47569444444444442"/>
    <n v="0.47638888888888892"/>
    <n v="-9"/>
    <s v="None"/>
    <x v="0"/>
    <n v="606"/>
    <n v="1"/>
    <s v="November"/>
    <s v="Sunday"/>
    <n v="1"/>
    <s v="Morning"/>
  </r>
  <r>
    <d v="2025-11-16T00:00:00"/>
    <x v="125"/>
    <s v="Denver"/>
    <s v="San Francisco"/>
    <s v="Airbus A320"/>
    <n v="0.50694444444444442"/>
    <n v="0.50555555555555554"/>
    <n v="-11"/>
    <s v="None"/>
    <x v="0"/>
    <n v="965"/>
    <n v="-2"/>
    <s v="November"/>
    <s v="Sunday"/>
    <n v="1"/>
    <s v="Afternoon"/>
  </r>
  <r>
    <d v="2025-11-16T00:00:00"/>
    <x v="70"/>
    <s v="Atlanta"/>
    <s v="New York"/>
    <s v="Airbus A320"/>
    <n v="0.65625"/>
    <n v="0.66249999999999998"/>
    <n v="16"/>
    <s v="None"/>
    <x v="0"/>
    <n v="759"/>
    <n v="9"/>
    <s v="November"/>
    <s v="Sunday"/>
    <n v="0"/>
    <s v="Afternoon"/>
  </r>
  <r>
    <d v="2025-11-16T00:00:00"/>
    <x v="215"/>
    <s v="New York"/>
    <s v="Chicago"/>
    <s v="CRJ900"/>
    <n v="0.71180555555555558"/>
    <n v="0.7368055555555556"/>
    <n v="34"/>
    <s v="Late Aircraft"/>
    <x v="0"/>
    <n v="738"/>
    <n v="36"/>
    <s v="November"/>
    <s v="Sunday"/>
    <n v="0"/>
    <s v="Evening"/>
  </r>
  <r>
    <d v="2025-11-16T00:00:00"/>
    <x v="216"/>
    <s v="Las Vegas"/>
    <s v="Dallas"/>
    <s v="CRJ900"/>
    <n v="0.75694444444444442"/>
    <n v="0.79583333333333328"/>
    <n v="60"/>
    <s v="Late Aircraft"/>
    <x v="0"/>
    <n v="1053"/>
    <n v="56"/>
    <s v="November"/>
    <s v="Sunday"/>
    <n v="0"/>
    <s v="Evening"/>
  </r>
  <r>
    <d v="2025-11-17T00:00:00"/>
    <x v="217"/>
    <s v="Chicago"/>
    <s v="Atlanta"/>
    <s v="CRJ900"/>
    <n v="0.41319444444444442"/>
    <n v="0.4152777777777778"/>
    <n v="11"/>
    <s v="None"/>
    <x v="0"/>
    <n v="606"/>
    <n v="3"/>
    <s v="November"/>
    <s v="Monday"/>
    <n v="1"/>
    <s v="Morning"/>
  </r>
  <r>
    <d v="2025-11-17T00:00:00"/>
    <x v="8"/>
    <s v="Dallas"/>
    <s v="Denver"/>
    <s v="CRJ900"/>
    <n v="0.51388888888888884"/>
    <n v="0.52013888888888893"/>
    <n v="0"/>
    <s v="None"/>
    <x v="0"/>
    <n v="641"/>
    <n v="9"/>
    <s v="November"/>
    <s v="Monday"/>
    <n v="1"/>
    <s v="Afternoon"/>
  </r>
  <r>
    <d v="2025-11-17T00:00:00"/>
    <x v="218"/>
    <s v="Miami"/>
    <s v="Dallas"/>
    <s v="Boeing 737-800"/>
    <n v="0.67708333333333337"/>
    <n v="0.67986111111111114"/>
    <n v="9"/>
    <s v="None"/>
    <x v="0"/>
    <n v="1120"/>
    <n v="4"/>
    <s v="November"/>
    <s v="Monday"/>
    <n v="1"/>
    <s v="Afternoon"/>
  </r>
  <r>
    <d v="2025-11-17T00:00:00"/>
    <x v="219"/>
    <s v="Miami"/>
    <s v="Atlanta"/>
    <s v="Airbus A320"/>
    <n v="0.73263888888888884"/>
    <n v="0.73541666666666672"/>
    <n v="-4"/>
    <s v="None"/>
    <x v="0"/>
    <n v="596"/>
    <n v="4"/>
    <s v="November"/>
    <s v="Monday"/>
    <n v="1"/>
    <s v="Evening"/>
  </r>
  <r>
    <d v="2025-11-17T00:00:00"/>
    <x v="220"/>
    <s v="Chicago"/>
    <s v="Dallas"/>
    <s v="Boeing 737-800"/>
    <n v="0.80555555555555558"/>
    <n v="0.80763888888888891"/>
    <n v="5"/>
    <s v="None"/>
    <x v="0"/>
    <n v="802"/>
    <n v="3"/>
    <s v="November"/>
    <s v="Monday"/>
    <n v="1"/>
    <s v="Evening"/>
  </r>
  <r>
    <d v="2025-11-18T00:00:00"/>
    <x v="221"/>
    <s v="Atlanta"/>
    <s v="Boston"/>
    <s v="Airbus A320"/>
    <n v="0.3263888888888889"/>
    <n v="0.32708333333333328"/>
    <n v="4"/>
    <s v="None"/>
    <x v="0"/>
    <n v="945"/>
    <n v="1"/>
    <s v="November"/>
    <s v="Tuesday"/>
    <n v="1"/>
    <s v="Morning"/>
  </r>
  <r>
    <d v="2025-11-18T00:00:00"/>
    <x v="222"/>
    <s v="Dallas"/>
    <s v="Denver"/>
    <s v="Boeing 737-800"/>
    <n v="0.69097222222222221"/>
    <n v="0.71875"/>
    <n v="32"/>
    <s v="Carrier"/>
    <x v="0"/>
    <n v="641"/>
    <n v="40"/>
    <s v="November"/>
    <s v="Tuesday"/>
    <n v="0"/>
    <s v="Afternoon"/>
  </r>
  <r>
    <d v="2025-11-18T00:00:00"/>
    <x v="2"/>
    <s v="Denver"/>
    <s v="New York"/>
    <s v="Embraer E175"/>
    <n v="0.78125"/>
    <n v="0.77777777777777779"/>
    <n v="4"/>
    <s v="None"/>
    <x v="0"/>
    <n v="1622"/>
    <n v="-5"/>
    <s v="November"/>
    <s v="Tuesday"/>
    <n v="1"/>
    <s v="Evening"/>
  </r>
  <r>
    <d v="2025-11-19T00:00:00"/>
    <x v="223"/>
    <s v="Phoenix"/>
    <s v="Denver"/>
    <s v="Airbus A320"/>
    <n v="0.34375"/>
    <n v="0.34236111111111112"/>
    <n v="-13"/>
    <s v="None"/>
    <x v="0"/>
    <n v="602"/>
    <n v="-2"/>
    <s v="November"/>
    <s v="Wednesday"/>
    <n v="1"/>
    <s v="Morning"/>
  </r>
  <r>
    <d v="2025-11-19T00:00:00"/>
    <x v="222"/>
    <s v="Atlanta"/>
    <s v="Miami"/>
    <s v="Airbus A320"/>
    <n v="0.39583333333333331"/>
    <n v="0.42291666666666672"/>
    <n v="42"/>
    <s v="Air Traffic Control"/>
    <x v="0"/>
    <n v="596"/>
    <n v="39"/>
    <s v="November"/>
    <s v="Wednesday"/>
    <n v="0"/>
    <s v="Morning"/>
  </r>
  <r>
    <d v="2025-11-19T00:00:00"/>
    <x v="148"/>
    <s v="Los Angeles"/>
    <s v="Dallas"/>
    <s v="Embraer E175"/>
    <n v="0.4861111111111111"/>
    <n v="0.48472222222222222"/>
    <n v="-1"/>
    <s v="None"/>
    <x v="0"/>
    <n v="1232"/>
    <n v="-2"/>
    <s v="November"/>
    <s v="Wednesday"/>
    <n v="1"/>
    <s v="Morning"/>
  </r>
  <r>
    <d v="2025-11-19T00:00:00"/>
    <x v="224"/>
    <s v="Atlanta"/>
    <s v="Boston"/>
    <s v="Embraer E175"/>
    <n v="0.74652777777777779"/>
    <n v="0.75208333333333333"/>
    <n v="16"/>
    <s v="None"/>
    <x v="0"/>
    <n v="945"/>
    <n v="8"/>
    <s v="November"/>
    <s v="Wednesday"/>
    <n v="0"/>
    <s v="Evening"/>
  </r>
  <r>
    <d v="2025-11-19T00:00:00"/>
    <x v="225"/>
    <s v="Dallas"/>
    <s v="New York"/>
    <s v="Airbus A320"/>
    <n v="0.78125"/>
    <n v="0.79236111111111107"/>
    <n v="11"/>
    <s v="Weather"/>
    <x v="0"/>
    <n v="1389"/>
    <n v="16"/>
    <s v="November"/>
    <s v="Wednesday"/>
    <n v="1"/>
    <s v="Evening"/>
  </r>
  <r>
    <d v="2025-11-20T00:00:00"/>
    <x v="226"/>
    <s v="New York"/>
    <s v="San Francisco"/>
    <s v="Airbus A320"/>
    <n v="0.33333333333333331"/>
    <n v="0.36666666666666659"/>
    <n v="37"/>
    <s v="Weather"/>
    <x v="0"/>
    <n v="2580"/>
    <n v="48"/>
    <s v="November"/>
    <s v="Thursday"/>
    <n v="0"/>
    <s v="Morning"/>
  </r>
  <r>
    <d v="2025-11-20T00:00:00"/>
    <x v="123"/>
    <s v="Seattle"/>
    <s v="Chicago"/>
    <s v="Boeing 737-800"/>
    <n v="0.36805555555555558"/>
    <n v="0.39861111111111108"/>
    <n v="38"/>
    <s v="Security"/>
    <x v="0"/>
    <n v="1717"/>
    <n v="44"/>
    <s v="November"/>
    <s v="Thursday"/>
    <n v="0"/>
    <s v="Morning"/>
  </r>
  <r>
    <d v="2025-11-20T00:00:00"/>
    <x v="17"/>
    <s v="Boston"/>
    <s v="Las Vegas"/>
    <s v="Boeing 737-800"/>
    <n v="0.6875"/>
    <n v="0.68194444444444446"/>
    <n v="-18"/>
    <s v="None"/>
    <x v="0"/>
    <n v="2375"/>
    <n v="-8"/>
    <s v="November"/>
    <s v="Thursday"/>
    <n v="1"/>
    <s v="Afternoon"/>
  </r>
  <r>
    <d v="2025-11-20T00:00:00"/>
    <x v="227"/>
    <s v="Dallas"/>
    <s v="Los Angeles"/>
    <s v="CRJ900"/>
    <n v="0.90277777777777779"/>
    <n v="0.90763888888888888"/>
    <n v="11"/>
    <s v="None"/>
    <x v="0"/>
    <n v="1232"/>
    <n v="7"/>
    <s v="November"/>
    <s v="Thursday"/>
    <n v="1"/>
    <s v="Night"/>
  </r>
  <r>
    <d v="2025-11-21T00:00:00"/>
    <x v="11"/>
    <s v="New York"/>
    <s v="Chicago"/>
    <s v="Boeing 737-800"/>
    <n v="0.40972222222222221"/>
    <n v="0.40902777777777782"/>
    <n v="3"/>
    <s v="None"/>
    <x v="0"/>
    <n v="738"/>
    <n v="-1"/>
    <s v="November"/>
    <s v="Friday"/>
    <n v="1"/>
    <s v="Morning"/>
  </r>
  <r>
    <d v="2025-11-21T00:00:00"/>
    <x v="113"/>
    <s v="Atlanta"/>
    <s v="Dallas"/>
    <s v="Airbus A320"/>
    <n v="0.73263888888888884"/>
    <n v="0.73124999999999996"/>
    <n v="-5"/>
    <s v="None"/>
    <x v="0"/>
    <n v="730"/>
    <n v="-2"/>
    <s v="November"/>
    <s v="Friday"/>
    <n v="1"/>
    <s v="Evening"/>
  </r>
  <r>
    <d v="2025-11-22T00:00:00"/>
    <x v="228"/>
    <s v="Boston"/>
    <s v="Denver"/>
    <s v="Airbus A320"/>
    <n v="0.46875"/>
    <n v="0.47152777777777782"/>
    <n v="-1"/>
    <s v="None"/>
    <x v="0"/>
    <n v="1749"/>
    <n v="4"/>
    <s v="November"/>
    <s v="Saturday"/>
    <n v="1"/>
    <s v="Morning"/>
  </r>
  <r>
    <d v="2025-11-22T00:00:00"/>
    <x v="229"/>
    <s v="Atlanta"/>
    <s v="Chicago"/>
    <s v="Airbus A320"/>
    <n v="0.72916666666666663"/>
    <n v="0.7270833333333333"/>
    <n v="-9"/>
    <s v="None"/>
    <x v="0"/>
    <n v="606"/>
    <n v="-3"/>
    <s v="November"/>
    <s v="Saturday"/>
    <n v="1"/>
    <s v="Evening"/>
  </r>
  <r>
    <d v="2025-11-23T00:00:00"/>
    <x v="230"/>
    <s v="Las Vegas"/>
    <s v="New York"/>
    <s v="Airbus A320"/>
    <n v="0.84375"/>
    <n v="0.84236111111111112"/>
    <n v="-7"/>
    <s v="None"/>
    <x v="0"/>
    <n v="2243"/>
    <n v="-2"/>
    <s v="November"/>
    <s v="Sunday"/>
    <n v="1"/>
    <s v="Evening"/>
  </r>
  <r>
    <d v="2025-11-24T00:00:00"/>
    <x v="231"/>
    <s v="Denver"/>
    <s v="Dallas"/>
    <s v="Airbus A320"/>
    <n v="0.64236111111111116"/>
    <n v="0.64027777777777772"/>
    <n v="5"/>
    <s v="None"/>
    <x v="0"/>
    <n v="641"/>
    <n v="-3"/>
    <s v="November"/>
    <s v="Monday"/>
    <n v="1"/>
    <s v="Afternoon"/>
  </r>
  <r>
    <d v="2025-11-24T00:00:00"/>
    <x v="211"/>
    <s v="Chicago"/>
    <s v="Atlanta"/>
    <s v="Airbus A320"/>
    <n v="0.70138888888888884"/>
    <n v="0.70763888888888893"/>
    <n v="12"/>
    <s v="None"/>
    <x v="0"/>
    <n v="606"/>
    <n v="9"/>
    <s v="November"/>
    <s v="Monday"/>
    <n v="1"/>
    <s v="Afternoon"/>
  </r>
  <r>
    <d v="2025-11-25T00:00:00"/>
    <x v="232"/>
    <s v="Miami"/>
    <s v="Boston"/>
    <s v="Boeing 737-800"/>
    <n v="0.25"/>
    <n v="0.25347222222222221"/>
    <n v="3"/>
    <s v="None"/>
    <x v="0"/>
    <n v="1260"/>
    <n v="5"/>
    <s v="November"/>
    <s v="Tuesday"/>
    <n v="1"/>
    <s v="Morning"/>
  </r>
  <r>
    <d v="2025-11-25T00:00:00"/>
    <x v="59"/>
    <s v="Atlanta"/>
    <s v="Dallas"/>
    <s v="Boeing 737-800"/>
    <n v="0.28819444444444442"/>
    <n v="0.29375000000000001"/>
    <n v="18"/>
    <s v="None"/>
    <x v="0"/>
    <n v="730"/>
    <n v="8"/>
    <s v="November"/>
    <s v="Tuesday"/>
    <n v="0"/>
    <s v="Morning"/>
  </r>
  <r>
    <d v="2025-11-25T00:00:00"/>
    <x v="233"/>
    <s v="San Francisco"/>
    <s v="Chicago"/>
    <s v="Boeing 737-800"/>
    <n v="0.37847222222222221"/>
    <n v="0.38263888888888892"/>
    <n v="9"/>
    <s v="None"/>
    <x v="0"/>
    <n v="1842"/>
    <n v="6"/>
    <s v="November"/>
    <s v="Tuesday"/>
    <n v="1"/>
    <s v="Morning"/>
  </r>
  <r>
    <d v="2025-11-25T00:00:00"/>
    <x v="234"/>
    <s v="New York"/>
    <s v="Seattle"/>
    <s v="Embraer E175"/>
    <n v="0.4861111111111111"/>
    <n v="0.48819444444444438"/>
    <n v="-1"/>
    <s v="None"/>
    <x v="0"/>
    <n v="2415"/>
    <n v="3"/>
    <s v="November"/>
    <s v="Tuesday"/>
    <n v="1"/>
    <s v="Morning"/>
  </r>
  <r>
    <d v="2025-11-26T00:00:00"/>
    <x v="134"/>
    <s v="Atlanta"/>
    <s v="Dallas"/>
    <s v="CRJ900"/>
    <n v="0.25347222222222221"/>
    <n v="0.2479166666666667"/>
    <n v="-13"/>
    <s v="None"/>
    <x v="0"/>
    <n v="730"/>
    <n v="-8"/>
    <s v="November"/>
    <s v="Wednesday"/>
    <n v="1"/>
    <s v="Morning"/>
  </r>
  <r>
    <d v="2025-11-26T00:00:00"/>
    <x v="235"/>
    <s v="Atlanta"/>
    <s v="Los Angeles"/>
    <s v="CRJ900"/>
    <n v="0.54166666666666663"/>
    <n v="0.55902777777777779"/>
    <n v="23"/>
    <s v="Late Aircraft"/>
    <x v="0"/>
    <n v="1942"/>
    <n v="25"/>
    <s v="November"/>
    <s v="Wednesday"/>
    <n v="0"/>
    <s v="Afternoon"/>
  </r>
  <r>
    <d v="2025-11-27T00:00:00"/>
    <x v="68"/>
    <s v="Denver"/>
    <s v="New York"/>
    <s v="Embraer E175"/>
    <n v="0.54861111111111116"/>
    <n v="0.5541666666666667"/>
    <n v="15"/>
    <s v="None"/>
    <x v="0"/>
    <n v="1622"/>
    <n v="8"/>
    <s v="November"/>
    <s v="Thursday"/>
    <n v="1"/>
    <s v="Afternoon"/>
  </r>
  <r>
    <d v="2025-11-27T00:00:00"/>
    <x v="236"/>
    <s v="Atlanta"/>
    <s v="New York"/>
    <s v="Boeing 737-800"/>
    <n v="0.5625"/>
    <n v="0.56944444444444442"/>
    <n v="19"/>
    <s v="None"/>
    <x v="0"/>
    <n v="759"/>
    <n v="10"/>
    <s v="November"/>
    <s v="Thursday"/>
    <n v="0"/>
    <s v="Afternoon"/>
  </r>
  <r>
    <d v="2025-11-28T00:00:00"/>
    <x v="237"/>
    <s v="New York"/>
    <s v="Dallas"/>
    <s v="CRJ900"/>
    <n v="0.33333333333333331"/>
    <n v="0.33124999999999999"/>
    <n v="-12"/>
    <s v="None"/>
    <x v="0"/>
    <n v="1389"/>
    <n v="-3"/>
    <s v="November"/>
    <s v="Friday"/>
    <n v="1"/>
    <s v="Morning"/>
  </r>
  <r>
    <d v="2025-11-28T00:00:00"/>
    <x v="238"/>
    <s v="Dallas"/>
    <s v="Chicago"/>
    <s v="Embraer E175"/>
    <n v="0.70833333333333337"/>
    <n v="0.71527777777777779"/>
    <n v="3"/>
    <s v="None"/>
    <x v="0"/>
    <n v="802"/>
    <n v="10"/>
    <s v="November"/>
    <s v="Friday"/>
    <n v="1"/>
    <s v="Evening"/>
  </r>
  <r>
    <d v="2025-11-29T00:00:00"/>
    <x v="239"/>
    <s v="Atlanta"/>
    <s v="Boston"/>
    <s v="Embraer E175"/>
    <n v="0.31944444444444442"/>
    <n v="0.31527777777777782"/>
    <n v="3"/>
    <s v="None"/>
    <x v="0"/>
    <n v="945"/>
    <n v="-6"/>
    <s v="November"/>
    <s v="Saturday"/>
    <n v="1"/>
    <s v="Morning"/>
  </r>
  <r>
    <d v="2025-11-29T00:00:00"/>
    <x v="240"/>
    <s v="Miami"/>
    <s v="Chicago"/>
    <s v="Airbus A320"/>
    <n v="0.63194444444444442"/>
    <n v="0.62777777777777777"/>
    <n v="-10"/>
    <s v="None"/>
    <x v="0"/>
    <n v="1199"/>
    <n v="-6"/>
    <s v="November"/>
    <s v="Saturday"/>
    <n v="1"/>
    <s v="Afternoon"/>
  </r>
  <r>
    <d v="2025-11-30T00:00:00"/>
    <x v="241"/>
    <s v="San Francisco"/>
    <s v="Chicago"/>
    <s v="Boeing 737-800"/>
    <n v="0.4861111111111111"/>
    <n v="0.48888888888888887"/>
    <n v="-6"/>
    <s v="None"/>
    <x v="0"/>
    <n v="1842"/>
    <n v="4"/>
    <s v="November"/>
    <s v="Sunday"/>
    <n v="1"/>
    <s v="Morning"/>
  </r>
  <r>
    <d v="2025-11-30T00:00:00"/>
    <x v="242"/>
    <s v="Atlanta"/>
    <s v="Los Angeles"/>
    <s v="Airbus A320"/>
    <n v="0.61458333333333337"/>
    <n v="0.61111111111111116"/>
    <n v="4"/>
    <s v="None"/>
    <x v="0"/>
    <n v="1942"/>
    <n v="-5"/>
    <s v="November"/>
    <s v="Sunday"/>
    <n v="1"/>
    <s v="Afternoon"/>
  </r>
  <r>
    <d v="2025-11-30T00:00:00"/>
    <x v="243"/>
    <s v="Dallas"/>
    <s v="Las Vegas"/>
    <s v="Airbus A320"/>
    <n v="0.8125"/>
    <n v="0.81527777777777777"/>
    <n v="6"/>
    <s v="None"/>
    <x v="0"/>
    <n v="1053"/>
    <n v="4"/>
    <s v="November"/>
    <s v="Sunday"/>
    <n v="1"/>
    <s v="Evening"/>
  </r>
  <r>
    <d v="2025-12-01T00:00:00"/>
    <x v="209"/>
    <s v="Atlanta"/>
    <s v="Chicago"/>
    <s v="CRJ900"/>
    <n v="0.30555555555555558"/>
    <n v="0.31805555555555548"/>
    <n v="14"/>
    <s v="Weather"/>
    <x v="0"/>
    <n v="606"/>
    <n v="18"/>
    <s v="December"/>
    <s v="Monday"/>
    <n v="1"/>
    <s v="Morning"/>
  </r>
  <r>
    <d v="2025-12-01T00:00:00"/>
    <x v="65"/>
    <s v="Dallas"/>
    <s v="Atlanta"/>
    <s v="Embraer E175"/>
    <n v="0.36805555555555558"/>
    <n v="0.38611111111111113"/>
    <n v="29"/>
    <s v="Weather"/>
    <x v="0"/>
    <n v="730"/>
    <n v="26"/>
    <s v="December"/>
    <s v="Monday"/>
    <n v="0"/>
    <s v="Morning"/>
  </r>
  <r>
    <d v="2025-12-02T00:00:00"/>
    <x v="60"/>
    <s v="Atlanta"/>
    <s v="Los Angeles"/>
    <s v="Airbus A320"/>
    <n v="0.34375"/>
    <n v="0.34722222222222221"/>
    <n v="11"/>
    <s v="None"/>
    <x v="0"/>
    <n v="1942"/>
    <n v="5"/>
    <s v="December"/>
    <s v="Tuesday"/>
    <n v="1"/>
    <s v="Morning"/>
  </r>
  <r>
    <d v="2025-12-02T00:00:00"/>
    <x v="244"/>
    <s v="Chicago"/>
    <s v="Atlanta"/>
    <s v="Boeing 737-800"/>
    <n v="0.59375"/>
    <n v="0.59722222222222221"/>
    <n v="-6"/>
    <s v="None"/>
    <x v="0"/>
    <n v="606"/>
    <n v="5"/>
    <s v="December"/>
    <s v="Tuesday"/>
    <n v="1"/>
    <s v="Afternoon"/>
  </r>
  <r>
    <d v="2025-12-02T00:00:00"/>
    <x v="245"/>
    <s v="San Francisco"/>
    <s v="Atlanta"/>
    <s v="Airbus A320"/>
    <n v="0.66319444444444442"/>
    <n v="0.67083333333333328"/>
    <n v="12"/>
    <s v="None"/>
    <x v="0"/>
    <n v="2134"/>
    <n v="11"/>
    <s v="December"/>
    <s v="Tuesday"/>
    <n v="1"/>
    <s v="Afternoon"/>
  </r>
  <r>
    <d v="2025-12-02T00:00:00"/>
    <x v="246"/>
    <s v="Atlanta"/>
    <s v="Las Vegas"/>
    <s v="Boeing 737-800"/>
    <n v="0.77430555555555558"/>
    <n v="0.77083333333333337"/>
    <n v="-12"/>
    <s v="None"/>
    <x v="0"/>
    <n v="1743"/>
    <n v="-5"/>
    <s v="December"/>
    <s v="Tuesday"/>
    <n v="1"/>
    <s v="Evening"/>
  </r>
  <r>
    <d v="2025-12-02T00:00:00"/>
    <x v="247"/>
    <s v="Dallas"/>
    <s v="Chicago"/>
    <s v="Airbus A320"/>
    <n v="0.875"/>
    <n v="0.9375"/>
    <n v="95"/>
    <s v="Late Aircraft"/>
    <x v="0"/>
    <n v="802"/>
    <n v="90"/>
    <s v="December"/>
    <s v="Tuesday"/>
    <n v="0"/>
    <s v="Night"/>
  </r>
  <r>
    <d v="2025-12-03T00:00:00"/>
    <x v="103"/>
    <s v="Chicago"/>
    <s v="Miami"/>
    <s v="Embraer E175"/>
    <n v="0.39930555555555558"/>
    <n v="0.39444444444444438"/>
    <n v="-2"/>
    <s v="None"/>
    <x v="0"/>
    <n v="1199"/>
    <n v="-7"/>
    <s v="December"/>
    <s v="Wednesday"/>
    <n v="1"/>
    <s v="Morning"/>
  </r>
  <r>
    <d v="2025-12-03T00:00:00"/>
    <x v="248"/>
    <s v="Atlanta"/>
    <s v="Chicago"/>
    <s v="CRJ900"/>
    <n v="0.90277777777777779"/>
    <n v="0.89722222222222225"/>
    <n v="1"/>
    <s v="None"/>
    <x v="0"/>
    <n v="606"/>
    <n v="-8"/>
    <s v="December"/>
    <s v="Wednesday"/>
    <n v="1"/>
    <s v="Night"/>
  </r>
  <r>
    <d v="2025-12-04T00:00:00"/>
    <x v="249"/>
    <s v="Denver"/>
    <s v="Dallas"/>
    <s v="Embraer E175"/>
    <n v="0.85416666666666663"/>
    <m/>
    <n v="-5"/>
    <s v="None"/>
    <x v="0"/>
    <n v="641"/>
    <n v="4"/>
    <s v="December"/>
    <s v="Thursday"/>
    <n v="1"/>
    <s v="Evening"/>
  </r>
  <r>
    <d v="2025-12-05T00:00:00"/>
    <x v="250"/>
    <s v="Seattle"/>
    <s v="Los Angeles"/>
    <s v="Boeing 737-800"/>
    <n v="0.25347222222222221"/>
    <n v="0.31666666666666671"/>
    <n v="82"/>
    <s v="Weather"/>
    <x v="0"/>
    <n v="955"/>
    <n v="91"/>
    <s v="December"/>
    <s v="Friday"/>
    <n v="0"/>
    <s v="Morning"/>
  </r>
  <r>
    <d v="2025-12-05T00:00:00"/>
    <x v="251"/>
    <s v="Dallas"/>
    <s v="Boston"/>
    <s v="Boeing 737-800"/>
    <n v="0.58680555555555558"/>
    <n v="0.5854166666666667"/>
    <n v="3"/>
    <s v="None"/>
    <x v="0"/>
    <n v="1559"/>
    <n v="-2"/>
    <s v="December"/>
    <s v="Friday"/>
    <n v="1"/>
    <s v="Afternoon"/>
  </r>
  <r>
    <d v="2025-12-05T00:00:00"/>
    <x v="252"/>
    <s v="Miami"/>
    <s v="Chicago"/>
    <s v="Boeing 737-800"/>
    <n v="0.74652777777777779"/>
    <n v="0.80208333333333337"/>
    <n v="78"/>
    <s v="Weather"/>
    <x v="0"/>
    <n v="1199"/>
    <n v="80"/>
    <s v="December"/>
    <s v="Friday"/>
    <n v="0"/>
    <s v="Evening"/>
  </r>
  <r>
    <d v="2025-12-06T00:00:00"/>
    <x v="253"/>
    <s v="Chicago"/>
    <s v="Dallas"/>
    <s v="Boeing 737-800"/>
    <n v="0.51736111111111116"/>
    <n v="0.51527777777777772"/>
    <n v="-2"/>
    <s v="None"/>
    <x v="0"/>
    <n v="802"/>
    <n v="-3"/>
    <s v="December"/>
    <s v="Saturday"/>
    <n v="1"/>
    <s v="Afternoon"/>
  </r>
  <r>
    <d v="2025-12-07T00:00:00"/>
    <x v="143"/>
    <s v="Dallas"/>
    <s v="Chicago"/>
    <s v="Airbus A320"/>
    <n v="0.2673611111111111"/>
    <n v="0.27291666666666659"/>
    <n v="-3"/>
    <s v="None"/>
    <x v="0"/>
    <n v="802"/>
    <n v="8"/>
    <s v="December"/>
    <s v="Sunday"/>
    <n v="1"/>
    <s v="Morning"/>
  </r>
  <r>
    <d v="2025-12-07T00:00:00"/>
    <x v="254"/>
    <s v="Atlanta"/>
    <s v="San Francisco"/>
    <s v="CRJ900"/>
    <n v="0.60069444444444442"/>
    <n v="0.65416666666666667"/>
    <n v="75"/>
    <s v="Carrier"/>
    <x v="0"/>
    <n v="2134"/>
    <n v="77"/>
    <s v="December"/>
    <s v="Sunday"/>
    <n v="0"/>
    <s v="Afternoon"/>
  </r>
  <r>
    <d v="2025-12-08T00:00:00"/>
    <x v="255"/>
    <s v="Denver"/>
    <s v="Dallas"/>
    <s v="Boeing 737-800"/>
    <n v="0.40972222222222221"/>
    <n v="0.4152777777777778"/>
    <n v="-2"/>
    <s v="None"/>
    <x v="0"/>
    <n v="641"/>
    <n v="8"/>
    <s v="December"/>
    <s v="Monday"/>
    <n v="1"/>
    <s v="Morning"/>
  </r>
  <r>
    <d v="2025-12-08T00:00:00"/>
    <x v="256"/>
    <s v="Los Angeles"/>
    <s v="Seattle"/>
    <s v="CRJ900"/>
    <n v="0.50694444444444442"/>
    <n v="0.5131944444444444"/>
    <n v="14"/>
    <s v="None"/>
    <x v="0"/>
    <n v="955"/>
    <n v="9"/>
    <s v="December"/>
    <s v="Monday"/>
    <n v="1"/>
    <s v="Afternoon"/>
  </r>
  <r>
    <d v="2025-12-08T00:00:00"/>
    <x v="194"/>
    <s v="San Francisco"/>
    <s v="Las Vegas"/>
    <s v="Boeing 737-800"/>
    <n v="0.51041666666666663"/>
    <n v="0.51180555555555551"/>
    <n v="3"/>
    <s v="None"/>
    <x v="0"/>
    <n v="414"/>
    <n v="2"/>
    <s v="December"/>
    <s v="Monday"/>
    <n v="1"/>
    <s v="Afternoon"/>
  </r>
  <r>
    <d v="2025-12-08T00:00:00"/>
    <x v="183"/>
    <s v="Atlanta"/>
    <s v="Denver"/>
    <s v="Boeing 737-800"/>
    <n v="0.61805555555555558"/>
    <n v="0.62291666666666667"/>
    <n v="12"/>
    <s v="None"/>
    <x v="0"/>
    <n v="1197"/>
    <n v="7"/>
    <s v="December"/>
    <s v="Monday"/>
    <n v="1"/>
    <s v="Afternoon"/>
  </r>
  <r>
    <d v="2025-12-08T00:00:00"/>
    <x v="231"/>
    <s v="Dallas"/>
    <s v="San Francisco"/>
    <s v="CRJ900"/>
    <n v="0.73958333333333337"/>
    <n v="0.7416666666666667"/>
    <n v="7"/>
    <s v="None"/>
    <x v="0"/>
    <n v="1462"/>
    <n v="3"/>
    <s v="December"/>
    <s v="Monday"/>
    <n v="1"/>
    <s v="Evening"/>
  </r>
  <r>
    <d v="2025-12-08T00:00:00"/>
    <x v="257"/>
    <s v="Los Angeles"/>
    <s v="Atlanta"/>
    <s v="Embraer E175"/>
    <n v="0.94097222222222221"/>
    <n v="0.94930555555555551"/>
    <n v="16"/>
    <s v="None"/>
    <x v="0"/>
    <n v="1942"/>
    <n v="12"/>
    <s v="December"/>
    <s v="Monday"/>
    <n v="0"/>
    <s v="Night"/>
  </r>
  <r>
    <d v="2025-12-09T00:00:00"/>
    <x v="258"/>
    <s v="San Francisco"/>
    <s v="Phoenix"/>
    <s v="Airbus A320"/>
    <n v="0.37152777777777779"/>
    <n v="0.37847222222222221"/>
    <n v="10"/>
    <s v="None"/>
    <x v="0"/>
    <n v="651"/>
    <n v="10"/>
    <s v="December"/>
    <s v="Tuesday"/>
    <n v="1"/>
    <s v="Morning"/>
  </r>
  <r>
    <d v="2025-12-09T00:00:00"/>
    <x v="259"/>
    <s v="Chicago"/>
    <s v="Denver"/>
    <s v="Boeing 737-800"/>
    <n v="0.625"/>
    <n v="0.67152777777777772"/>
    <n v="60"/>
    <s v="Late Aircraft"/>
    <x v="0"/>
    <n v="886"/>
    <n v="67"/>
    <s v="December"/>
    <s v="Tuesday"/>
    <n v="0"/>
    <s v="Afternoon"/>
  </r>
  <r>
    <d v="2025-12-09T00:00:00"/>
    <x v="260"/>
    <s v="Miami"/>
    <s v="Seattle"/>
    <s v="Embraer E175"/>
    <n v="0.68055555555555558"/>
    <n v="0.67777777777777781"/>
    <n v="-13"/>
    <s v="None"/>
    <x v="0"/>
    <n v="2722"/>
    <n v="-4"/>
    <s v="December"/>
    <s v="Tuesday"/>
    <n v="1"/>
    <s v="Afternoon"/>
  </r>
  <r>
    <d v="2025-12-10T00:00:00"/>
    <x v="187"/>
    <s v="Los Angeles"/>
    <s v="Chicago"/>
    <s v="Airbus A320"/>
    <n v="0.34722222222222221"/>
    <n v="0.35208333333333341"/>
    <n v="16"/>
    <s v="None"/>
    <x v="0"/>
    <n v="1742"/>
    <n v="7"/>
    <s v="December"/>
    <s v="Wednesday"/>
    <n v="0"/>
    <s v="Morning"/>
  </r>
  <r>
    <d v="2025-12-10T00:00:00"/>
    <x v="194"/>
    <s v="Dallas"/>
    <s v="Atlanta"/>
    <s v="Boeing 737-800"/>
    <n v="0.92361111111111116"/>
    <n v="0.92986111111111114"/>
    <n v="18"/>
    <s v="None"/>
    <x v="0"/>
    <n v="730"/>
    <n v="9"/>
    <s v="December"/>
    <s v="Wednesday"/>
    <n v="0"/>
    <s v="Night"/>
  </r>
  <r>
    <d v="2025-12-11T00:00:00"/>
    <x v="261"/>
    <s v="Los Angeles"/>
    <s v="San Francisco"/>
    <s v="Boeing 737-800"/>
    <n v="0.2638888888888889"/>
    <n v="0.37777777777777782"/>
    <n v="149"/>
    <s v="Air Traffic Control"/>
    <x v="0"/>
    <n v="338"/>
    <n v="164"/>
    <s v="December"/>
    <s v="Thursday"/>
    <n v="0"/>
    <s v="Morning"/>
  </r>
  <r>
    <d v="2025-12-12T00:00:00"/>
    <x v="248"/>
    <s v="Las Vegas"/>
    <s v="Dallas"/>
    <s v="Boeing 737-800"/>
    <n v="0.44097222222222221"/>
    <n v="0.45833333333333331"/>
    <n v="26"/>
    <s v="Late Aircraft"/>
    <x v="0"/>
    <n v="1053"/>
    <n v="25"/>
    <s v="December"/>
    <s v="Friday"/>
    <n v="0"/>
    <s v="Morning"/>
  </r>
  <r>
    <d v="2025-12-12T00:00:00"/>
    <x v="258"/>
    <s v="Chicago"/>
    <s v="Miami"/>
    <s v="Boeing 737-800"/>
    <n v="0.47569444444444442"/>
    <n v="0.47083333333333333"/>
    <n v="-11"/>
    <s v="None"/>
    <x v="0"/>
    <n v="1199"/>
    <n v="-7"/>
    <s v="December"/>
    <s v="Friday"/>
    <n v="1"/>
    <s v="Morning"/>
  </r>
  <r>
    <d v="2025-12-12T00:00:00"/>
    <x v="262"/>
    <s v="Miami"/>
    <s v="Los Angeles"/>
    <s v="Airbus A320"/>
    <n v="0.78125"/>
    <n v="0.80625000000000002"/>
    <n v="33"/>
    <s v="Carrier"/>
    <x v="0"/>
    <n v="2338"/>
    <n v="36"/>
    <s v="December"/>
    <s v="Friday"/>
    <n v="0"/>
    <s v="Evening"/>
  </r>
  <r>
    <d v="2025-12-13T00:00:00"/>
    <x v="263"/>
    <s v="Chicago"/>
    <s v="Atlanta"/>
    <s v="CRJ900"/>
    <n v="0.2673611111111111"/>
    <n v="0.26944444444444438"/>
    <n v="7"/>
    <s v="None"/>
    <x v="0"/>
    <n v="606"/>
    <n v="3"/>
    <s v="December"/>
    <s v="Saturday"/>
    <n v="1"/>
    <s v="Morning"/>
  </r>
  <r>
    <d v="2025-12-13T00:00:00"/>
    <x v="264"/>
    <s v="New York"/>
    <s v="Atlanta"/>
    <s v="Boeing 737-800"/>
    <n v="0.31944444444444442"/>
    <n v="0.32361111111111113"/>
    <n v="4"/>
    <s v="None"/>
    <x v="0"/>
    <n v="759"/>
    <n v="6"/>
    <s v="December"/>
    <s v="Saturday"/>
    <n v="1"/>
    <s v="Morning"/>
  </r>
  <r>
    <d v="2025-12-13T00:00:00"/>
    <x v="265"/>
    <s v="Atlanta"/>
    <s v="Boston"/>
    <s v="Airbus A320"/>
    <n v="0.33333333333333331"/>
    <n v="0.34444444444444439"/>
    <n v="15"/>
    <s v="Weather"/>
    <x v="0"/>
    <n v="945"/>
    <n v="16"/>
    <s v="December"/>
    <s v="Saturday"/>
    <n v="1"/>
    <s v="Morning"/>
  </r>
  <r>
    <d v="2025-12-13T00:00:00"/>
    <x v="266"/>
    <s v="New York"/>
    <s v="Dallas"/>
    <s v="Boeing 737-800"/>
    <n v="0.69791666666666663"/>
    <n v="0.69513888888888886"/>
    <n v="-14"/>
    <s v="None"/>
    <x v="0"/>
    <n v="1389"/>
    <n v="-4"/>
    <s v="December"/>
    <s v="Saturday"/>
    <n v="1"/>
    <s v="Afternoon"/>
  </r>
  <r>
    <d v="2025-12-15T00:00:00"/>
    <x v="267"/>
    <s v="Phoenix"/>
    <s v="Denver"/>
    <s v="Boeing 737-800"/>
    <n v="0.25347222222222221"/>
    <n v="0.25624999999999998"/>
    <n v="0"/>
    <s v="None"/>
    <x v="0"/>
    <n v="602"/>
    <n v="4"/>
    <s v="December"/>
    <s v="Monday"/>
    <n v="1"/>
    <s v="Morning"/>
  </r>
  <r>
    <d v="2025-12-15T00:00:00"/>
    <x v="245"/>
    <s v="Chicago"/>
    <s v="Miami"/>
    <s v="Airbus A320"/>
    <n v="0.70833333333333337"/>
    <n v="0.75416666666666665"/>
    <n v="64"/>
    <s v="Late Aircraft"/>
    <x v="0"/>
    <n v="1199"/>
    <n v="66"/>
    <s v="December"/>
    <s v="Monday"/>
    <n v="0"/>
    <s v="Evening"/>
  </r>
  <r>
    <d v="2025-12-17T00:00:00"/>
    <x v="268"/>
    <s v="Dallas"/>
    <s v="Los Angeles"/>
    <s v="CRJ900"/>
    <n v="0.35416666666666669"/>
    <n v="0.35902777777777778"/>
    <n v="3"/>
    <s v="None"/>
    <x v="0"/>
    <n v="1232"/>
    <n v="7"/>
    <s v="December"/>
    <s v="Wednesday"/>
    <n v="1"/>
    <s v="Morning"/>
  </r>
  <r>
    <d v="2025-12-17T00:00:00"/>
    <x v="269"/>
    <s v="Atlanta"/>
    <s v="Boston"/>
    <s v="Boeing 737-800"/>
    <n v="0.48958333333333331"/>
    <n v="0.4861111111111111"/>
    <n v="-9"/>
    <s v="None"/>
    <x v="0"/>
    <n v="945"/>
    <n v="-5"/>
    <s v="December"/>
    <s v="Wednesday"/>
    <n v="1"/>
    <s v="Morning"/>
  </r>
  <r>
    <d v="2025-12-17T00:00:00"/>
    <x v="270"/>
    <s v="Dallas"/>
    <s v="Denver"/>
    <s v="Embraer E175"/>
    <n v="0.61111111111111116"/>
    <n v="0.61736111111111114"/>
    <n v="9"/>
    <s v="None"/>
    <x v="0"/>
    <n v="641"/>
    <n v="9"/>
    <s v="December"/>
    <s v="Wednesday"/>
    <n v="1"/>
    <s v="Afternoon"/>
  </r>
  <r>
    <d v="2025-12-18T00:00:00"/>
    <x v="138"/>
    <s v="Dallas"/>
    <s v="Seattle"/>
    <s v="Airbus A320"/>
    <n v="0.35069444444444442"/>
    <m/>
    <n v="0"/>
    <s v="None"/>
    <x v="0"/>
    <n v="1658"/>
    <n v="0"/>
    <s v="December"/>
    <s v="Thursday"/>
    <n v="1"/>
    <s v="Morning"/>
  </r>
  <r>
    <d v="2025-12-18T00:00:00"/>
    <x v="262"/>
    <s v="Miami"/>
    <s v="New York"/>
    <s v="Boeing 737-800"/>
    <n v="0.48958333333333331"/>
    <n v="0.49027777777777781"/>
    <n v="-8"/>
    <s v="None"/>
    <x v="0"/>
    <n v="1092"/>
    <n v="1"/>
    <s v="December"/>
    <s v="Thursday"/>
    <n v="1"/>
    <s v="Morning"/>
  </r>
  <r>
    <d v="2025-12-18T00:00:00"/>
    <x v="237"/>
    <s v="Phoenix"/>
    <s v="Chicago"/>
    <s v="Boeing 737-800"/>
    <n v="0.59027777777777779"/>
    <n v="0.58888888888888891"/>
    <n v="-3"/>
    <s v="None"/>
    <x v="0"/>
    <n v="1438"/>
    <n v="-2"/>
    <s v="December"/>
    <s v="Thursday"/>
    <n v="1"/>
    <s v="Afternoon"/>
  </r>
  <r>
    <d v="2025-12-18T00:00:00"/>
    <x v="271"/>
    <s v="Dallas"/>
    <s v="Atlanta"/>
    <s v="CRJ900"/>
    <n v="0.72222222222222221"/>
    <n v="0.72777777777777775"/>
    <n v="7"/>
    <s v="None"/>
    <x v="0"/>
    <n v="730"/>
    <n v="8"/>
    <s v="December"/>
    <s v="Thursday"/>
    <n v="1"/>
    <s v="Evening"/>
  </r>
  <r>
    <d v="2025-12-18T00:00:00"/>
    <x v="272"/>
    <s v="Boston"/>
    <s v="Seattle"/>
    <s v="Airbus A320"/>
    <n v="0.80208333333333337"/>
    <n v="0.80208333333333337"/>
    <n v="10"/>
    <s v="None"/>
    <x v="0"/>
    <n v="2489"/>
    <n v="0"/>
    <s v="December"/>
    <s v="Thursday"/>
    <n v="1"/>
    <s v="Evening"/>
  </r>
  <r>
    <d v="2025-12-19T00:00:00"/>
    <x v="273"/>
    <s v="Denver"/>
    <s v="New York"/>
    <s v="Airbus A320"/>
    <n v="0.53472222222222221"/>
    <n v="0.53472222222222221"/>
    <n v="3"/>
    <s v="None"/>
    <x v="0"/>
    <n v="1622"/>
    <n v="0"/>
    <s v="December"/>
    <s v="Friday"/>
    <n v="1"/>
    <s v="Afternoon"/>
  </r>
  <r>
    <d v="2025-12-19T00:00:00"/>
    <x v="274"/>
    <s v="Atlanta"/>
    <s v="Miami"/>
    <s v="CRJ900"/>
    <n v="0.61805555555555558"/>
    <n v="0.61875000000000002"/>
    <n v="-2"/>
    <s v="None"/>
    <x v="0"/>
    <n v="596"/>
    <n v="1"/>
    <s v="December"/>
    <s v="Friday"/>
    <n v="1"/>
    <s v="Afternoon"/>
  </r>
  <r>
    <d v="2025-12-19T00:00:00"/>
    <x v="275"/>
    <s v="Denver"/>
    <s v="Chicago"/>
    <s v="Airbus A320"/>
    <n v="0.75"/>
    <n v="0.74513888888888891"/>
    <n v="-14"/>
    <s v="None"/>
    <x v="0"/>
    <n v="886"/>
    <n v="-7"/>
    <s v="December"/>
    <s v="Friday"/>
    <n v="1"/>
    <s v="Evening"/>
  </r>
  <r>
    <d v="2025-12-19T00:00:00"/>
    <x v="73"/>
    <s v="Dallas"/>
    <s v="Denver"/>
    <s v="Boeing 737-800"/>
    <n v="0.83333333333333337"/>
    <n v="0.83888888888888891"/>
    <n v="10"/>
    <s v="None"/>
    <x v="0"/>
    <m/>
    <n v="8"/>
    <s v="December"/>
    <s v="Friday"/>
    <n v="1"/>
    <s v="Evening"/>
  </r>
  <r>
    <d v="2025-12-20T00:00:00"/>
    <x v="276"/>
    <s v="Miami"/>
    <s v="New York"/>
    <s v="Boeing 737-800"/>
    <n v="0.63541666666666663"/>
    <n v="0.63263888888888886"/>
    <n v="6"/>
    <s v="None"/>
    <x v="0"/>
    <n v="1092"/>
    <n v="-4"/>
    <s v="December"/>
    <s v="Saturday"/>
    <n v="1"/>
    <s v="Afternoon"/>
  </r>
  <r>
    <d v="2025-12-20T00:00:00"/>
    <x v="277"/>
    <s v="Chicago"/>
    <s v="Phoenix"/>
    <s v="Airbus A320"/>
    <n v="0.63541666666666663"/>
    <n v="0.64236111111111116"/>
    <n v="-1"/>
    <s v="None"/>
    <x v="0"/>
    <n v="1438"/>
    <n v="10"/>
    <s v="December"/>
    <s v="Saturday"/>
    <n v="1"/>
    <s v="Afternoon"/>
  </r>
  <r>
    <d v="2025-12-21T00:00:00"/>
    <x v="151"/>
    <s v="Phoenix"/>
    <s v="Miami"/>
    <s v="Airbus A320"/>
    <n v="0.52083333333333337"/>
    <n v="0.54305555555555551"/>
    <n v="21"/>
    <s v="Late Aircraft"/>
    <x v="0"/>
    <n v="1969"/>
    <n v="32"/>
    <s v="December"/>
    <s v="Sunday"/>
    <n v="0"/>
    <s v="Afternoon"/>
  </r>
  <r>
    <d v="2025-12-21T00:00:00"/>
    <x v="261"/>
    <s v="Chicago"/>
    <s v="Miami"/>
    <s v="Airbus A320"/>
    <n v="0.76736111111111116"/>
    <n v="0.77222222222222225"/>
    <m/>
    <s v="None"/>
    <x v="0"/>
    <n v="1199"/>
    <n v="7"/>
    <s v="December"/>
    <s v="Sunday"/>
    <m/>
    <s v="Evening"/>
  </r>
  <r>
    <d v="2025-12-21T00:00:00"/>
    <x v="170"/>
    <s v="Chicago"/>
    <s v="Denver"/>
    <s v="CRJ900"/>
    <n v="0.77083333333333337"/>
    <n v="0.76944444444444449"/>
    <n v="-1"/>
    <s v="None"/>
    <x v="0"/>
    <n v="886"/>
    <n v="-2"/>
    <s v="December"/>
    <s v="Sunday"/>
    <n v="1"/>
    <s v="Evening"/>
  </r>
  <r>
    <d v="2025-12-22T00:00:00"/>
    <x v="278"/>
    <s v="New York"/>
    <s v="Atlanta"/>
    <s v="Airbus A320"/>
    <n v="0.5625"/>
    <n v="0.57499999999999996"/>
    <n v="10"/>
    <s v="Air Traffic Control"/>
    <x v="0"/>
    <n v="759"/>
    <n v="18"/>
    <s v="December"/>
    <s v="Monday"/>
    <n v="1"/>
    <s v="Afternoon"/>
  </r>
  <r>
    <d v="2025-12-22T00:00:00"/>
    <x v="279"/>
    <s v="Seattle"/>
    <s v="Dallas"/>
    <s v="Boeing 737-800"/>
    <n v="0.61805555555555558"/>
    <n v="0.65902777777777777"/>
    <n v="49"/>
    <s v="Weather"/>
    <x v="0"/>
    <n v="1658"/>
    <n v="59"/>
    <s v="December"/>
    <s v="Monday"/>
    <n v="0"/>
    <s v="Afternoon"/>
  </r>
  <r>
    <d v="2025-12-22T00:00:00"/>
    <x v="280"/>
    <s v="Chicago"/>
    <s v="Denver"/>
    <s v="Airbus A320"/>
    <n v="0.68402777777777779"/>
    <n v="0.68333333333333335"/>
    <n v="-11"/>
    <s v="None"/>
    <x v="0"/>
    <n v="886"/>
    <n v="-1"/>
    <s v="December"/>
    <s v="Monday"/>
    <n v="1"/>
    <s v="Afternoon"/>
  </r>
  <r>
    <d v="2025-12-22T00:00:00"/>
    <x v="281"/>
    <s v="Atlanta"/>
    <s v="Dallas"/>
    <s v="Boeing 737-800"/>
    <n v="0.69444444444444442"/>
    <n v="0.68888888888888888"/>
    <n v="-4"/>
    <s v="None"/>
    <x v="0"/>
    <n v="730"/>
    <n v="-8"/>
    <s v="December"/>
    <s v="Monday"/>
    <n v="1"/>
    <s v="Afternoon"/>
  </r>
  <r>
    <d v="2025-12-23T00:00:00"/>
    <x v="231"/>
    <s v="Atlanta"/>
    <s v="Los Angeles"/>
    <s v="Boeing 737-800"/>
    <n v="0.27777777777777779"/>
    <n v="0.28402777777777782"/>
    <n v="4"/>
    <s v="None"/>
    <x v="0"/>
    <n v="1942"/>
    <n v="9"/>
    <s v="December"/>
    <s v="Tuesday"/>
    <n v="1"/>
    <s v="Morning"/>
  </r>
  <r>
    <d v="2025-12-23T00:00:00"/>
    <x v="198"/>
    <s v="Chicago"/>
    <s v="New York"/>
    <s v="Airbus A320"/>
    <n v="0.44444444444444442"/>
    <n v="0.47222222222222221"/>
    <n v="29"/>
    <s v="Carrier"/>
    <x v="0"/>
    <n v="738"/>
    <n v="40"/>
    <s v="December"/>
    <s v="Tuesday"/>
    <n v="0"/>
    <s v="Morning"/>
  </r>
  <r>
    <d v="2025-12-23T00:00:00"/>
    <x v="282"/>
    <s v="Denver"/>
    <s v="Boston"/>
    <s v="Airbus A320"/>
    <n v="0.79861111111111116"/>
    <n v="0.82152777777777775"/>
    <n v="19"/>
    <s v="Security"/>
    <x v="0"/>
    <n v="1749"/>
    <n v="33"/>
    <s v="December"/>
    <s v="Tuesday"/>
    <n v="0"/>
    <s v="Evening"/>
  </r>
  <r>
    <d v="2025-12-24T00:00:00"/>
    <x v="283"/>
    <s v="Seattle"/>
    <s v="Miami"/>
    <s v="Boeing 737-800"/>
    <n v="0.75"/>
    <n v="0.75138888888888888"/>
    <n v="1"/>
    <s v="None"/>
    <x v="0"/>
    <n v="2722"/>
    <n v="2"/>
    <s v="December"/>
    <s v="Wednesday"/>
    <n v="1"/>
    <s v="Evening"/>
  </r>
  <r>
    <d v="2025-12-25T00:00:00"/>
    <x v="284"/>
    <s v="Dallas"/>
    <s v="Chicago"/>
    <s v="Boeing 737-800"/>
    <n v="0.76388888888888884"/>
    <n v="0.75902777777777775"/>
    <m/>
    <s v="None"/>
    <x v="0"/>
    <n v="802"/>
    <n v="-7"/>
    <s v="December"/>
    <s v="Thursday"/>
    <m/>
    <s v="Evening"/>
  </r>
  <r>
    <d v="2025-12-25T00:00:00"/>
    <x v="285"/>
    <s v="Seattle"/>
    <s v="Miami"/>
    <s v="CRJ900"/>
    <n v="0.79513888888888884"/>
    <n v="0.7993055555555556"/>
    <n v="-4"/>
    <s v="None"/>
    <x v="0"/>
    <n v="2722"/>
    <n v="6"/>
    <s v="December"/>
    <s v="Thursday"/>
    <n v="1"/>
    <s v="Evening"/>
  </r>
  <r>
    <d v="2025-12-26T00:00:00"/>
    <x v="188"/>
    <s v="Chicago"/>
    <s v="San Francisco"/>
    <s v="Embraer E175"/>
    <n v="0.25"/>
    <n v="0.25555555555555548"/>
    <n v="6"/>
    <s v="None"/>
    <x v="0"/>
    <n v="1842"/>
    <n v="8"/>
    <s v="December"/>
    <s v="Friday"/>
    <n v="1"/>
    <s v="Morning"/>
  </r>
  <r>
    <d v="2025-12-26T00:00:00"/>
    <x v="286"/>
    <s v="Dallas"/>
    <s v="Miami"/>
    <s v="Boeing 737-800"/>
    <n v="0.50347222222222221"/>
    <n v="0.50069444444444444"/>
    <n v="0"/>
    <s v="None"/>
    <x v="0"/>
    <n v="1120"/>
    <n v="-4"/>
    <s v="December"/>
    <s v="Friday"/>
    <n v="1"/>
    <s v="Afternoon"/>
  </r>
  <r>
    <d v="2025-12-26T00:00:00"/>
    <x v="165"/>
    <s v="Los Angeles"/>
    <s v="Boston"/>
    <s v="Boeing 737-800"/>
    <n v="0.55555555555555558"/>
    <n v="0.5625"/>
    <n v="4"/>
    <s v="None"/>
    <x v="0"/>
    <n v="2606"/>
    <n v="10"/>
    <s v="December"/>
    <s v="Friday"/>
    <n v="1"/>
    <s v="Afternoon"/>
  </r>
  <r>
    <d v="2025-12-26T00:00:00"/>
    <x v="287"/>
    <s v="Los Angeles"/>
    <s v="Dallas"/>
    <s v="Boeing 737-800"/>
    <n v="0.60069444444444442"/>
    <m/>
    <n v="-2"/>
    <s v="None"/>
    <x v="0"/>
    <n v="1232"/>
    <n v="5"/>
    <s v="December"/>
    <s v="Friday"/>
    <n v="1"/>
    <s v="Afternoon"/>
  </r>
  <r>
    <d v="2025-12-27T00:00:00"/>
    <x v="159"/>
    <s v="Los Angeles"/>
    <s v="Atlanta"/>
    <s v="Airbus A320"/>
    <n v="0.60416666666666663"/>
    <n v="0.60277777777777775"/>
    <n v="2"/>
    <s v="None"/>
    <x v="0"/>
    <n v="1942"/>
    <n v="-2"/>
    <s v="December"/>
    <s v="Saturday"/>
    <n v="1"/>
    <s v="Afternoon"/>
  </r>
  <r>
    <d v="2025-12-28T00:00:00"/>
    <x v="53"/>
    <s v="Atlanta"/>
    <s v="Dallas"/>
    <s v="Airbus A320"/>
    <n v="0.44097222222222221"/>
    <n v="0.44444444444444442"/>
    <n v="15"/>
    <s v="None"/>
    <x v="0"/>
    <n v="730"/>
    <n v="5"/>
    <s v="December"/>
    <s v="Sunday"/>
    <n v="1"/>
    <s v="Morning"/>
  </r>
  <r>
    <d v="2025-12-29T00:00:00"/>
    <x v="92"/>
    <s v="Miami"/>
    <s v="Seattle"/>
    <s v="Embraer E175"/>
    <n v="0.3888888888888889"/>
    <n v="0.38333333333333341"/>
    <n v="-9"/>
    <s v="None"/>
    <x v="0"/>
    <n v="2722"/>
    <n v="-8"/>
    <s v="December"/>
    <s v="Monday"/>
    <n v="1"/>
    <s v="Morning"/>
  </r>
  <r>
    <d v="2025-12-29T00:00:00"/>
    <x v="288"/>
    <s v="Miami"/>
    <s v="Denver"/>
    <s v="CRJ900"/>
    <n v="0.61458333333333337"/>
    <n v="0.60902777777777772"/>
    <n v="-11"/>
    <s v="None"/>
    <x v="0"/>
    <n v="1708"/>
    <n v="-8"/>
    <s v="December"/>
    <s v="Monday"/>
    <n v="1"/>
    <s v="Afternoon"/>
  </r>
  <r>
    <d v="2025-12-29T00:00:00"/>
    <x v="289"/>
    <s v="Los Angeles"/>
    <s v="Dallas"/>
    <s v="Embraer E175"/>
    <n v="0.71875"/>
    <n v="0.72083333333333333"/>
    <n v="-3"/>
    <s v="None"/>
    <x v="0"/>
    <n v="1232"/>
    <n v="3"/>
    <s v="December"/>
    <s v="Monday"/>
    <n v="1"/>
    <s v="Evening"/>
  </r>
  <r>
    <d v="2025-12-29T00:00:00"/>
    <x v="290"/>
    <s v="Dallas"/>
    <s v="Boston"/>
    <s v="Embraer E175"/>
    <n v="0.82638888888888884"/>
    <n v="0.82986111111111116"/>
    <n v="8"/>
    <s v="None"/>
    <x v="0"/>
    <n v="1559"/>
    <n v="5"/>
    <s v="December"/>
    <s v="Monday"/>
    <n v="1"/>
    <s v="Evening"/>
  </r>
  <r>
    <d v="2025-12-30T00:00:00"/>
    <x v="291"/>
    <s v="New York"/>
    <s v="Dallas"/>
    <s v="Embraer E175"/>
    <n v="0.76736111111111116"/>
    <n v="0.76180555555555551"/>
    <n v="-1"/>
    <s v="None"/>
    <x v="0"/>
    <n v="1389"/>
    <n v="-8"/>
    <s v="December"/>
    <s v="Tuesday"/>
    <n v="1"/>
    <s v="Evening"/>
  </r>
  <r>
    <d v="2025-12-30T00:00:00"/>
    <x v="93"/>
    <s v="Dallas"/>
    <s v="Los Angeles"/>
    <s v="Boeing 737-800"/>
    <n v="0.93402777777777779"/>
    <n v="0.93888888888888888"/>
    <n v="0"/>
    <s v="None"/>
    <x v="0"/>
    <n v="1232"/>
    <n v="7"/>
    <s v="December"/>
    <s v="Tuesday"/>
    <n v="1"/>
    <s v="Night"/>
  </r>
  <r>
    <d v="2025-12-31T00:00:00"/>
    <x v="292"/>
    <s v="Boston"/>
    <s v="Chicago"/>
    <s v="Boeing 737-800"/>
    <n v="0.39930555555555558"/>
    <n v="0.40069444444444452"/>
    <n v="-3"/>
    <s v="None"/>
    <x v="0"/>
    <n v="864"/>
    <n v="2"/>
    <s v="December"/>
    <s v="Wednesday"/>
    <n v="1"/>
    <s v="Morning"/>
  </r>
  <r>
    <d v="2025-12-31T00:00:00"/>
    <x v="293"/>
    <s v="Denver"/>
    <s v="Dallas"/>
    <s v="CRJ900"/>
    <n v="0.53472222222222221"/>
    <n v="0.54166666666666663"/>
    <n v="2"/>
    <s v="None"/>
    <x v="0"/>
    <n v="641"/>
    <n v="10"/>
    <s v="December"/>
    <s v="Wednesday"/>
    <n v="1"/>
    <s v="Afternoon"/>
  </r>
  <r>
    <d v="2026-01-01T00:00:00"/>
    <x v="294"/>
    <s v="Dallas"/>
    <s v="Chicago"/>
    <s v="Boeing 737-800"/>
    <n v="0.3923611111111111"/>
    <n v="0.3888888888888889"/>
    <n v="0"/>
    <s v="None"/>
    <x v="0"/>
    <n v="802"/>
    <n v="-5"/>
    <s v="January"/>
    <s v="Thursday"/>
    <n v="1"/>
    <s v="Morning"/>
  </r>
  <r>
    <d v="2026-01-01T00:00:00"/>
    <x v="162"/>
    <s v="Seattle"/>
    <s v="Miami"/>
    <s v="CRJ900"/>
    <n v="0.59375"/>
    <n v="0.59166666666666667"/>
    <n v="-6"/>
    <s v="None"/>
    <x v="0"/>
    <n v="2722"/>
    <n v="-3"/>
    <s v="January"/>
    <s v="Thursday"/>
    <n v="1"/>
    <s v="Afternoon"/>
  </r>
  <r>
    <d v="2026-01-02T00:00:00"/>
    <x v="295"/>
    <s v="Los Angeles"/>
    <s v="Phoenix"/>
    <s v="CRJ900"/>
    <n v="0.46875"/>
    <n v="0.47222222222222221"/>
    <n v="-6"/>
    <s v="None"/>
    <x v="0"/>
    <n v="370"/>
    <n v="5"/>
    <s v="January"/>
    <s v="Friday"/>
    <n v="1"/>
    <s v="Morning"/>
  </r>
  <r>
    <d v="2026-01-02T00:00:00"/>
    <x v="296"/>
    <s v="Boston"/>
    <s v="Chicago"/>
    <s v="Boeing 737-800"/>
    <n v="0.50694444444444442"/>
    <n v="0.50972222222222219"/>
    <n v="7"/>
    <s v="None"/>
    <x v="0"/>
    <n v="864"/>
    <n v="4"/>
    <s v="January"/>
    <s v="Friday"/>
    <n v="1"/>
    <s v="Afternoon"/>
  </r>
  <r>
    <d v="2026-01-02T00:00:00"/>
    <x v="254"/>
    <s v="Dallas"/>
    <s v="San Francisco"/>
    <s v="CRJ900"/>
    <n v="0.6875"/>
    <n v="0.69027777777777777"/>
    <n v="3"/>
    <s v="None"/>
    <x v="0"/>
    <n v="1462"/>
    <n v="4"/>
    <s v="January"/>
    <s v="Friday"/>
    <n v="1"/>
    <s v="Afternoon"/>
  </r>
  <r>
    <d v="2026-01-02T00:00:00"/>
    <x v="13"/>
    <s v="Los Angeles"/>
    <s v="Las Vegas"/>
    <s v="CRJ900"/>
    <n v="0.74305555555555558"/>
    <n v="0.75"/>
    <n v="10"/>
    <s v="None"/>
    <x v="0"/>
    <n v="236"/>
    <n v="10"/>
    <s v="January"/>
    <s v="Friday"/>
    <n v="1"/>
    <s v="Evening"/>
  </r>
  <r>
    <d v="2026-01-02T00:00:00"/>
    <x v="297"/>
    <s v="New York"/>
    <s v="Denver"/>
    <s v="Embraer E175"/>
    <n v="0.88541666666666663"/>
    <n v="0.90208333333333335"/>
    <n v="25"/>
    <s v="Late Aircraft"/>
    <x v="0"/>
    <n v="1622"/>
    <n v="24"/>
    <s v="January"/>
    <s v="Friday"/>
    <n v="0"/>
    <s v="Night"/>
  </r>
  <r>
    <d v="2026-01-03T00:00:00"/>
    <x v="298"/>
    <s v="Los Angeles"/>
    <s v="Miami"/>
    <s v="Embraer E175"/>
    <n v="0.46875"/>
    <n v="0.47291666666666671"/>
    <n v="-1"/>
    <s v="None"/>
    <x v="0"/>
    <n v="2338"/>
    <n v="6"/>
    <s v="January"/>
    <s v="Saturday"/>
    <n v="1"/>
    <s v="Morning"/>
  </r>
  <r>
    <d v="2026-01-03T00:00:00"/>
    <x v="108"/>
    <s v="Miami"/>
    <s v="Chicago"/>
    <s v="Embraer E175"/>
    <n v="0.65277777777777779"/>
    <n v="0.66111111111111109"/>
    <n v="20"/>
    <s v="None"/>
    <x v="0"/>
    <n v="1199"/>
    <n v="12"/>
    <s v="January"/>
    <s v="Saturday"/>
    <n v="0"/>
    <s v="Afternoon"/>
  </r>
  <r>
    <d v="2026-01-03T00:00:00"/>
    <x v="299"/>
    <s v="Las Vegas"/>
    <s v="Atlanta"/>
    <s v="Boeing 737-800"/>
    <n v="0.86111111111111116"/>
    <n v="0.86111111111111116"/>
    <n v="-4"/>
    <s v="None"/>
    <x v="0"/>
    <n v="1743"/>
    <n v="0"/>
    <s v="January"/>
    <s v="Saturday"/>
    <n v="1"/>
    <s v="Evening"/>
  </r>
  <r>
    <d v="2026-01-04T00:00:00"/>
    <x v="163"/>
    <s v="Miami"/>
    <s v="San Francisco"/>
    <s v="Boeing 737-800"/>
    <n v="0.2673611111111111"/>
    <n v="0.26319444444444451"/>
    <n v="-11"/>
    <s v="None"/>
    <x v="0"/>
    <n v="2582"/>
    <n v="-6"/>
    <s v="January"/>
    <s v="Sunday"/>
    <n v="1"/>
    <s v="Morning"/>
  </r>
  <r>
    <d v="2026-01-04T00:00:00"/>
    <x v="300"/>
    <s v="San Francisco"/>
    <s v="Dallas"/>
    <s v="Embraer E175"/>
    <n v="0.34375"/>
    <n v="0.33888888888888891"/>
    <n v="-1"/>
    <s v="None"/>
    <x v="0"/>
    <n v="1462"/>
    <n v="-7"/>
    <s v="January"/>
    <s v="Sunday"/>
    <n v="1"/>
    <s v="Morning"/>
  </r>
  <r>
    <d v="2026-01-04T00:00:00"/>
    <x v="301"/>
    <s v="Los Angeles"/>
    <s v="Atlanta"/>
    <s v="Embraer E175"/>
    <n v="0.84375"/>
    <n v="0.8520833333333333"/>
    <n v="8"/>
    <s v="None"/>
    <x v="0"/>
    <n v="1942"/>
    <n v="12"/>
    <s v="January"/>
    <s v="Sunday"/>
    <n v="1"/>
    <s v="Evening"/>
  </r>
  <r>
    <d v="2026-01-05T00:00:00"/>
    <x v="153"/>
    <s v="Miami"/>
    <s v="Atlanta"/>
    <s v="Airbus A320"/>
    <n v="0.29166666666666669"/>
    <n v="0.29583333333333328"/>
    <n v="13"/>
    <s v="None"/>
    <x v="0"/>
    <n v="596"/>
    <n v="6"/>
    <s v="January"/>
    <s v="Monday"/>
    <n v="1"/>
    <s v="Morning"/>
  </r>
  <r>
    <d v="2026-01-05T00:00:00"/>
    <x v="255"/>
    <s v="Phoenix"/>
    <s v="Los Angeles"/>
    <s v="Boeing 737-800"/>
    <n v="0.40972222222222221"/>
    <n v="0.42638888888888887"/>
    <n v="14"/>
    <s v="Late Aircraft"/>
    <x v="0"/>
    <n v="370"/>
    <n v="24"/>
    <s v="January"/>
    <s v="Monday"/>
    <n v="1"/>
    <s v="Morning"/>
  </r>
  <r>
    <d v="2026-01-05T00:00:00"/>
    <x v="302"/>
    <s v="Miami"/>
    <s v="New York"/>
    <s v="Boeing 737-800"/>
    <n v="0.44791666666666669"/>
    <n v="0.47916666666666669"/>
    <n v="53"/>
    <s v="Carrier"/>
    <x v="0"/>
    <n v="1092"/>
    <n v="45"/>
    <s v="January"/>
    <s v="Monday"/>
    <n v="0"/>
    <s v="Morning"/>
  </r>
  <r>
    <d v="2026-01-05T00:00:00"/>
    <x v="303"/>
    <s v="Atlanta"/>
    <s v="Las Vegas"/>
    <s v="CRJ900"/>
    <n v="0.63541666666666663"/>
    <n v="0.63055555555555554"/>
    <n v="-10"/>
    <s v="None"/>
    <x v="0"/>
    <n v="1743"/>
    <n v="-7"/>
    <s v="January"/>
    <s v="Monday"/>
    <n v="1"/>
    <s v="Afternoon"/>
  </r>
  <r>
    <d v="2026-01-06T00:00:00"/>
    <x v="304"/>
    <s v="Dallas"/>
    <s v="Denver"/>
    <s v="Embraer E175"/>
    <n v="0.36805555555555558"/>
    <m/>
    <m/>
    <s v="Weather"/>
    <x v="1"/>
    <n v="641"/>
    <m/>
    <s v="January"/>
    <s v="Tuesday"/>
    <m/>
    <s v="Morning"/>
  </r>
  <r>
    <d v="2026-01-06T00:00:00"/>
    <x v="305"/>
    <s v="Chicago"/>
    <s v="Miami"/>
    <s v="Boeing 737-800"/>
    <n v="0.50347222222222221"/>
    <n v="0.51527777777777772"/>
    <n v="14"/>
    <s v="Weather"/>
    <x v="0"/>
    <n v="1199"/>
    <n v="17"/>
    <s v="January"/>
    <s v="Tuesday"/>
    <n v="1"/>
    <s v="Afternoon"/>
  </r>
  <r>
    <d v="2026-01-06T00:00:00"/>
    <x v="306"/>
    <s v="New York"/>
    <s v="Atlanta"/>
    <s v="Boeing 737-800"/>
    <n v="0.65277777777777779"/>
    <n v="0.65763888888888888"/>
    <n v="9"/>
    <s v="None"/>
    <x v="0"/>
    <n v="759"/>
    <n v="7"/>
    <s v="January"/>
    <s v="Tuesday"/>
    <n v="1"/>
    <s v="Afternoon"/>
  </r>
  <r>
    <d v="2026-01-07T00:00:00"/>
    <x v="307"/>
    <s v="Dallas"/>
    <s v="Phoenix"/>
    <s v="Airbus A320"/>
    <n v="0.72916666666666663"/>
    <n v="0.80555555555555558"/>
    <n v="104"/>
    <s v="Weather"/>
    <x v="0"/>
    <n v="866"/>
    <n v="110"/>
    <s v="January"/>
    <s v="Wednesday"/>
    <n v="0"/>
    <s v="Evening"/>
  </r>
  <r>
    <d v="2026-01-08T00:00:00"/>
    <x v="308"/>
    <s v="Seattle"/>
    <s v="Denver"/>
    <s v="CRJ900"/>
    <n v="0.85069444444444442"/>
    <n v="0.85416666666666663"/>
    <n v="9"/>
    <s v="None"/>
    <x v="0"/>
    <n v="1023"/>
    <n v="5"/>
    <s v="January"/>
    <s v="Thursday"/>
    <n v="1"/>
    <s v="Evening"/>
  </r>
  <r>
    <d v="2026-01-08T00:00:00"/>
    <x v="309"/>
    <s v="Chicago"/>
    <s v="Miami"/>
    <s v="Boeing 737-800"/>
    <n v="0.95138888888888884"/>
    <n v="0.95416666666666672"/>
    <n v="0"/>
    <s v="None"/>
    <x v="0"/>
    <n v="1199"/>
    <n v="4"/>
    <s v="January"/>
    <s v="Thursday"/>
    <n v="1"/>
    <s v="Night"/>
  </r>
  <r>
    <d v="2026-01-09T00:00:00"/>
    <x v="227"/>
    <s v="Denver"/>
    <s v="Seattle"/>
    <s v="Airbus A320"/>
    <n v="0.34722222222222221"/>
    <m/>
    <m/>
    <s v="Weather"/>
    <x v="1"/>
    <n v="1023"/>
    <m/>
    <s v="January"/>
    <s v="Friday"/>
    <m/>
    <s v="Morning"/>
  </r>
  <r>
    <d v="2026-01-09T00:00:00"/>
    <x v="96"/>
    <s v="Las Vegas"/>
    <s v="Atlanta"/>
    <s v="CRJ900"/>
    <n v="0.41319444444444442"/>
    <n v="0.41458333333333341"/>
    <n v="-1"/>
    <s v="None"/>
    <x v="0"/>
    <n v="1743"/>
    <n v="2"/>
    <s v="January"/>
    <s v="Friday"/>
    <n v="1"/>
    <s v="Morning"/>
  </r>
  <r>
    <d v="2026-01-09T00:00:00"/>
    <x v="310"/>
    <s v="Atlanta"/>
    <s v="New York"/>
    <s v="Embraer E175"/>
    <n v="0.51736111111111116"/>
    <n v="0.52430555555555558"/>
    <n v="2"/>
    <s v="None"/>
    <x v="0"/>
    <n v="759"/>
    <n v="10"/>
    <s v="January"/>
    <s v="Friday"/>
    <n v="1"/>
    <s v="Afternoon"/>
  </r>
  <r>
    <d v="2026-01-09T00:00:00"/>
    <x v="311"/>
    <s v="New York"/>
    <s v="Dallas"/>
    <s v="CRJ900"/>
    <n v="0.78472222222222221"/>
    <n v="0.78055555555555556"/>
    <n v="4"/>
    <s v="None"/>
    <x v="0"/>
    <n v="1389"/>
    <n v="-6"/>
    <s v="January"/>
    <s v="Friday"/>
    <n v="1"/>
    <s v="Evening"/>
  </r>
  <r>
    <d v="2026-01-09T00:00:00"/>
    <x v="312"/>
    <s v="Chicago"/>
    <s v="Los Angeles"/>
    <s v="Embraer E175"/>
    <n v="0.78819444444444442"/>
    <n v="0.8208333333333333"/>
    <n v="51"/>
    <s v="Security"/>
    <x v="0"/>
    <n v="1742"/>
    <n v="47"/>
    <s v="January"/>
    <s v="Friday"/>
    <n v="0"/>
    <s v="Evening"/>
  </r>
  <r>
    <d v="2026-01-11T00:00:00"/>
    <x v="313"/>
    <s v="Los Angeles"/>
    <s v="Dallas"/>
    <s v="Airbus A320"/>
    <n v="0.35069444444444442"/>
    <n v="0.38680555555555562"/>
    <n v="48"/>
    <s v="Carrier"/>
    <x v="0"/>
    <n v="1232"/>
    <n v="52"/>
    <s v="January"/>
    <s v="Sunday"/>
    <n v="0"/>
    <s v="Morning"/>
  </r>
  <r>
    <d v="2026-01-11T00:00:00"/>
    <x v="61"/>
    <s v="Boston"/>
    <s v="Miami"/>
    <s v="Embraer E175"/>
    <n v="0.65972222222222221"/>
    <n v="0.65902777777777777"/>
    <n v="9"/>
    <s v="None"/>
    <x v="0"/>
    <n v="1260"/>
    <n v="-1"/>
    <s v="January"/>
    <s v="Sunday"/>
    <n v="1"/>
    <s v="Afternoon"/>
  </r>
  <r>
    <d v="2026-01-11T00:00:00"/>
    <x v="314"/>
    <s v="Chicago"/>
    <s v="Dallas"/>
    <s v="CRJ900"/>
    <n v="0.75347222222222221"/>
    <m/>
    <m/>
    <s v="Weather"/>
    <x v="1"/>
    <n v="802"/>
    <m/>
    <s v="January"/>
    <s v="Sunday"/>
    <m/>
    <s v="Evening"/>
  </r>
  <r>
    <d v="2026-01-12T00:00:00"/>
    <x v="43"/>
    <s v="Denver"/>
    <s v="New York"/>
    <s v="CRJ900"/>
    <n v="0.40625"/>
    <n v="0.41111111111111109"/>
    <n v="16"/>
    <s v="None"/>
    <x v="0"/>
    <n v="1622"/>
    <n v="7"/>
    <s v="January"/>
    <s v="Monday"/>
    <n v="0"/>
    <s v="Morning"/>
  </r>
  <r>
    <d v="2026-01-12T00:00:00"/>
    <x v="315"/>
    <s v="Los Angeles"/>
    <s v="Dallas"/>
    <s v="Boeing 737-800"/>
    <n v="0.41666666666666669"/>
    <n v="0.42152777777777778"/>
    <n v="8"/>
    <s v="None"/>
    <x v="0"/>
    <n v="1232"/>
    <n v="7"/>
    <s v="January"/>
    <s v="Monday"/>
    <n v="1"/>
    <s v="Morning"/>
  </r>
  <r>
    <d v="2026-01-12T00:00:00"/>
    <x v="316"/>
    <s v="Phoenix"/>
    <s v="Dallas"/>
    <s v="Boeing 737-800"/>
    <n v="0.88888888888888884"/>
    <n v="0.89652777777777781"/>
    <n v="15"/>
    <s v="None"/>
    <x v="0"/>
    <n v="866"/>
    <n v="11"/>
    <s v="January"/>
    <s v="Monday"/>
    <n v="1"/>
    <s v="Night"/>
  </r>
  <r>
    <d v="2026-01-13T00:00:00"/>
    <x v="317"/>
    <s v="Phoenix"/>
    <s v="Denver"/>
    <s v="CRJ900"/>
    <n v="0.28472222222222221"/>
    <n v="0.28263888888888888"/>
    <n v="7"/>
    <s v="None"/>
    <x v="0"/>
    <n v="602"/>
    <n v="-3"/>
    <s v="January"/>
    <s v="Tuesday"/>
    <n v="1"/>
    <s v="Morning"/>
  </r>
  <r>
    <d v="2026-01-13T00:00:00"/>
    <x v="318"/>
    <s v="Denver"/>
    <s v="Dallas"/>
    <s v="Airbus A320"/>
    <n v="0.40277777777777779"/>
    <n v="0.41041666666666671"/>
    <n v="14"/>
    <s v="None"/>
    <x v="0"/>
    <n v="641"/>
    <n v="11"/>
    <s v="January"/>
    <s v="Tuesday"/>
    <n v="1"/>
    <s v="Morning"/>
  </r>
  <r>
    <d v="2026-01-13T00:00:00"/>
    <x v="20"/>
    <s v="New York"/>
    <s v="Phoenix"/>
    <s v="Airbus A320"/>
    <n v="0.43055555555555558"/>
    <n v="0.43402777777777779"/>
    <n v="-2"/>
    <s v="None"/>
    <x v="0"/>
    <n v="2149"/>
    <n v="5"/>
    <s v="January"/>
    <s v="Tuesday"/>
    <n v="1"/>
    <s v="Morning"/>
  </r>
  <r>
    <d v="2026-01-13T00:00:00"/>
    <x v="319"/>
    <s v="Los Angeles"/>
    <s v="Miami"/>
    <s v="Boeing 737-800"/>
    <n v="0.4375"/>
    <n v="0.4375"/>
    <n v="-8"/>
    <s v="None"/>
    <x v="0"/>
    <n v="2338"/>
    <n v="0"/>
    <s v="January"/>
    <s v="Tuesday"/>
    <n v="1"/>
    <s v="Morning"/>
  </r>
  <r>
    <d v="2026-01-13T00:00:00"/>
    <x v="320"/>
    <s v="San Francisco"/>
    <s v="Las Vegas"/>
    <s v="CRJ900"/>
    <n v="0.56597222222222221"/>
    <n v="0.56180555555555556"/>
    <n v="-11"/>
    <s v="None"/>
    <x v="0"/>
    <n v="414"/>
    <n v="-6"/>
    <s v="January"/>
    <s v="Tuesday"/>
    <n v="1"/>
    <s v="Afternoon"/>
  </r>
  <r>
    <d v="2026-01-15T00:00:00"/>
    <x v="321"/>
    <s v="Denver"/>
    <s v="Atlanta"/>
    <s v="Airbus A320"/>
    <n v="0.64236111111111116"/>
    <m/>
    <m/>
    <s v="Carrier"/>
    <x v="1"/>
    <n v="1197"/>
    <m/>
    <s v="January"/>
    <s v="Thursday"/>
    <m/>
    <s v="Afternoon"/>
  </r>
  <r>
    <d v="2026-01-15T00:00:00"/>
    <x v="322"/>
    <s v="San Francisco"/>
    <s v="Dallas"/>
    <s v="Boeing 737-800"/>
    <n v="0.69097222222222221"/>
    <n v="0.69444444444444442"/>
    <n v="2"/>
    <s v="None"/>
    <x v="0"/>
    <n v="1462"/>
    <n v="5"/>
    <s v="January"/>
    <s v="Thursday"/>
    <n v="1"/>
    <s v="Afternoon"/>
  </r>
  <r>
    <d v="2026-01-16T00:00:00"/>
    <x v="126"/>
    <s v="Seattle"/>
    <s v="Chicago"/>
    <s v="Boeing 737-800"/>
    <n v="0.86111111111111116"/>
    <n v="0.85555555555555551"/>
    <n v="-4"/>
    <s v="None"/>
    <x v="0"/>
    <n v="1717"/>
    <n v="-8"/>
    <s v="January"/>
    <s v="Friday"/>
    <n v="1"/>
    <s v="Evening"/>
  </r>
  <r>
    <d v="2026-01-17T00:00:00"/>
    <x v="323"/>
    <s v="Atlanta"/>
    <s v="Dallas"/>
    <s v="Airbus A320"/>
    <n v="0.2361111111111111"/>
    <n v="0.24236111111111111"/>
    <n v="1"/>
    <s v="None"/>
    <x v="0"/>
    <n v="730"/>
    <n v="9"/>
    <s v="January"/>
    <s v="Saturday"/>
    <n v="1"/>
    <s v="Morning"/>
  </r>
  <r>
    <d v="2026-01-17T00:00:00"/>
    <x v="324"/>
    <s v="New York"/>
    <s v="San Francisco"/>
    <s v="Boeing 737-800"/>
    <n v="0.59722222222222221"/>
    <n v="0.61111111111111116"/>
    <n v="11"/>
    <s v="Carrier"/>
    <x v="0"/>
    <n v="2580"/>
    <n v="20"/>
    <s v="January"/>
    <s v="Saturday"/>
    <n v="1"/>
    <s v="Afternoon"/>
  </r>
  <r>
    <d v="2026-01-17T00:00:00"/>
    <x v="187"/>
    <s v="Las Vegas"/>
    <s v="Phoenix"/>
    <s v="Boeing 737-800"/>
    <n v="0.60763888888888884"/>
    <n v="0.61388888888888893"/>
    <n v="-2"/>
    <s v="None"/>
    <x v="0"/>
    <n v="256"/>
    <n v="9"/>
    <s v="January"/>
    <s v="Saturday"/>
    <n v="1"/>
    <s v="Afternoon"/>
  </r>
  <r>
    <d v="2026-01-17T00:00:00"/>
    <x v="325"/>
    <s v="Las Vegas"/>
    <s v="Denver"/>
    <s v="Airbus A320"/>
    <n v="0.73263888888888884"/>
    <n v="0.7270833333333333"/>
    <n v="-10"/>
    <s v="None"/>
    <x v="0"/>
    <n v="627"/>
    <n v="-8"/>
    <s v="January"/>
    <s v="Saturday"/>
    <n v="1"/>
    <s v="Evening"/>
  </r>
  <r>
    <d v="2026-01-18T00:00:00"/>
    <x v="326"/>
    <s v="Los Angeles"/>
    <s v="Atlanta"/>
    <s v="Boeing 737-800"/>
    <n v="0.69097222222222221"/>
    <n v="0.69722222222222219"/>
    <n v="18"/>
    <s v="None"/>
    <x v="0"/>
    <n v="1942"/>
    <n v="9"/>
    <s v="January"/>
    <s v="Sunday"/>
    <n v="0"/>
    <s v="Afternoon"/>
  </r>
  <r>
    <d v="2026-01-18T00:00:00"/>
    <x v="296"/>
    <s v="Atlanta"/>
    <s v="New York"/>
    <s v="Embraer E175"/>
    <n v="0.70486111111111116"/>
    <n v="0.7104166666666667"/>
    <n v="-2"/>
    <s v="None"/>
    <x v="0"/>
    <n v="759"/>
    <n v="8"/>
    <s v="January"/>
    <s v="Sunday"/>
    <n v="1"/>
    <s v="Afternoon"/>
  </r>
  <r>
    <d v="2026-01-18T00:00:00"/>
    <x v="327"/>
    <s v="Las Vegas"/>
    <s v="Miami"/>
    <s v="Embraer E175"/>
    <n v="0.77083333333333337"/>
    <n v="0.78194444444444444"/>
    <n v="19"/>
    <s v="Weather"/>
    <x v="0"/>
    <n v="2171"/>
    <n v="16"/>
    <s v="January"/>
    <s v="Sunday"/>
    <n v="0"/>
    <s v="Evening"/>
  </r>
  <r>
    <d v="2026-01-19T00:00:00"/>
    <x v="26"/>
    <s v="Los Angeles"/>
    <s v="Denver"/>
    <s v="Boeing 737-800"/>
    <n v="0.2673611111111111"/>
    <n v="0.26250000000000001"/>
    <n v="-14"/>
    <s v="None"/>
    <x v="0"/>
    <n v="861"/>
    <n v="-7"/>
    <s v="January"/>
    <s v="Monday"/>
    <n v="1"/>
    <s v="Morning"/>
  </r>
  <r>
    <d v="2026-01-19T00:00:00"/>
    <x v="301"/>
    <s v="Chicago"/>
    <s v="Atlanta"/>
    <s v="Embraer E175"/>
    <n v="0.60416666666666663"/>
    <n v="0.63888888888888884"/>
    <n v="46"/>
    <s v="Weather"/>
    <x v="0"/>
    <n v="606"/>
    <n v="50"/>
    <s v="January"/>
    <s v="Monday"/>
    <n v="0"/>
    <s v="Afternoon"/>
  </r>
  <r>
    <d v="2026-01-21T00:00:00"/>
    <x v="58"/>
    <s v="Atlanta"/>
    <s v="Los Angeles"/>
    <s v="Airbus A320"/>
    <n v="0.33333333333333331"/>
    <n v="0.32847222222222222"/>
    <n v="1"/>
    <s v="None"/>
    <x v="0"/>
    <n v="1942"/>
    <n v="-7"/>
    <s v="January"/>
    <s v="Wednesday"/>
    <n v="1"/>
    <s v="Morning"/>
  </r>
  <r>
    <d v="2026-01-22T00:00:00"/>
    <x v="245"/>
    <s v="Boston"/>
    <s v="Atlanta"/>
    <s v="Boeing 737-800"/>
    <n v="0.2986111111111111"/>
    <n v="0.2986111111111111"/>
    <n v="-1"/>
    <s v="None"/>
    <x v="0"/>
    <n v="945"/>
    <n v="0"/>
    <s v="January"/>
    <s v="Thursday"/>
    <n v="1"/>
    <s v="Morning"/>
  </r>
  <r>
    <d v="2026-01-22T00:00:00"/>
    <x v="315"/>
    <s v="New York"/>
    <s v="Dallas"/>
    <s v="Boeing 737-800"/>
    <n v="0.39930555555555558"/>
    <n v="0.40763888888888888"/>
    <n v="13"/>
    <s v="None"/>
    <x v="0"/>
    <n v="1389"/>
    <n v="12"/>
    <s v="January"/>
    <s v="Thursday"/>
    <n v="1"/>
    <s v="Morning"/>
  </r>
  <r>
    <d v="2026-01-22T00:00:00"/>
    <x v="328"/>
    <s v="Denver"/>
    <s v="Los Angeles"/>
    <s v="Airbus A320"/>
    <n v="0.71180555555555558"/>
    <n v="0.78055555555555556"/>
    <n v="100"/>
    <s v="Weather"/>
    <x v="0"/>
    <n v="861"/>
    <n v="99"/>
    <s v="January"/>
    <s v="Thursday"/>
    <n v="0"/>
    <s v="Evening"/>
  </r>
  <r>
    <d v="2026-01-23T00:00:00"/>
    <x v="250"/>
    <s v="Chicago"/>
    <s v="Atlanta"/>
    <s v="Boeing 737-800"/>
    <n v="0.21527777777777779"/>
    <n v="0.21319444444444441"/>
    <n v="-6"/>
    <s v="None"/>
    <x v="0"/>
    <n v="606"/>
    <n v="-3"/>
    <s v="January"/>
    <s v="Friday"/>
    <n v="1"/>
    <s v="Morning"/>
  </r>
  <r>
    <d v="2026-01-23T00:00:00"/>
    <x v="329"/>
    <s v="Dallas"/>
    <s v="Boston"/>
    <s v="CRJ900"/>
    <n v="0.40625"/>
    <n v="0.40833333333333333"/>
    <n v="13"/>
    <s v="None"/>
    <x v="0"/>
    <n v="1559"/>
    <n v="3"/>
    <s v="January"/>
    <s v="Friday"/>
    <n v="1"/>
    <s v="Morning"/>
  </r>
  <r>
    <d v="2026-01-24T00:00:00"/>
    <x v="330"/>
    <s v="Boston"/>
    <s v="Dallas"/>
    <s v="Airbus A320"/>
    <n v="0.84375"/>
    <n v="0.84722222222222221"/>
    <n v="7"/>
    <s v="None"/>
    <x v="0"/>
    <n v="1559"/>
    <n v="5"/>
    <s v="January"/>
    <s v="Saturday"/>
    <n v="1"/>
    <s v="Evening"/>
  </r>
  <r>
    <d v="2026-01-25T00:00:00"/>
    <x v="331"/>
    <s v="Los Angeles"/>
    <s v="Las Vegas"/>
    <s v="Boeing 737-800"/>
    <n v="0.45833333333333331"/>
    <n v="0.46041666666666659"/>
    <n v="0"/>
    <s v="None"/>
    <x v="0"/>
    <n v="236"/>
    <n v="3"/>
    <s v="January"/>
    <s v="Sunday"/>
    <n v="1"/>
    <s v="Morning"/>
  </r>
  <r>
    <d v="2026-01-25T00:00:00"/>
    <x v="332"/>
    <s v="Denver"/>
    <s v="Atlanta"/>
    <s v="Airbus A320"/>
    <n v="0.51041666666666663"/>
    <n v="0.51666666666666672"/>
    <n v="5"/>
    <s v="None"/>
    <x v="0"/>
    <n v="1197"/>
    <n v="9"/>
    <s v="January"/>
    <s v="Sunday"/>
    <n v="1"/>
    <s v="Afternoon"/>
  </r>
  <r>
    <d v="2026-01-25T00:00:00"/>
    <x v="333"/>
    <s v="Atlanta"/>
    <s v="Chicago"/>
    <s v="Airbus A320"/>
    <n v="0.73263888888888884"/>
    <n v="0.76041666666666663"/>
    <n v="33"/>
    <s v="Weather"/>
    <x v="0"/>
    <n v="606"/>
    <n v="40"/>
    <s v="January"/>
    <s v="Sunday"/>
    <n v="0"/>
    <s v="Evening"/>
  </r>
  <r>
    <d v="2026-01-25T00:00:00"/>
    <x v="90"/>
    <s v="Phoenix"/>
    <s v="Denver"/>
    <s v="Embraer E175"/>
    <n v="0.76041666666666663"/>
    <n v="0.76527777777777772"/>
    <n v="8"/>
    <s v="None"/>
    <x v="0"/>
    <n v="602"/>
    <n v="7"/>
    <s v="January"/>
    <s v="Sunday"/>
    <n v="1"/>
    <s v="Evening"/>
  </r>
  <r>
    <d v="2026-01-26T00:00:00"/>
    <x v="56"/>
    <s v="Chicago"/>
    <s v="San Francisco"/>
    <s v="Embraer E175"/>
    <n v="0.4201388888888889"/>
    <n v="0.42083333333333328"/>
    <n v="11"/>
    <s v="None"/>
    <x v="0"/>
    <n v="1842"/>
    <n v="1"/>
    <s v="January"/>
    <s v="Monday"/>
    <n v="1"/>
    <s v="Morning"/>
  </r>
  <r>
    <d v="2026-01-26T00:00:00"/>
    <x v="334"/>
    <s v="Atlanta"/>
    <s v="Las Vegas"/>
    <s v="Boeing 737-800"/>
    <n v="0.86111111111111116"/>
    <n v="0.8618055555555556"/>
    <n v="-10"/>
    <s v="None"/>
    <x v="0"/>
    <n v="1743"/>
    <n v="1"/>
    <s v="January"/>
    <s v="Monday"/>
    <n v="1"/>
    <s v="Evening"/>
  </r>
  <r>
    <d v="2026-01-27T00:00:00"/>
    <x v="335"/>
    <s v="Chicago"/>
    <s v="Atlanta"/>
    <s v="Airbus A320"/>
    <n v="0.53125"/>
    <n v="0.53680555555555554"/>
    <n v="11"/>
    <s v="None"/>
    <x v="0"/>
    <n v="606"/>
    <n v="8"/>
    <s v="January"/>
    <s v="Tuesday"/>
    <n v="1"/>
    <s v="Afternoon"/>
  </r>
  <r>
    <d v="2026-01-27T00:00:00"/>
    <x v="336"/>
    <s v="Miami"/>
    <s v="Phoenix"/>
    <s v="Boeing 737-800"/>
    <n v="0.64930555555555558"/>
    <n v="0.67361111111111116"/>
    <n v="42"/>
    <s v="Carrier"/>
    <x v="0"/>
    <n v="1969"/>
    <n v="35"/>
    <s v="January"/>
    <s v="Tuesday"/>
    <n v="0"/>
    <s v="Afternoon"/>
  </r>
  <r>
    <d v="2026-01-29T00:00:00"/>
    <x v="337"/>
    <s v="Dallas"/>
    <s v="Miami"/>
    <s v="Airbus A320"/>
    <n v="0.35069444444444442"/>
    <n v="0.34930555555555548"/>
    <n v="-11"/>
    <s v="None"/>
    <x v="0"/>
    <n v="1120"/>
    <n v="-2"/>
    <s v="January"/>
    <s v="Thursday"/>
    <n v="1"/>
    <s v="Morning"/>
  </r>
  <r>
    <d v="2026-01-29T00:00:00"/>
    <x v="338"/>
    <s v="Atlanta"/>
    <s v="Phoenix"/>
    <s v="Boeing 737-800"/>
    <n v="0.67013888888888884"/>
    <n v="0.67083333333333328"/>
    <n v="-10"/>
    <s v="None"/>
    <x v="0"/>
    <n v="1584"/>
    <n v="1"/>
    <s v="January"/>
    <s v="Thursday"/>
    <n v="1"/>
    <s v="Afternoon"/>
  </r>
  <r>
    <d v="2026-01-29T00:00:00"/>
    <x v="339"/>
    <s v="Dallas"/>
    <s v="New York"/>
    <s v="CRJ900"/>
    <n v="0.8125"/>
    <n v="0.80694444444444446"/>
    <n v="-6"/>
    <s v="None"/>
    <x v="0"/>
    <n v="1389"/>
    <n v="-8"/>
    <s v="January"/>
    <s v="Thursday"/>
    <n v="1"/>
    <s v="Evening"/>
  </r>
  <r>
    <d v="2026-01-29T00:00:00"/>
    <x v="340"/>
    <s v="Boston"/>
    <s v="Los Angeles"/>
    <s v="Airbus A320"/>
    <n v="0.84027777777777779"/>
    <n v="0.84027777777777779"/>
    <n v="-4"/>
    <s v="None"/>
    <x v="0"/>
    <n v="2606"/>
    <n v="0"/>
    <s v="January"/>
    <s v="Thursday"/>
    <n v="1"/>
    <s v="Evening"/>
  </r>
  <r>
    <d v="2026-01-30T00:00:00"/>
    <x v="341"/>
    <s v="New York"/>
    <s v="Miami"/>
    <s v="Embraer E175"/>
    <n v="0.46180555555555558"/>
    <n v="0.45624999999999999"/>
    <n v="-20"/>
    <s v="None"/>
    <x v="0"/>
    <n v="1092"/>
    <n v="-8"/>
    <s v="January"/>
    <s v="Friday"/>
    <n v="1"/>
    <s v="Morning"/>
  </r>
  <r>
    <d v="2026-01-31T00:00:00"/>
    <x v="342"/>
    <s v="Phoenix"/>
    <s v="Atlanta"/>
    <s v="Airbus A320"/>
    <n v="0.46180555555555558"/>
    <n v="0.4861111111111111"/>
    <n v="35"/>
    <s v="Weather"/>
    <x v="0"/>
    <n v="1584"/>
    <n v="35"/>
    <s v="January"/>
    <s v="Saturday"/>
    <n v="0"/>
    <s v="Morning"/>
  </r>
  <r>
    <d v="2026-01-31T00:00:00"/>
    <x v="343"/>
    <s v="Atlanta"/>
    <s v="Chicago"/>
    <s v="Embraer E175"/>
    <n v="0.625"/>
    <n v="0.62986111111111109"/>
    <n v="15"/>
    <s v="None"/>
    <x v="0"/>
    <n v="606"/>
    <n v="7"/>
    <s v="January"/>
    <s v="Saturday"/>
    <n v="1"/>
    <s v="Afternoon"/>
  </r>
  <r>
    <d v="2026-01-31T00:00:00"/>
    <x v="344"/>
    <s v="Atlanta"/>
    <s v="New York"/>
    <s v="Airbus A320"/>
    <n v="0.64583333333333337"/>
    <n v="0.64513888888888893"/>
    <n v="-6"/>
    <s v="None"/>
    <x v="0"/>
    <n v="759"/>
    <n v="-1"/>
    <s v="January"/>
    <s v="Saturday"/>
    <n v="1"/>
    <s v="Afternoon"/>
  </r>
  <r>
    <d v="2026-01-31T00:00:00"/>
    <x v="345"/>
    <s v="Dallas"/>
    <s v="Denver"/>
    <s v="Airbus A320"/>
    <n v="0.65277777777777779"/>
    <n v="0.6694444444444444"/>
    <n v="25"/>
    <s v="Weather"/>
    <x v="0"/>
    <n v="641"/>
    <n v="24"/>
    <s v="January"/>
    <s v="Saturday"/>
    <n v="0"/>
    <s v="Afternoon"/>
  </r>
  <r>
    <d v="2026-01-31T00:00:00"/>
    <x v="346"/>
    <s v="Dallas"/>
    <s v="San Francisco"/>
    <s v="Boeing 737-800"/>
    <n v="0.69444444444444442"/>
    <n v="0.70277777777777772"/>
    <n v="18"/>
    <s v="None"/>
    <x v="0"/>
    <n v="1462"/>
    <n v="12"/>
    <s v="January"/>
    <s v="Saturday"/>
    <n v="0"/>
    <s v="Afternoon"/>
  </r>
  <r>
    <d v="2026-02-01T00:00:00"/>
    <x v="347"/>
    <s v="Atlanta"/>
    <s v="Dallas"/>
    <s v="Boeing 737-800"/>
    <n v="0.36458333333333331"/>
    <n v="0.37152777777777779"/>
    <n v="20"/>
    <s v="None"/>
    <x v="0"/>
    <n v="730"/>
    <n v="10"/>
    <s v="February"/>
    <s v="Sunday"/>
    <n v="0"/>
    <s v="Morning"/>
  </r>
  <r>
    <d v="2026-02-01T00:00:00"/>
    <x v="348"/>
    <s v="Denver"/>
    <s v="Los Angeles"/>
    <s v="Embraer E175"/>
    <n v="0.64236111111111116"/>
    <n v="0.74444444444444446"/>
    <n v="155"/>
    <s v="Late Aircraft"/>
    <x v="0"/>
    <n v="861"/>
    <n v="147"/>
    <s v="February"/>
    <s v="Sunday"/>
    <n v="0"/>
    <s v="Afternoon"/>
  </r>
  <r>
    <d v="2026-02-01T00:00:00"/>
    <x v="349"/>
    <s v="New York"/>
    <s v="Los Angeles"/>
    <s v="Airbus A320"/>
    <n v="0.80208333333333337"/>
    <n v="0.80763888888888891"/>
    <n v="7"/>
    <s v="None"/>
    <x v="0"/>
    <n v="2470"/>
    <n v="8"/>
    <s v="February"/>
    <s v="Sunday"/>
    <n v="1"/>
    <s v="Evening"/>
  </r>
  <r>
    <d v="2026-02-02T00:00:00"/>
    <x v="350"/>
    <s v="Chicago"/>
    <s v="Denver"/>
    <s v="Boeing 737-800"/>
    <n v="0.3611111111111111"/>
    <n v="0.35694444444444451"/>
    <n v="-13"/>
    <s v="None"/>
    <x v="0"/>
    <n v="886"/>
    <n v="-6"/>
    <s v="February"/>
    <s v="Monday"/>
    <n v="1"/>
    <s v="Morning"/>
  </r>
  <r>
    <d v="2026-02-02T00:00:00"/>
    <x v="76"/>
    <s v="Dallas"/>
    <s v="Chicago"/>
    <s v="Embraer E175"/>
    <n v="0.4548611111111111"/>
    <n v="0.45902777777777781"/>
    <n v="15"/>
    <s v="None"/>
    <x v="0"/>
    <n v="802"/>
    <n v="6"/>
    <s v="February"/>
    <s v="Monday"/>
    <n v="1"/>
    <s v="Morning"/>
  </r>
  <r>
    <d v="2026-02-02T00:00:00"/>
    <x v="351"/>
    <s v="Atlanta"/>
    <s v="Denver"/>
    <s v="Boeing 737-800"/>
    <n v="0.56944444444444442"/>
    <n v="0.62777777777777777"/>
    <n v="77"/>
    <s v="Late Aircraft"/>
    <x v="0"/>
    <n v="1197"/>
    <n v="84"/>
    <s v="February"/>
    <s v="Monday"/>
    <n v="0"/>
    <s v="Afternoon"/>
  </r>
  <r>
    <d v="2026-02-02T00:00:00"/>
    <x v="352"/>
    <s v="Boston"/>
    <s v="Atlanta"/>
    <s v="CRJ900"/>
    <n v="0.68402777777777779"/>
    <n v="0.68541666666666667"/>
    <n v="2"/>
    <s v="None"/>
    <x v="0"/>
    <n v="945"/>
    <n v="2"/>
    <s v="February"/>
    <s v="Monday"/>
    <n v="1"/>
    <s v="Afternoon"/>
  </r>
  <r>
    <d v="2026-02-02T00:00:00"/>
    <x v="353"/>
    <s v="Atlanta"/>
    <s v="Las Vegas"/>
    <s v="Embraer E175"/>
    <n v="0.74305555555555558"/>
    <n v="0.80486111111111114"/>
    <n v="95"/>
    <s v="Air Traffic Control"/>
    <x v="0"/>
    <n v="1743"/>
    <n v="89"/>
    <s v="February"/>
    <s v="Monday"/>
    <n v="0"/>
    <s v="Evening"/>
  </r>
  <r>
    <d v="2026-02-02T00:00:00"/>
    <x v="354"/>
    <s v="Atlanta"/>
    <s v="Las Vegas"/>
    <s v="Boeing 737-800"/>
    <n v="0.85763888888888884"/>
    <n v="0.87638888888888888"/>
    <n v="29"/>
    <s v="Carrier"/>
    <x v="0"/>
    <n v="1743"/>
    <n v="27"/>
    <s v="February"/>
    <s v="Monday"/>
    <n v="0"/>
    <s v="Evening"/>
  </r>
  <r>
    <d v="2026-02-03T00:00:00"/>
    <x v="43"/>
    <s v="Miami"/>
    <s v="Seattle"/>
    <s v="Airbus A320"/>
    <n v="0.30555555555555558"/>
    <n v="0.30833333333333329"/>
    <n v="12"/>
    <s v="None"/>
    <x v="0"/>
    <n v="2722"/>
    <n v="4"/>
    <s v="February"/>
    <s v="Tuesday"/>
    <n v="1"/>
    <s v="Morning"/>
  </r>
  <r>
    <d v="2026-02-03T00:00:00"/>
    <x v="355"/>
    <s v="Boston"/>
    <s v="Dallas"/>
    <s v="Boeing 737-800"/>
    <n v="0.41319444444444442"/>
    <n v="0.41388888888888892"/>
    <n v="1"/>
    <s v="None"/>
    <x v="0"/>
    <n v="1559"/>
    <n v="1"/>
    <s v="February"/>
    <s v="Tuesday"/>
    <n v="1"/>
    <s v="Morning"/>
  </r>
  <r>
    <d v="2026-02-03T00:00:00"/>
    <x v="76"/>
    <s v="Atlanta"/>
    <s v="Las Vegas"/>
    <s v="Airbus A320"/>
    <n v="0.46875"/>
    <n v="0.48749999999999999"/>
    <n v="19"/>
    <s v="Weather"/>
    <x v="0"/>
    <n v="1743"/>
    <n v="27"/>
    <s v="February"/>
    <s v="Tuesday"/>
    <n v="0"/>
    <s v="Morning"/>
  </r>
  <r>
    <d v="2026-02-03T00:00:00"/>
    <x v="356"/>
    <s v="Las Vegas"/>
    <s v="Dallas"/>
    <s v="Boeing 737-800"/>
    <n v="0.69444444444444442"/>
    <n v="0.7"/>
    <n v="12"/>
    <s v="None"/>
    <x v="0"/>
    <n v="1053"/>
    <n v="8"/>
    <s v="February"/>
    <s v="Tuesday"/>
    <n v="1"/>
    <s v="Afternoon"/>
  </r>
  <r>
    <d v="2026-02-04T00:00:00"/>
    <x v="116"/>
    <s v="Las Vegas"/>
    <s v="Denver"/>
    <s v="Boeing 737-800"/>
    <n v="0.3298611111111111"/>
    <n v="0.33194444444444438"/>
    <n v="-2"/>
    <s v="None"/>
    <x v="0"/>
    <n v="627"/>
    <n v="3"/>
    <s v="February"/>
    <s v="Wednesday"/>
    <n v="1"/>
    <s v="Morning"/>
  </r>
  <r>
    <d v="2026-02-04T00:00:00"/>
    <x v="357"/>
    <s v="New York"/>
    <s v="Denver"/>
    <s v="Embraer E175"/>
    <n v="0.46527777777777779"/>
    <n v="0.47361111111111109"/>
    <n v="0"/>
    <s v="None"/>
    <x v="0"/>
    <n v="1622"/>
    <n v="12"/>
    <s v="February"/>
    <s v="Wednesday"/>
    <n v="1"/>
    <s v="Morning"/>
  </r>
  <r>
    <d v="2026-02-05T00:00:00"/>
    <x v="106"/>
    <s v="Atlanta"/>
    <s v="Seattle"/>
    <s v="Airbus A320"/>
    <n v="0.38541666666666669"/>
    <n v="0.38194444444444442"/>
    <n v="-2"/>
    <s v="None"/>
    <x v="0"/>
    <n v="2178"/>
    <n v="-5"/>
    <s v="February"/>
    <s v="Thursday"/>
    <n v="1"/>
    <s v="Morning"/>
  </r>
  <r>
    <d v="2026-02-05T00:00:00"/>
    <x v="133"/>
    <s v="Chicago"/>
    <s v="Los Angeles"/>
    <s v="Airbus A320"/>
    <n v="0.59722222222222221"/>
    <n v="0.64513888888888893"/>
    <n v="75"/>
    <s v="Weather"/>
    <x v="0"/>
    <n v="1742"/>
    <n v="69"/>
    <s v="February"/>
    <s v="Thursday"/>
    <n v="0"/>
    <s v="Afternoon"/>
  </r>
  <r>
    <d v="2026-02-06T00:00:00"/>
    <x v="358"/>
    <s v="Boston"/>
    <s v="Las Vegas"/>
    <s v="Embraer E175"/>
    <n v="0.57986111111111116"/>
    <n v="0.59652777777777777"/>
    <n v="32"/>
    <s v="Late Aircraft"/>
    <x v="0"/>
    <n v="2375"/>
    <n v="24"/>
    <s v="February"/>
    <s v="Friday"/>
    <n v="0"/>
    <s v="Afternoon"/>
  </r>
  <r>
    <d v="2026-02-06T00:00:00"/>
    <x v="359"/>
    <s v="Chicago"/>
    <s v="Boston"/>
    <s v="Boeing 737-800"/>
    <n v="0.63888888888888884"/>
    <n v="0.64375000000000004"/>
    <n v="6"/>
    <s v="None"/>
    <x v="0"/>
    <n v="864"/>
    <n v="7"/>
    <s v="February"/>
    <s v="Friday"/>
    <n v="1"/>
    <s v="Afternoon"/>
  </r>
  <r>
    <d v="2026-02-07T00:00:00"/>
    <x v="360"/>
    <s v="Atlanta"/>
    <s v="Los Angeles"/>
    <s v="Airbus A320"/>
    <n v="0.77430555555555558"/>
    <n v="0.78194444444444444"/>
    <n v="18"/>
    <s v="None"/>
    <x v="0"/>
    <n v="1942"/>
    <n v="11"/>
    <s v="February"/>
    <s v="Saturday"/>
    <n v="0"/>
    <s v="Evening"/>
  </r>
  <r>
    <d v="2026-02-08T00:00:00"/>
    <x v="97"/>
    <s v="Boston"/>
    <s v="Miami"/>
    <s v="CRJ900"/>
    <n v="0.31597222222222221"/>
    <n v="0.31041666666666667"/>
    <n v="-13"/>
    <s v="None"/>
    <x v="0"/>
    <n v="1260"/>
    <n v="-8"/>
    <s v="February"/>
    <s v="Sunday"/>
    <n v="1"/>
    <s v="Morning"/>
  </r>
  <r>
    <d v="2026-02-08T00:00:00"/>
    <x v="179"/>
    <s v="San Francisco"/>
    <s v="Chicago"/>
    <s v="Embraer E175"/>
    <n v="0.4548611111111111"/>
    <n v="0.45555555555555549"/>
    <n v="1"/>
    <s v="None"/>
    <x v="0"/>
    <n v="1842"/>
    <n v="1"/>
    <s v="February"/>
    <s v="Sunday"/>
    <n v="1"/>
    <s v="Morning"/>
  </r>
  <r>
    <d v="2026-02-08T00:00:00"/>
    <x v="361"/>
    <s v="Miami"/>
    <s v="Phoenix"/>
    <s v="Boeing 737-800"/>
    <n v="0.73611111111111116"/>
    <m/>
    <m/>
    <s v="Weather"/>
    <x v="1"/>
    <n v="1969"/>
    <m/>
    <s v="February"/>
    <s v="Sunday"/>
    <m/>
    <s v="Evening"/>
  </r>
  <r>
    <d v="2026-02-09T00:00:00"/>
    <x v="362"/>
    <s v="New York"/>
    <s v="Chicago"/>
    <s v="CRJ900"/>
    <n v="0.28472222222222221"/>
    <n v="0.28749999999999998"/>
    <n v="7"/>
    <s v="None"/>
    <x v="0"/>
    <n v="738"/>
    <n v="4"/>
    <s v="February"/>
    <s v="Monday"/>
    <n v="1"/>
    <s v="Morning"/>
  </r>
  <r>
    <d v="2026-02-09T00:00:00"/>
    <x v="363"/>
    <s v="Denver"/>
    <s v="Atlanta"/>
    <s v="CRJ900"/>
    <n v="0.67361111111111116"/>
    <m/>
    <n v="1"/>
    <s v="None"/>
    <x v="0"/>
    <n v="1197"/>
    <n v="9"/>
    <s v="February"/>
    <s v="Monday"/>
    <n v="1"/>
    <s v="Afternoon"/>
  </r>
  <r>
    <d v="2026-02-09T00:00:00"/>
    <x v="81"/>
    <s v="Dallas"/>
    <s v="Atlanta"/>
    <s v="Airbus A320"/>
    <n v="0.6875"/>
    <n v="0.68680555555555556"/>
    <n v="-11"/>
    <s v="None"/>
    <x v="0"/>
    <n v="730"/>
    <n v="-1"/>
    <s v="February"/>
    <s v="Monday"/>
    <n v="1"/>
    <s v="Afternoon"/>
  </r>
  <r>
    <d v="2026-02-10T00:00:00"/>
    <x v="364"/>
    <s v="Dallas"/>
    <s v="New York"/>
    <s v="CRJ900"/>
    <n v="0.56597222222222221"/>
    <m/>
    <m/>
    <s v="Weather"/>
    <x v="1"/>
    <n v="1389"/>
    <m/>
    <s v="February"/>
    <s v="Tuesday"/>
    <m/>
    <s v="Afternoon"/>
  </r>
  <r>
    <d v="2026-02-11T00:00:00"/>
    <x v="291"/>
    <s v="Atlanta"/>
    <s v="Las Vegas"/>
    <s v="Embraer E175"/>
    <n v="0.43402777777777779"/>
    <m/>
    <m/>
    <s v="Carrier"/>
    <x v="1"/>
    <n v="1743"/>
    <m/>
    <s v="February"/>
    <s v="Wednesday"/>
    <m/>
    <s v="Morning"/>
  </r>
  <r>
    <d v="2026-02-11T00:00:00"/>
    <x v="365"/>
    <s v="Denver"/>
    <s v="Chicago"/>
    <s v="Boeing 737-800"/>
    <n v="0.46875"/>
    <n v="0.46527777777777779"/>
    <n v="0"/>
    <s v="None"/>
    <x v="0"/>
    <n v="886"/>
    <n v="-5"/>
    <s v="February"/>
    <s v="Wednesday"/>
    <n v="1"/>
    <s v="Morning"/>
  </r>
  <r>
    <d v="2026-02-11T00:00:00"/>
    <x v="366"/>
    <s v="Atlanta"/>
    <s v="New York"/>
    <s v="Airbus A320"/>
    <n v="0.60069444444444442"/>
    <n v="0.66736111111111107"/>
    <n v="90"/>
    <s v="Weather"/>
    <x v="0"/>
    <n v="759"/>
    <n v="96"/>
    <s v="February"/>
    <s v="Wednesday"/>
    <n v="0"/>
    <s v="Afternoon"/>
  </r>
  <r>
    <d v="2026-02-11T00:00:00"/>
    <x v="367"/>
    <s v="Dallas"/>
    <s v="New York"/>
    <s v="Airbus A320"/>
    <n v="0.72916666666666663"/>
    <n v="0.74236111111111114"/>
    <n v="10"/>
    <s v="Carrier"/>
    <x v="0"/>
    <n v="1389"/>
    <n v="19"/>
    <s v="February"/>
    <s v="Wednesday"/>
    <n v="1"/>
    <s v="Evening"/>
  </r>
  <r>
    <d v="2026-02-14T00:00:00"/>
    <x v="368"/>
    <s v="Dallas"/>
    <s v="New York"/>
    <s v="Boeing 737-800"/>
    <n v="0.41666666666666669"/>
    <n v="0.41597222222222219"/>
    <n v="-8"/>
    <s v="None"/>
    <x v="0"/>
    <n v="1389"/>
    <n v="-1"/>
    <s v="February"/>
    <s v="Saturday"/>
    <n v="1"/>
    <s v="Morning"/>
  </r>
  <r>
    <d v="2026-02-14T00:00:00"/>
    <x v="254"/>
    <s v="Seattle"/>
    <s v="New York"/>
    <s v="Embraer E175"/>
    <n v="0.58333333333333337"/>
    <n v="0.63263888888888886"/>
    <n v="73"/>
    <s v="Weather"/>
    <x v="0"/>
    <n v="2415"/>
    <n v="71"/>
    <s v="February"/>
    <s v="Saturday"/>
    <n v="0"/>
    <s v="Afternoon"/>
  </r>
  <r>
    <d v="2026-02-14T00:00:00"/>
    <x v="369"/>
    <s v="Chicago"/>
    <s v="Atlanta"/>
    <s v="Boeing 737-800"/>
    <n v="0.63888888888888884"/>
    <n v="0.64027777777777772"/>
    <n v="2"/>
    <s v="None"/>
    <x v="0"/>
    <n v="606"/>
    <n v="2"/>
    <s v="February"/>
    <s v="Saturday"/>
    <n v="1"/>
    <s v="Afternoon"/>
  </r>
  <r>
    <d v="2026-02-14T00:00:00"/>
    <x v="257"/>
    <s v="Denver"/>
    <s v="Atlanta"/>
    <s v="Airbus A320"/>
    <n v="0.81597222222222221"/>
    <n v="0.83333333333333337"/>
    <n v="13"/>
    <s v="Weather"/>
    <x v="0"/>
    <n v="1197"/>
    <n v="25"/>
    <s v="February"/>
    <s v="Saturday"/>
    <n v="1"/>
    <s v="Evening"/>
  </r>
  <r>
    <d v="2026-02-14T00:00:00"/>
    <x v="370"/>
    <s v="San Francisco"/>
    <s v="Chicago"/>
    <s v="Boeing 737-800"/>
    <n v="0.91319444444444442"/>
    <m/>
    <n v="47"/>
    <s v="Late Aircraft"/>
    <x v="0"/>
    <n v="1842"/>
    <n v="40"/>
    <s v="February"/>
    <s v="Saturday"/>
    <n v="0"/>
    <s v="Night"/>
  </r>
  <r>
    <d v="2026-02-15T00:00:00"/>
    <x v="371"/>
    <s v="Miami"/>
    <s v="Phoenix"/>
    <s v="Airbus A320"/>
    <n v="0.3263888888888889"/>
    <n v="0.32500000000000001"/>
    <n v="4"/>
    <s v="None"/>
    <x v="0"/>
    <n v="1969"/>
    <n v="-2"/>
    <s v="February"/>
    <s v="Sunday"/>
    <n v="1"/>
    <s v="Morning"/>
  </r>
  <r>
    <d v="2026-02-15T00:00:00"/>
    <x v="372"/>
    <s v="Las Vegas"/>
    <s v="Atlanta"/>
    <s v="Embraer E175"/>
    <n v="0.36458333333333331"/>
    <m/>
    <n v="-5"/>
    <s v="None"/>
    <x v="0"/>
    <n v="1743"/>
    <n v="2"/>
    <s v="February"/>
    <s v="Sunday"/>
    <n v="1"/>
    <s v="Morning"/>
  </r>
  <r>
    <d v="2026-02-15T00:00:00"/>
    <x v="373"/>
    <s v="New York"/>
    <s v="Denver"/>
    <s v="Embraer E175"/>
    <n v="0.625"/>
    <n v="0.64375000000000004"/>
    <n v="25"/>
    <s v="Weather"/>
    <x v="0"/>
    <n v="1622"/>
    <n v="27"/>
    <s v="February"/>
    <s v="Sunday"/>
    <n v="0"/>
    <s v="Afternoon"/>
  </r>
  <r>
    <d v="2026-02-15T00:00:00"/>
    <x v="374"/>
    <s v="Phoenix"/>
    <s v="San Francisco"/>
    <s v="Embraer E175"/>
    <n v="0.66666666666666663"/>
    <n v="0.67291666666666672"/>
    <n v="10"/>
    <s v="None"/>
    <x v="0"/>
    <n v="651"/>
    <n v="9"/>
    <s v="February"/>
    <s v="Sunday"/>
    <n v="1"/>
    <s v="Afternoon"/>
  </r>
  <r>
    <d v="2026-02-16T00:00:00"/>
    <x v="17"/>
    <s v="Dallas"/>
    <s v="Los Angeles"/>
    <s v="Embraer E175"/>
    <n v="0.30902777777777779"/>
    <n v="0.30486111111111108"/>
    <n v="-2"/>
    <s v="None"/>
    <x v="0"/>
    <n v="1232"/>
    <n v="-6"/>
    <s v="February"/>
    <s v="Monday"/>
    <n v="1"/>
    <s v="Morning"/>
  </r>
  <r>
    <d v="2026-02-16T00:00:00"/>
    <x v="375"/>
    <s v="Atlanta"/>
    <s v="Phoenix"/>
    <s v="Embraer E175"/>
    <n v="0.50347222222222221"/>
    <n v="0.50555555555555554"/>
    <n v="-3"/>
    <s v="None"/>
    <x v="0"/>
    <n v="1584"/>
    <n v="3"/>
    <s v="February"/>
    <s v="Monday"/>
    <n v="1"/>
    <s v="Afternoon"/>
  </r>
  <r>
    <d v="2026-02-17T00:00:00"/>
    <x v="376"/>
    <s v="Miami"/>
    <s v="Chicago"/>
    <s v="Boeing 737-800"/>
    <n v="0.43055555555555558"/>
    <n v="0.44305555555555548"/>
    <n v="20"/>
    <s v="Late Aircraft"/>
    <x v="0"/>
    <n v="1199"/>
    <n v="18"/>
    <s v="February"/>
    <s v="Tuesday"/>
    <n v="0"/>
    <s v="Morning"/>
  </r>
  <r>
    <d v="2026-02-17T00:00:00"/>
    <x v="377"/>
    <s v="Dallas"/>
    <s v="Seattle"/>
    <s v="Boeing 737-800"/>
    <n v="0.70138888888888884"/>
    <n v="0.7055555555555556"/>
    <n v="12"/>
    <s v="None"/>
    <x v="0"/>
    <n v="1658"/>
    <n v="6"/>
    <s v="February"/>
    <s v="Tuesday"/>
    <n v="1"/>
    <s v="Afternoon"/>
  </r>
  <r>
    <d v="2026-02-18T00:00:00"/>
    <x v="132"/>
    <s v="Las Vegas"/>
    <s v="Dallas"/>
    <s v="Boeing 737-800"/>
    <n v="0.21527777777777779"/>
    <n v="0.21111111111111111"/>
    <n v="-16"/>
    <s v="None"/>
    <x v="0"/>
    <n v="1053"/>
    <n v="-6"/>
    <s v="February"/>
    <s v="Wednesday"/>
    <n v="1"/>
    <s v="Morning"/>
  </r>
  <r>
    <d v="2026-02-18T00:00:00"/>
    <x v="378"/>
    <s v="Las Vegas"/>
    <s v="New York"/>
    <s v="Airbus A320"/>
    <n v="0.28819444444444442"/>
    <n v="0.29097222222222219"/>
    <n v="-3"/>
    <s v="None"/>
    <x v="0"/>
    <n v="2243"/>
    <n v="4"/>
    <s v="February"/>
    <s v="Wednesday"/>
    <n v="1"/>
    <s v="Morning"/>
  </r>
  <r>
    <d v="2026-02-19T00:00:00"/>
    <x v="379"/>
    <s v="Atlanta"/>
    <s v="Chicago"/>
    <s v="Embraer E175"/>
    <n v="0.40625"/>
    <n v="0.42499999999999999"/>
    <n v="27"/>
    <s v="Air Traffic Control"/>
    <x v="0"/>
    <n v="606"/>
    <n v="27"/>
    <s v="February"/>
    <s v="Thursday"/>
    <n v="0"/>
    <s v="Morning"/>
  </r>
  <r>
    <d v="2026-02-19T00:00:00"/>
    <x v="380"/>
    <s v="Los Angeles"/>
    <s v="Denver"/>
    <s v="Airbus A320"/>
    <n v="0.40625"/>
    <n v="0.4284722222222222"/>
    <n v="18"/>
    <s v="Carrier"/>
    <x v="0"/>
    <n v="861"/>
    <n v="32"/>
    <s v="February"/>
    <s v="Thursday"/>
    <n v="0"/>
    <s v="Morning"/>
  </r>
  <r>
    <d v="2026-02-19T00:00:00"/>
    <x v="381"/>
    <s v="Dallas"/>
    <s v="Miami"/>
    <s v="CRJ900"/>
    <n v="0.55208333333333337"/>
    <n v="0.55347222222222225"/>
    <n v="7"/>
    <s v="None"/>
    <x v="0"/>
    <m/>
    <n v="2"/>
    <s v="February"/>
    <s v="Thursday"/>
    <n v="1"/>
    <s v="Afternoon"/>
  </r>
  <r>
    <d v="2026-02-19T00:00:00"/>
    <x v="382"/>
    <s v="Boston"/>
    <s v="New York"/>
    <s v="Boeing 737-800"/>
    <n v="0.68402777777777779"/>
    <n v="0.8354166666666667"/>
    <n v="213"/>
    <s v="Security"/>
    <x v="0"/>
    <n v="186"/>
    <n v="218"/>
    <s v="February"/>
    <s v="Thursday"/>
    <n v="0"/>
    <s v="Afternoon"/>
  </r>
  <r>
    <d v="2026-02-19T00:00:00"/>
    <x v="212"/>
    <s v="Dallas"/>
    <s v="Boston"/>
    <s v="Airbus A320"/>
    <n v="0.6875"/>
    <n v="0.68819444444444444"/>
    <n v="-9"/>
    <s v="None"/>
    <x v="0"/>
    <n v="1559"/>
    <n v="1"/>
    <s v="February"/>
    <s v="Thursday"/>
    <n v="1"/>
    <s v="Afternoon"/>
  </r>
  <r>
    <d v="2026-02-19T00:00:00"/>
    <x v="114"/>
    <s v="Las Vegas"/>
    <s v="Atlanta"/>
    <s v="Airbus A320"/>
    <n v="0.71875"/>
    <n v="0.75416666666666665"/>
    <n v="56"/>
    <s v="Weather"/>
    <x v="0"/>
    <n v="1743"/>
    <n v="51"/>
    <s v="February"/>
    <s v="Thursday"/>
    <n v="0"/>
    <s v="Evening"/>
  </r>
  <r>
    <d v="2026-02-20T00:00:00"/>
    <x v="383"/>
    <s v="Phoenix"/>
    <s v="Denver"/>
    <s v="Boeing 737-800"/>
    <n v="0.41319444444444442"/>
    <n v="0.4201388888888889"/>
    <n v="12"/>
    <s v="None"/>
    <x v="0"/>
    <n v="602"/>
    <n v="10"/>
    <s v="February"/>
    <s v="Friday"/>
    <n v="1"/>
    <s v="Morning"/>
  </r>
  <r>
    <d v="2026-02-20T00:00:00"/>
    <x v="346"/>
    <s v="Los Angeles"/>
    <s v="Denver"/>
    <s v="Boeing 737-800"/>
    <n v="0.47569444444444442"/>
    <n v="0.47083333333333333"/>
    <n v="-12"/>
    <s v="None"/>
    <x v="0"/>
    <n v="861"/>
    <n v="-7"/>
    <s v="February"/>
    <s v="Friday"/>
    <n v="1"/>
    <s v="Morning"/>
  </r>
  <r>
    <d v="2026-02-20T00:00:00"/>
    <x v="384"/>
    <s v="Chicago"/>
    <s v="Dallas"/>
    <s v="Boeing 737-800"/>
    <n v="0.59375"/>
    <n v="0.59236111111111112"/>
    <n v="6"/>
    <s v="None"/>
    <x v="0"/>
    <n v="802"/>
    <n v="-2"/>
    <s v="February"/>
    <s v="Friday"/>
    <n v="1"/>
    <s v="Afternoon"/>
  </r>
  <r>
    <d v="2026-02-20T00:00:00"/>
    <x v="40"/>
    <s v="Phoenix"/>
    <s v="Atlanta"/>
    <s v="Airbus A320"/>
    <n v="0.69791666666666663"/>
    <n v="0.69652777777777775"/>
    <n v="0"/>
    <s v="None"/>
    <x v="0"/>
    <n v="1584"/>
    <n v="-2"/>
    <s v="February"/>
    <s v="Friday"/>
    <n v="1"/>
    <s v="Afternoon"/>
  </r>
  <r>
    <d v="2026-02-20T00:00:00"/>
    <x v="381"/>
    <s v="Seattle"/>
    <s v="Atlanta"/>
    <s v="Embraer E175"/>
    <n v="0.89236111111111116"/>
    <n v="0.90833333333333333"/>
    <n v="28"/>
    <s v="Security"/>
    <x v="0"/>
    <n v="2178"/>
    <n v="23"/>
    <s v="February"/>
    <s v="Friday"/>
    <n v="0"/>
    <s v="Night"/>
  </r>
  <r>
    <d v="2026-02-21T00:00:00"/>
    <x v="132"/>
    <s v="Atlanta"/>
    <s v="Dallas"/>
    <s v="Boeing 737-800"/>
    <n v="0.54166666666666663"/>
    <n v="0.53888888888888886"/>
    <n v="-11"/>
    <s v="None"/>
    <x v="0"/>
    <n v="730"/>
    <n v="-4"/>
    <s v="February"/>
    <s v="Saturday"/>
    <n v="1"/>
    <s v="Afternoon"/>
  </r>
  <r>
    <d v="2026-02-22T00:00:00"/>
    <x v="385"/>
    <s v="Boston"/>
    <s v="Dallas"/>
    <s v="Airbus A320"/>
    <n v="0.49305555555555558"/>
    <n v="0.51111111111111107"/>
    <n v="32"/>
    <s v="Weather"/>
    <x v="0"/>
    <n v="1559"/>
    <n v="26"/>
    <s v="February"/>
    <s v="Sunday"/>
    <n v="0"/>
    <s v="Morning"/>
  </r>
  <r>
    <d v="2026-02-22T00:00:00"/>
    <x v="356"/>
    <s v="Chicago"/>
    <s v="Boston"/>
    <s v="Embraer E175"/>
    <n v="0.63541666666666663"/>
    <n v="0.6381944444444444"/>
    <n v="-2"/>
    <s v="None"/>
    <x v="0"/>
    <n v="864"/>
    <n v="4"/>
    <s v="February"/>
    <s v="Sunday"/>
    <n v="1"/>
    <s v="Afternoon"/>
  </r>
  <r>
    <d v="2026-02-23T00:00:00"/>
    <x v="303"/>
    <s v="Boston"/>
    <s v="Atlanta"/>
    <s v="Boeing 737-800"/>
    <n v="0.34722222222222221"/>
    <n v="0.3611111111111111"/>
    <m/>
    <s v="Weather"/>
    <x v="0"/>
    <n v="945"/>
    <n v="20"/>
    <s v="February"/>
    <s v="Monday"/>
    <m/>
    <s v="Morning"/>
  </r>
  <r>
    <d v="2026-02-23T00:00:00"/>
    <x v="332"/>
    <s v="Las Vegas"/>
    <s v="Phoenix"/>
    <s v="Boeing 737-800"/>
    <n v="0.35416666666666669"/>
    <n v="0.35555555555555562"/>
    <n v="-9"/>
    <s v="None"/>
    <x v="0"/>
    <n v="256"/>
    <n v="2"/>
    <s v="February"/>
    <s v="Monday"/>
    <n v="1"/>
    <s v="Morning"/>
  </r>
  <r>
    <d v="2026-02-23T00:00:00"/>
    <x v="386"/>
    <s v="Denver"/>
    <s v="Atlanta"/>
    <s v="CRJ900"/>
    <n v="0.69444444444444442"/>
    <n v="0.70138888888888884"/>
    <n v="4"/>
    <s v="None"/>
    <x v="0"/>
    <n v="1197"/>
    <n v="10"/>
    <s v="February"/>
    <s v="Monday"/>
    <n v="1"/>
    <s v="Afternoon"/>
  </r>
  <r>
    <d v="2026-02-23T00:00:00"/>
    <x v="266"/>
    <s v="New York"/>
    <s v="Atlanta"/>
    <s v="CRJ900"/>
    <n v="0.90625"/>
    <n v="0.90347222222222223"/>
    <n v="6"/>
    <s v="None"/>
    <x v="0"/>
    <n v="759"/>
    <n v="-4"/>
    <s v="February"/>
    <s v="Monday"/>
    <n v="1"/>
    <s v="Night"/>
  </r>
  <r>
    <d v="2026-02-24T00:00:00"/>
    <x v="387"/>
    <s v="Miami"/>
    <s v="Chicago"/>
    <s v="CRJ900"/>
    <n v="0.29166666666666669"/>
    <n v="0.28680555555555548"/>
    <n v="-12"/>
    <s v="None"/>
    <x v="0"/>
    <n v="1199"/>
    <n v="-7"/>
    <s v="February"/>
    <s v="Tuesday"/>
    <n v="1"/>
    <s v="Morning"/>
  </r>
  <r>
    <d v="2026-02-24T00:00:00"/>
    <x v="388"/>
    <s v="Chicago"/>
    <s v="Boston"/>
    <s v="Boeing 737-800"/>
    <n v="0.44791666666666669"/>
    <n v="0.4465277777777778"/>
    <n v="1"/>
    <s v="None"/>
    <x v="0"/>
    <n v="864"/>
    <n v="-2"/>
    <s v="February"/>
    <s v="Tuesday"/>
    <n v="1"/>
    <s v="Morning"/>
  </r>
  <r>
    <d v="2026-02-24T00:00:00"/>
    <x v="389"/>
    <s v="Chicago"/>
    <s v="Dallas"/>
    <s v="Airbus A320"/>
    <n v="0.63541666666666663"/>
    <n v="0.64236111111111116"/>
    <n v="-1"/>
    <s v="None"/>
    <x v="0"/>
    <n v="802"/>
    <n v="10"/>
    <s v="February"/>
    <s v="Tuesday"/>
    <n v="1"/>
    <s v="Afternoon"/>
  </r>
  <r>
    <d v="2026-02-24T00:00:00"/>
    <x v="97"/>
    <s v="Atlanta"/>
    <s v="Chicago"/>
    <s v="Boeing 737-800"/>
    <n v="0.67013888888888884"/>
    <n v="0.66597222222222219"/>
    <n v="-11"/>
    <s v="None"/>
    <x v="0"/>
    <n v="606"/>
    <n v="-6"/>
    <s v="February"/>
    <s v="Tuesday"/>
    <n v="1"/>
    <s v="Afternoon"/>
  </r>
  <r>
    <d v="2026-02-24T00:00:00"/>
    <x v="390"/>
    <s v="Los Angeles"/>
    <s v="Boston"/>
    <s v="Boeing 737-800"/>
    <n v="0.76041666666666663"/>
    <n v="0.80208333333333337"/>
    <n v="48"/>
    <s v="Late Aircraft"/>
    <x v="0"/>
    <n v="2606"/>
    <n v="60"/>
    <s v="February"/>
    <s v="Tuesday"/>
    <n v="0"/>
    <s v="Evening"/>
  </r>
  <r>
    <d v="2026-02-24T00:00:00"/>
    <x v="391"/>
    <s v="Miami"/>
    <s v="Atlanta"/>
    <s v="Embraer E175"/>
    <n v="0.82638888888888884"/>
    <n v="0.82847222222222228"/>
    <n v="6"/>
    <s v="None"/>
    <x v="0"/>
    <n v="596"/>
    <n v="3"/>
    <s v="February"/>
    <s v="Tuesday"/>
    <n v="1"/>
    <s v="Evening"/>
  </r>
  <r>
    <d v="2026-02-25T00:00:00"/>
    <x v="392"/>
    <s v="New York"/>
    <s v="Miami"/>
    <s v="Airbus A320"/>
    <n v="0.38541666666666669"/>
    <n v="0.38333333333333341"/>
    <n v="-13"/>
    <s v="None"/>
    <x v="0"/>
    <n v="1092"/>
    <n v="-3"/>
    <s v="February"/>
    <s v="Wednesday"/>
    <n v="1"/>
    <s v="Morning"/>
  </r>
  <r>
    <d v="2026-02-25T00:00:00"/>
    <x v="393"/>
    <s v="Los Angeles"/>
    <s v="Dallas"/>
    <s v="Airbus A320"/>
    <n v="0.70486111111111116"/>
    <n v="0.70972222222222225"/>
    <n v="15"/>
    <s v="None"/>
    <x v="0"/>
    <n v="1232"/>
    <n v="7"/>
    <s v="February"/>
    <s v="Wednesday"/>
    <n v="1"/>
    <s v="Afternoon"/>
  </r>
  <r>
    <d v="2026-02-25T00:00:00"/>
    <x v="394"/>
    <s v="Las Vegas"/>
    <s v="Boston"/>
    <s v="Boeing 737-800"/>
    <n v="0.76736111111111116"/>
    <n v="0.77361111111111114"/>
    <n v="-2"/>
    <s v="None"/>
    <x v="0"/>
    <n v="2375"/>
    <n v="9"/>
    <s v="February"/>
    <s v="Wednesday"/>
    <n v="1"/>
    <s v="Evening"/>
  </r>
  <r>
    <d v="2026-02-25T00:00:00"/>
    <x v="395"/>
    <s v="Denver"/>
    <s v="New York"/>
    <s v="Embraer E175"/>
    <n v="0.78125"/>
    <n v="0.80138888888888893"/>
    <n v="28"/>
    <s v="Weather"/>
    <x v="0"/>
    <n v="1622"/>
    <n v="29"/>
    <s v="February"/>
    <s v="Wednesday"/>
    <n v="0"/>
    <s v="Evening"/>
  </r>
  <r>
    <d v="2026-02-27T00:00:00"/>
    <x v="40"/>
    <s v="Atlanta"/>
    <s v="Los Angeles"/>
    <s v="CRJ900"/>
    <n v="0.3263888888888889"/>
    <n v="0.35486111111111113"/>
    <n v="39"/>
    <s v="Late Aircraft"/>
    <x v="0"/>
    <n v="1942"/>
    <n v="41"/>
    <s v="February"/>
    <s v="Friday"/>
    <n v="0"/>
    <s v="Morning"/>
  </r>
  <r>
    <d v="2026-02-27T00:00:00"/>
    <x v="396"/>
    <s v="Los Angeles"/>
    <s v="Atlanta"/>
    <s v="CRJ900"/>
    <n v="0.47569444444444442"/>
    <m/>
    <m/>
    <s v="Carrier"/>
    <x v="1"/>
    <n v="1942"/>
    <m/>
    <s v="February"/>
    <s v="Friday"/>
    <m/>
    <s v="Morning"/>
  </r>
  <r>
    <d v="2026-02-27T00:00:00"/>
    <x v="174"/>
    <s v="Denver"/>
    <s v="Chicago"/>
    <s v="Boeing 737-800"/>
    <n v="0.72569444444444442"/>
    <n v="0.72916666666666663"/>
    <n v="10"/>
    <s v="None"/>
    <x v="0"/>
    <n v="886"/>
    <n v="5"/>
    <s v="February"/>
    <s v="Friday"/>
    <n v="1"/>
    <s v="Evening"/>
  </r>
  <r>
    <d v="2026-02-27T00:00:00"/>
    <x v="397"/>
    <s v="Miami"/>
    <s v="Chicago"/>
    <s v="Embraer E175"/>
    <n v="0.74305555555555558"/>
    <n v="0.78055555555555556"/>
    <n v="48"/>
    <s v="Late Aircraft"/>
    <x v="0"/>
    <n v="1199"/>
    <n v="54"/>
    <s v="February"/>
    <s v="Friday"/>
    <n v="0"/>
    <s v="Evening"/>
  </r>
  <r>
    <d v="2026-02-28T00:00:00"/>
    <x v="398"/>
    <s v="Phoenix"/>
    <s v="Dallas"/>
    <s v="CRJ900"/>
    <n v="0.53125"/>
    <n v="0.53680555555555554"/>
    <n v="4"/>
    <s v="None"/>
    <x v="0"/>
    <n v="866"/>
    <n v="8"/>
    <s v="February"/>
    <s v="Saturday"/>
    <n v="1"/>
    <s v="Afternoon"/>
  </r>
  <r>
    <d v="2026-02-28T00:00:00"/>
    <x v="241"/>
    <s v="Miami"/>
    <s v="San Francisco"/>
    <s v="Airbus A320"/>
    <n v="0.71875"/>
    <m/>
    <m/>
    <s v="Weather"/>
    <x v="1"/>
    <n v="2582"/>
    <m/>
    <s v="February"/>
    <s v="Saturday"/>
    <m/>
    <s v="Evening"/>
  </r>
  <r>
    <d v="2026-02-28T00:00:00"/>
    <x v="399"/>
    <s v="Los Angeles"/>
    <s v="Phoenix"/>
    <s v="CRJ900"/>
    <n v="0.74305555555555558"/>
    <n v="0.76458333333333328"/>
    <n v="31"/>
    <s v="Carrier"/>
    <x v="0"/>
    <n v="370"/>
    <n v="31"/>
    <s v="February"/>
    <s v="Saturday"/>
    <n v="0"/>
    <s v="Evening"/>
  </r>
  <r>
    <d v="2026-03-01T00:00:00"/>
    <x v="400"/>
    <s v="Dallas"/>
    <s v="Denver"/>
    <s v="Boeing 737-800"/>
    <n v="0.27430555555555558"/>
    <n v="0.27638888888888891"/>
    <n v="-5"/>
    <s v="None"/>
    <x v="0"/>
    <n v="641"/>
    <n v="3"/>
    <s v="March"/>
    <s v="Sunday"/>
    <n v="1"/>
    <s v="Morning"/>
  </r>
  <r>
    <d v="2026-03-01T00:00:00"/>
    <x v="46"/>
    <s v="Chicago"/>
    <s v="San Francisco"/>
    <s v="Airbus A320"/>
    <n v="0.3923611111111111"/>
    <n v="0.39444444444444438"/>
    <n v="-9"/>
    <s v="None"/>
    <x v="0"/>
    <n v="1842"/>
    <n v="3"/>
    <s v="March"/>
    <s v="Sunday"/>
    <n v="1"/>
    <s v="Morning"/>
  </r>
  <r>
    <d v="2026-03-01T00:00:00"/>
    <x v="401"/>
    <s v="Seattle"/>
    <s v="Chicago"/>
    <s v="Boeing 737-800"/>
    <n v="0.41666666666666669"/>
    <n v="0.41597222222222219"/>
    <n v="-10"/>
    <s v="None"/>
    <x v="0"/>
    <n v="1717"/>
    <n v="-1"/>
    <s v="March"/>
    <s v="Sunday"/>
    <n v="1"/>
    <s v="Morning"/>
  </r>
  <r>
    <d v="2026-03-01T00:00:00"/>
    <x v="249"/>
    <s v="Los Angeles"/>
    <s v="Chicago"/>
    <s v="Embraer E175"/>
    <n v="0.71875"/>
    <n v="0.73611111111111116"/>
    <n v="16"/>
    <s v="Late Aircraft"/>
    <x v="0"/>
    <n v="1742"/>
    <n v="25"/>
    <s v="March"/>
    <s v="Sunday"/>
    <n v="0"/>
    <s v="Evening"/>
  </r>
  <r>
    <d v="2026-03-02T00:00:00"/>
    <x v="402"/>
    <s v="Phoenix"/>
    <s v="Seattle"/>
    <s v="CRJ900"/>
    <n v="0.30902777777777779"/>
    <n v="0.3125"/>
    <n v="2"/>
    <s v="None"/>
    <x v="0"/>
    <n v="1108"/>
    <n v="5"/>
    <s v="March"/>
    <s v="Monday"/>
    <n v="1"/>
    <s v="Morning"/>
  </r>
  <r>
    <d v="2026-03-02T00:00:00"/>
    <x v="403"/>
    <s v="Atlanta"/>
    <s v="Dallas"/>
    <s v="Boeing 737-800"/>
    <n v="0.46875"/>
    <n v="0.47152777777777782"/>
    <n v="9"/>
    <s v="None"/>
    <x v="0"/>
    <n v="730"/>
    <n v="4"/>
    <s v="March"/>
    <s v="Monday"/>
    <n v="1"/>
    <s v="Morning"/>
  </r>
  <r>
    <d v="2026-03-02T00:00:00"/>
    <x v="404"/>
    <s v="Los Angeles"/>
    <s v="Atlanta"/>
    <s v="Airbus A320"/>
    <n v="0.71180555555555558"/>
    <n v="0.70833333333333337"/>
    <n v="4"/>
    <s v="None"/>
    <x v="0"/>
    <n v="1942"/>
    <n v="-5"/>
    <s v="March"/>
    <s v="Monday"/>
    <n v="1"/>
    <s v="Evening"/>
  </r>
  <r>
    <d v="2026-03-02T00:00:00"/>
    <x v="405"/>
    <s v="Denver"/>
    <s v="Atlanta"/>
    <s v="CRJ900"/>
    <n v="0.73611111111111116"/>
    <n v="0.82361111111111107"/>
    <n v="127"/>
    <s v="Late Aircraft"/>
    <x v="0"/>
    <n v="1197"/>
    <n v="126"/>
    <s v="March"/>
    <s v="Monday"/>
    <n v="0"/>
    <s v="Evening"/>
  </r>
  <r>
    <d v="2026-03-02T00:00:00"/>
    <x v="156"/>
    <s v="Dallas"/>
    <s v="Atlanta"/>
    <s v="Boeing 737-800"/>
    <n v="0.74305555555555558"/>
    <n v="0.74375000000000002"/>
    <n v="4"/>
    <s v="None"/>
    <x v="0"/>
    <n v="730"/>
    <n v="1"/>
    <s v="March"/>
    <s v="Monday"/>
    <n v="1"/>
    <s v="Evening"/>
  </r>
  <r>
    <d v="2026-03-03T00:00:00"/>
    <x v="406"/>
    <s v="Chicago"/>
    <s v="Los Angeles"/>
    <s v="Airbus A320"/>
    <n v="0.32291666666666669"/>
    <n v="0.31944444444444442"/>
    <n v="-6"/>
    <s v="None"/>
    <x v="0"/>
    <n v="1742"/>
    <n v="-5"/>
    <s v="March"/>
    <s v="Tuesday"/>
    <n v="1"/>
    <s v="Morning"/>
  </r>
  <r>
    <d v="2026-03-03T00:00:00"/>
    <x v="407"/>
    <s v="Dallas"/>
    <s v="Atlanta"/>
    <s v="Boeing 737-800"/>
    <n v="0.51736111111111116"/>
    <n v="0.54305555555555551"/>
    <n v="32"/>
    <s v="Weather"/>
    <x v="0"/>
    <n v="730"/>
    <n v="37"/>
    <s v="March"/>
    <s v="Tuesday"/>
    <n v="0"/>
    <s v="Afternoon"/>
  </r>
  <r>
    <d v="2026-03-04T00:00:00"/>
    <x v="402"/>
    <s v="Denver"/>
    <s v="New York"/>
    <s v="CRJ900"/>
    <n v="0.35416666666666669"/>
    <n v="0.35138888888888892"/>
    <n v="-11"/>
    <s v="None"/>
    <x v="0"/>
    <n v="1622"/>
    <n v="-4"/>
    <s v="March"/>
    <s v="Wednesday"/>
    <n v="1"/>
    <s v="Morning"/>
  </r>
  <r>
    <d v="2026-03-04T00:00:00"/>
    <x v="313"/>
    <s v="Denver"/>
    <s v="Los Angeles"/>
    <s v="Boeing 737-800"/>
    <n v="0.4826388888888889"/>
    <n v="0.47986111111111113"/>
    <n v="-1"/>
    <s v="None"/>
    <x v="0"/>
    <n v="861"/>
    <n v="-4"/>
    <s v="March"/>
    <s v="Wednesday"/>
    <n v="1"/>
    <s v="Morning"/>
  </r>
  <r>
    <d v="2026-03-04T00:00:00"/>
    <x v="3"/>
    <s v="Dallas"/>
    <s v="Atlanta"/>
    <s v="Boeing 737-800"/>
    <n v="0.71875"/>
    <n v="0.71527777777777779"/>
    <n v="-9"/>
    <s v="None"/>
    <x v="0"/>
    <n v="730"/>
    <n v="-5"/>
    <s v="March"/>
    <s v="Wednesday"/>
    <n v="1"/>
    <s v="Evening"/>
  </r>
  <r>
    <d v="2026-03-04T00:00:00"/>
    <x v="408"/>
    <s v="Los Angeles"/>
    <s v="Miami"/>
    <s v="Boeing 737-800"/>
    <n v="0.92708333333333337"/>
    <n v="0.9291666666666667"/>
    <n v="9"/>
    <s v="None"/>
    <x v="0"/>
    <n v="2338"/>
    <n v="3"/>
    <s v="March"/>
    <s v="Wednesday"/>
    <n v="1"/>
    <s v="Night"/>
  </r>
  <r>
    <d v="2026-03-06T00:00:00"/>
    <x v="409"/>
    <s v="Denver"/>
    <s v="Atlanta"/>
    <s v="Airbus A320"/>
    <n v="0.51041666666666663"/>
    <n v="0.5131944444444444"/>
    <n v="8"/>
    <s v="None"/>
    <x v="0"/>
    <n v="1197"/>
    <n v="4"/>
    <s v="March"/>
    <s v="Friday"/>
    <n v="1"/>
    <s v="Afternoon"/>
  </r>
  <r>
    <d v="2026-03-07T00:00:00"/>
    <x v="410"/>
    <s v="Seattle"/>
    <s v="Los Angeles"/>
    <s v="Boeing 737-800"/>
    <n v="0.31944444444444442"/>
    <n v="0.3215277777777778"/>
    <n v="-8"/>
    <s v="None"/>
    <x v="0"/>
    <n v="955"/>
    <n v="3"/>
    <s v="March"/>
    <s v="Saturday"/>
    <n v="1"/>
    <s v="Morning"/>
  </r>
  <r>
    <d v="2026-03-07T00:00:00"/>
    <x v="69"/>
    <s v="Atlanta"/>
    <s v="Phoenix"/>
    <s v="CRJ900"/>
    <n v="0.4861111111111111"/>
    <n v="0.49791666666666667"/>
    <n v="2"/>
    <s v="Late Aircraft"/>
    <x v="0"/>
    <n v="1584"/>
    <n v="17"/>
    <s v="March"/>
    <s v="Saturday"/>
    <n v="1"/>
    <s v="Morning"/>
  </r>
  <r>
    <d v="2026-03-08T00:00:00"/>
    <x v="411"/>
    <s v="Los Angeles"/>
    <s v="Dallas"/>
    <s v="Airbus A320"/>
    <n v="0.47916666666666669"/>
    <n v="0.47986111111111113"/>
    <n v="4"/>
    <s v="None"/>
    <x v="0"/>
    <n v="1232"/>
    <n v="1"/>
    <s v="March"/>
    <s v="Sunday"/>
    <n v="1"/>
    <s v="Morning"/>
  </r>
  <r>
    <d v="2026-03-09T00:00:00"/>
    <x v="412"/>
    <s v="Miami"/>
    <s v="Phoenix"/>
    <s v="Boeing 737-800"/>
    <n v="0.77083333333333337"/>
    <n v="0.84236111111111112"/>
    <n v="100"/>
    <s v="Air Traffic Control"/>
    <x v="0"/>
    <n v="1969"/>
    <n v="103"/>
    <s v="March"/>
    <s v="Monday"/>
    <n v="0"/>
    <s v="Evening"/>
  </r>
  <r>
    <d v="2026-03-10T00:00:00"/>
    <x v="245"/>
    <s v="New York"/>
    <s v="Denver"/>
    <s v="Airbus A320"/>
    <n v="0.59027777777777779"/>
    <n v="0.59861111111111109"/>
    <n v="13"/>
    <s v="None"/>
    <x v="0"/>
    <n v="1622"/>
    <n v="12"/>
    <s v="March"/>
    <s v="Tuesday"/>
    <n v="1"/>
    <s v="Afternoon"/>
  </r>
  <r>
    <d v="2026-03-10T00:00:00"/>
    <x v="206"/>
    <s v="Dallas"/>
    <s v="San Francisco"/>
    <s v="Boeing 737-800"/>
    <n v="0.79513888888888884"/>
    <n v="0.7993055555555556"/>
    <n v="8"/>
    <s v="None"/>
    <x v="0"/>
    <n v="1462"/>
    <n v="6"/>
    <s v="March"/>
    <s v="Tuesday"/>
    <n v="1"/>
    <s v="Evening"/>
  </r>
  <r>
    <d v="2026-03-11T00:00:00"/>
    <x v="413"/>
    <s v="Atlanta"/>
    <s v="Dallas"/>
    <s v="Boeing 737-800"/>
    <n v="0.39930555555555558"/>
    <n v="0.39583333333333331"/>
    <n v="-3"/>
    <s v="None"/>
    <x v="0"/>
    <n v="730"/>
    <n v="-5"/>
    <s v="March"/>
    <s v="Wednesday"/>
    <n v="1"/>
    <s v="Morning"/>
  </r>
  <r>
    <d v="2026-03-11T00:00:00"/>
    <x v="224"/>
    <s v="New York"/>
    <s v="Los Angeles"/>
    <s v="Boeing 737-800"/>
    <n v="0.49305555555555558"/>
    <n v="0.49166666666666659"/>
    <n v="0"/>
    <s v="None"/>
    <x v="0"/>
    <n v="2470"/>
    <n v="-2"/>
    <s v="March"/>
    <s v="Wednesday"/>
    <n v="1"/>
    <s v="Morning"/>
  </r>
  <r>
    <d v="2026-03-12T00:00:00"/>
    <x v="414"/>
    <s v="Chicago"/>
    <s v="Dallas"/>
    <s v="Airbus A320"/>
    <n v="0.72569444444444442"/>
    <n v="0.72847222222222219"/>
    <n v="3"/>
    <s v="None"/>
    <x v="0"/>
    <n v="802"/>
    <n v="4"/>
    <s v="March"/>
    <s v="Thursday"/>
    <n v="1"/>
    <s v="Evening"/>
  </r>
  <r>
    <d v="2026-03-12T00:00:00"/>
    <x v="39"/>
    <s v="Chicago"/>
    <s v="Atlanta"/>
    <s v="Airbus A320"/>
    <n v="0.77083333333333337"/>
    <n v="0.77500000000000002"/>
    <n v="4"/>
    <s v="None"/>
    <x v="0"/>
    <n v="606"/>
    <n v="6"/>
    <s v="March"/>
    <s v="Thursday"/>
    <n v="1"/>
    <s v="Evening"/>
  </r>
  <r>
    <d v="2026-03-14T00:00:00"/>
    <x v="264"/>
    <s v="Chicago"/>
    <s v="Seattle"/>
    <s v="Airbus A320"/>
    <n v="0.31944444444444442"/>
    <n v="0.33750000000000002"/>
    <n v="26"/>
    <s v="Weather"/>
    <x v="0"/>
    <n v="1717"/>
    <n v="26"/>
    <s v="March"/>
    <s v="Saturday"/>
    <n v="0"/>
    <s v="Morning"/>
  </r>
  <r>
    <d v="2026-03-14T00:00:00"/>
    <x v="415"/>
    <s v="Los Angeles"/>
    <s v="Phoenix"/>
    <s v="CRJ900"/>
    <n v="0.63888888888888884"/>
    <n v="0.63402777777777775"/>
    <n v="-16"/>
    <s v="None"/>
    <x v="0"/>
    <n v="370"/>
    <n v="-7"/>
    <s v="March"/>
    <s v="Saturday"/>
    <n v="1"/>
    <s v="Afternoon"/>
  </r>
  <r>
    <d v="2026-03-14T00:00:00"/>
    <x v="416"/>
    <s v="Los Angeles"/>
    <s v="Atlanta"/>
    <s v="Embraer E175"/>
    <n v="0.80208333333333337"/>
    <n v="0.80486111111111114"/>
    <n v="-5"/>
    <s v="None"/>
    <x v="0"/>
    <n v="1942"/>
    <n v="4"/>
    <s v="March"/>
    <s v="Saturday"/>
    <n v="1"/>
    <s v="Evening"/>
  </r>
  <r>
    <d v="2026-03-15T00:00:00"/>
    <x v="417"/>
    <s v="Chicago"/>
    <s v="Atlanta"/>
    <s v="Boeing 737-800"/>
    <n v="0.57291666666666663"/>
    <n v="0.59861111111111109"/>
    <n v="35"/>
    <s v="Carrier"/>
    <x v="0"/>
    <n v="606"/>
    <n v="37"/>
    <s v="March"/>
    <s v="Sunday"/>
    <n v="0"/>
    <s v="Afternoon"/>
  </r>
  <r>
    <d v="2026-03-15T00:00:00"/>
    <x v="418"/>
    <s v="Atlanta"/>
    <s v="Denver"/>
    <s v="Embraer E175"/>
    <n v="0.58680555555555558"/>
    <m/>
    <m/>
    <s v="Carrier"/>
    <x v="1"/>
    <n v="1197"/>
    <m/>
    <s v="March"/>
    <s v="Sunday"/>
    <m/>
    <s v="Afternoon"/>
  </r>
  <r>
    <d v="2026-03-16T00:00:00"/>
    <x v="314"/>
    <s v="New York"/>
    <s v="Los Angeles"/>
    <s v="Embraer E175"/>
    <n v="0.25"/>
    <n v="0.32430555555555562"/>
    <n v="95"/>
    <s v="Carrier"/>
    <x v="0"/>
    <n v="2470"/>
    <n v="107"/>
    <s v="March"/>
    <s v="Monday"/>
    <n v="0"/>
    <s v="Morning"/>
  </r>
  <r>
    <d v="2026-03-16T00:00:00"/>
    <x v="419"/>
    <s v="Dallas"/>
    <s v="Chicago"/>
    <s v="CRJ900"/>
    <n v="0.78819444444444442"/>
    <n v="0.80277777777777781"/>
    <n v="19"/>
    <s v="Air Traffic Control"/>
    <x v="0"/>
    <n v="802"/>
    <n v="21"/>
    <s v="March"/>
    <s v="Monday"/>
    <n v="0"/>
    <s v="Evening"/>
  </r>
  <r>
    <d v="2026-03-17T00:00:00"/>
    <x v="420"/>
    <s v="Chicago"/>
    <s v="San Francisco"/>
    <s v="Embraer E175"/>
    <n v="0.5625"/>
    <n v="0.56944444444444442"/>
    <n v="17"/>
    <s v="None"/>
    <x v="0"/>
    <n v="1842"/>
    <n v="10"/>
    <s v="March"/>
    <s v="Tuesday"/>
    <n v="0"/>
    <s v="Afternoon"/>
  </r>
  <r>
    <d v="2026-03-17T00:00:00"/>
    <x v="421"/>
    <s v="Boston"/>
    <s v="Chicago"/>
    <s v="Airbus A320"/>
    <n v="0.66319444444444442"/>
    <n v="0.66041666666666665"/>
    <n v="-4"/>
    <s v="None"/>
    <x v="0"/>
    <n v="864"/>
    <n v="-4"/>
    <s v="March"/>
    <s v="Tuesday"/>
    <n v="1"/>
    <s v="Afternoon"/>
  </r>
  <r>
    <d v="2026-03-17T00:00:00"/>
    <x v="422"/>
    <s v="Chicago"/>
    <s v="Dallas"/>
    <s v="Airbus A320"/>
    <n v="0.78125"/>
    <n v="0.78472222222222221"/>
    <n v="-2"/>
    <s v="None"/>
    <x v="0"/>
    <n v="802"/>
    <n v="5"/>
    <s v="March"/>
    <s v="Tuesday"/>
    <n v="1"/>
    <s v="Evening"/>
  </r>
  <r>
    <d v="2026-03-18T00:00:00"/>
    <x v="291"/>
    <s v="Chicago"/>
    <s v="New York"/>
    <s v="Embraer E175"/>
    <n v="0.2638888888888889"/>
    <n v="0.2951388888888889"/>
    <n v="50"/>
    <s v="Carrier"/>
    <x v="0"/>
    <n v="738"/>
    <n v="45"/>
    <s v="March"/>
    <s v="Wednesday"/>
    <n v="0"/>
    <s v="Morning"/>
  </r>
  <r>
    <d v="2026-03-18T00:00:00"/>
    <x v="423"/>
    <s v="Denver"/>
    <s v="San Francisco"/>
    <s v="Embraer E175"/>
    <n v="0.46875"/>
    <n v="0.46666666666666667"/>
    <n v="-7"/>
    <s v="None"/>
    <x v="0"/>
    <n v="965"/>
    <n v="-3"/>
    <s v="March"/>
    <s v="Wednesday"/>
    <n v="1"/>
    <s v="Morning"/>
  </r>
  <r>
    <d v="2026-03-18T00:00:00"/>
    <x v="226"/>
    <s v="Atlanta"/>
    <s v="Boston"/>
    <s v="Embraer E175"/>
    <n v="0.59722222222222221"/>
    <n v="0.70416666666666672"/>
    <n v="153"/>
    <s v="Late Aircraft"/>
    <x v="0"/>
    <n v="945"/>
    <n v="154"/>
    <s v="March"/>
    <s v="Wednesday"/>
    <n v="0"/>
    <s v="Afternoon"/>
  </r>
  <r>
    <d v="2026-03-18T00:00:00"/>
    <x v="424"/>
    <s v="Atlanta"/>
    <s v="Chicago"/>
    <s v="Embraer E175"/>
    <n v="0.60069444444444442"/>
    <n v="0.60555555555555551"/>
    <n v="-1"/>
    <s v="None"/>
    <x v="0"/>
    <n v="606"/>
    <n v="7"/>
    <s v="March"/>
    <s v="Wednesday"/>
    <n v="1"/>
    <s v="Afternoon"/>
  </r>
  <r>
    <d v="2026-03-19T00:00:00"/>
    <x v="223"/>
    <s v="Miami"/>
    <s v="Chicago"/>
    <s v="Airbus A320"/>
    <n v="0.4826388888888889"/>
    <n v="0.48194444444444451"/>
    <n v="-3"/>
    <s v="None"/>
    <x v="0"/>
    <n v="1199"/>
    <n v="-1"/>
    <s v="March"/>
    <s v="Thursday"/>
    <n v="1"/>
    <s v="Morning"/>
  </r>
  <r>
    <d v="2026-03-19T00:00:00"/>
    <x v="4"/>
    <s v="Atlanta"/>
    <s v="New York"/>
    <s v="Boeing 737-800"/>
    <n v="0.64930555555555558"/>
    <n v="0.64652777777777781"/>
    <n v="-1"/>
    <s v="None"/>
    <x v="0"/>
    <n v="759"/>
    <n v="-4"/>
    <s v="March"/>
    <s v="Thursday"/>
    <n v="1"/>
    <s v="Afternoon"/>
  </r>
  <r>
    <d v="2026-03-19T00:00:00"/>
    <x v="7"/>
    <s v="Chicago"/>
    <s v="Atlanta"/>
    <s v="Embraer E175"/>
    <n v="0.76736111111111116"/>
    <n v="0.76458333333333328"/>
    <n v="-9"/>
    <s v="None"/>
    <x v="0"/>
    <n v="606"/>
    <n v="-4"/>
    <s v="March"/>
    <s v="Thursday"/>
    <n v="1"/>
    <s v="Evening"/>
  </r>
  <r>
    <d v="2026-03-20T00:00:00"/>
    <x v="324"/>
    <s v="Dallas"/>
    <s v="Chicago"/>
    <s v="Embraer E175"/>
    <n v="0.47569444444444442"/>
    <n v="0.4826388888888889"/>
    <n v="6"/>
    <s v="None"/>
    <x v="0"/>
    <n v="802"/>
    <n v="10"/>
    <s v="March"/>
    <s v="Friday"/>
    <n v="1"/>
    <s v="Morning"/>
  </r>
  <r>
    <d v="2026-03-20T00:00:00"/>
    <x v="425"/>
    <s v="Denver"/>
    <s v="New York"/>
    <s v="Boeing 737-800"/>
    <n v="0.65277777777777779"/>
    <n v="0.65"/>
    <n v="-14"/>
    <s v="None"/>
    <x v="0"/>
    <n v="1622"/>
    <n v="-4"/>
    <s v="March"/>
    <s v="Friday"/>
    <n v="1"/>
    <s v="Afternoon"/>
  </r>
  <r>
    <d v="2026-03-21T00:00:00"/>
    <x v="426"/>
    <s v="Boston"/>
    <s v="Atlanta"/>
    <s v="Airbus A320"/>
    <n v="0.34722222222222221"/>
    <n v="0.35347222222222219"/>
    <n v="-2"/>
    <s v="None"/>
    <x v="0"/>
    <n v="945"/>
    <n v="9"/>
    <s v="March"/>
    <s v="Saturday"/>
    <n v="1"/>
    <s v="Morning"/>
  </r>
  <r>
    <d v="2026-03-21T00:00:00"/>
    <x v="427"/>
    <s v="Denver"/>
    <s v="Chicago"/>
    <s v="Airbus A320"/>
    <n v="0.74305555555555558"/>
    <n v="0.73819444444444449"/>
    <n v="-16"/>
    <s v="None"/>
    <x v="0"/>
    <n v="886"/>
    <n v="-7"/>
    <s v="March"/>
    <s v="Saturday"/>
    <n v="1"/>
    <s v="Evening"/>
  </r>
  <r>
    <d v="2026-03-22T00:00:00"/>
    <x v="428"/>
    <s v="Atlanta"/>
    <s v="New York"/>
    <s v="Embraer E175"/>
    <n v="0.30208333333333331"/>
    <n v="0.31041666666666667"/>
    <n v="17"/>
    <s v="None"/>
    <x v="0"/>
    <n v="759"/>
    <n v="12"/>
    <s v="March"/>
    <s v="Sunday"/>
    <n v="0"/>
    <s v="Morning"/>
  </r>
  <r>
    <d v="2026-03-22T00:00:00"/>
    <x v="407"/>
    <s v="Atlanta"/>
    <s v="Chicago"/>
    <s v="Embraer E175"/>
    <n v="0.46180555555555558"/>
    <n v="0.46944444444444439"/>
    <n v="18"/>
    <s v="None"/>
    <x v="0"/>
    <n v="606"/>
    <n v="11"/>
    <s v="March"/>
    <s v="Sunday"/>
    <n v="0"/>
    <s v="Morning"/>
  </r>
  <r>
    <d v="2026-03-22T00:00:00"/>
    <x v="389"/>
    <s v="Los Angeles"/>
    <s v="Phoenix"/>
    <s v="Airbus A320"/>
    <n v="0.67708333333333337"/>
    <n v="0.68263888888888891"/>
    <n v="9"/>
    <s v="None"/>
    <x v="0"/>
    <n v="370"/>
    <n v="8"/>
    <s v="March"/>
    <s v="Sunday"/>
    <n v="1"/>
    <s v="Afternoon"/>
  </r>
  <r>
    <d v="2026-03-22T00:00:00"/>
    <x v="421"/>
    <s v="Dallas"/>
    <s v="Atlanta"/>
    <s v="Boeing 737-800"/>
    <n v="0.76041666666666663"/>
    <n v="0.77777777777777779"/>
    <n v="10"/>
    <s v="Carrier"/>
    <x v="0"/>
    <n v="730"/>
    <n v="25"/>
    <s v="March"/>
    <s v="Sunday"/>
    <n v="1"/>
    <s v="Evening"/>
  </r>
  <r>
    <d v="2026-03-22T00:00:00"/>
    <x v="427"/>
    <s v="Phoenix"/>
    <s v="Dallas"/>
    <s v="Airbus A320"/>
    <n v="0.77083333333333337"/>
    <n v="0.81805555555555554"/>
    <n v="59"/>
    <s v="Carrier"/>
    <x v="0"/>
    <n v="866"/>
    <n v="68"/>
    <s v="March"/>
    <s v="Sunday"/>
    <n v="0"/>
    <s v="Evening"/>
  </r>
  <r>
    <d v="2026-03-22T00:00:00"/>
    <x v="352"/>
    <s v="Dallas"/>
    <s v="Phoenix"/>
    <s v="Embraer E175"/>
    <n v="0.90972222222222221"/>
    <n v="0.91527777777777775"/>
    <n v="14"/>
    <s v="None"/>
    <x v="0"/>
    <n v="866"/>
    <n v="8"/>
    <s v="March"/>
    <s v="Sunday"/>
    <n v="1"/>
    <s v="Night"/>
  </r>
  <r>
    <d v="2026-03-22T00:00:00"/>
    <x v="333"/>
    <s v="Seattle"/>
    <s v="Phoenix"/>
    <s v="Embraer E175"/>
    <n v="0.95138888888888884"/>
    <n v="0.99583333333333335"/>
    <n v="62"/>
    <s v="Carrier"/>
    <x v="0"/>
    <n v="1108"/>
    <n v="64"/>
    <s v="March"/>
    <s v="Sunday"/>
    <n v="0"/>
    <s v="Night"/>
  </r>
  <r>
    <d v="2026-03-23T00:00:00"/>
    <x v="33"/>
    <s v="Denver"/>
    <s v="Dallas"/>
    <s v="Embraer E175"/>
    <n v="0.35416666666666669"/>
    <n v="0.44861111111111113"/>
    <n v="140"/>
    <s v="Late Aircraft"/>
    <x v="0"/>
    <n v="641"/>
    <n v="136"/>
    <s v="March"/>
    <s v="Monday"/>
    <n v="0"/>
    <s v="Morning"/>
  </r>
  <r>
    <d v="2026-03-24T00:00:00"/>
    <x v="429"/>
    <s v="Atlanta"/>
    <s v="Denver"/>
    <s v="Embraer E175"/>
    <n v="0.65277777777777779"/>
    <m/>
    <m/>
    <s v="Weather"/>
    <x v="1"/>
    <n v="1197"/>
    <m/>
    <s v="March"/>
    <s v="Tuesday"/>
    <m/>
    <s v="Afternoon"/>
  </r>
  <r>
    <d v="2026-03-25T00:00:00"/>
    <x v="430"/>
    <s v="Boston"/>
    <s v="Seattle"/>
    <s v="Airbus A320"/>
    <n v="0.2986111111111111"/>
    <n v="0.30625000000000002"/>
    <n v="8"/>
    <s v="None"/>
    <x v="0"/>
    <n v="2489"/>
    <n v="11"/>
    <s v="March"/>
    <s v="Wednesday"/>
    <n v="1"/>
    <s v="Morning"/>
  </r>
  <r>
    <d v="2026-03-25T00:00:00"/>
    <x v="431"/>
    <s v="Los Angeles"/>
    <s v="New York"/>
    <s v="Airbus A320"/>
    <n v="0.39583333333333331"/>
    <n v="0.3972222222222222"/>
    <n v="12"/>
    <s v="None"/>
    <x v="0"/>
    <n v="2470"/>
    <n v="2"/>
    <s v="March"/>
    <s v="Wednesday"/>
    <n v="1"/>
    <s v="Morning"/>
  </r>
  <r>
    <d v="2026-03-26T00:00:00"/>
    <x v="432"/>
    <s v="Dallas"/>
    <s v="Chicago"/>
    <s v="Boeing 737-800"/>
    <n v="0.64930555555555558"/>
    <n v="0.65416666666666667"/>
    <n v="3"/>
    <s v="None"/>
    <x v="0"/>
    <n v="802"/>
    <n v="7"/>
    <s v="March"/>
    <s v="Thursday"/>
    <n v="1"/>
    <s v="Afternoon"/>
  </r>
  <r>
    <d v="2026-03-26T00:00:00"/>
    <x v="433"/>
    <s v="Chicago"/>
    <s v="New York"/>
    <s v="Airbus A320"/>
    <n v="0.86458333333333337"/>
    <n v="0.88541666666666663"/>
    <n v="17"/>
    <s v="Late Aircraft"/>
    <x v="0"/>
    <n v="738"/>
    <n v="30"/>
    <s v="March"/>
    <s v="Thursday"/>
    <n v="0"/>
    <s v="Evening"/>
  </r>
  <r>
    <d v="2026-03-27T00:00:00"/>
    <x v="359"/>
    <s v="Chicago"/>
    <s v="Atlanta"/>
    <s v="Boeing 737-800"/>
    <n v="0.55902777777777779"/>
    <n v="0.56180555555555556"/>
    <n v="3"/>
    <s v="None"/>
    <x v="0"/>
    <n v="606"/>
    <n v="4"/>
    <s v="March"/>
    <s v="Friday"/>
    <n v="1"/>
    <s v="Afternoon"/>
  </r>
  <r>
    <d v="2026-03-27T00:00:00"/>
    <x v="291"/>
    <s v="New York"/>
    <s v="Seattle"/>
    <s v="Embraer E175"/>
    <n v="0.60069444444444442"/>
    <n v="0.63888888888888884"/>
    <n v="51"/>
    <s v="Carrier"/>
    <x v="0"/>
    <n v="2415"/>
    <m/>
    <s v="March"/>
    <s v="Friday"/>
    <n v="0"/>
    <s v="Afternoon"/>
  </r>
  <r>
    <d v="2026-03-27T00:00:00"/>
    <x v="423"/>
    <s v="Chicago"/>
    <s v="Boston"/>
    <s v="Embraer E175"/>
    <n v="0.72916666666666663"/>
    <n v="0.73402777777777772"/>
    <n v="-1"/>
    <s v="None"/>
    <x v="0"/>
    <n v="864"/>
    <n v="7"/>
    <s v="March"/>
    <s v="Friday"/>
    <n v="1"/>
    <s v="Evening"/>
  </r>
  <r>
    <d v="2026-03-28T00:00:00"/>
    <x v="48"/>
    <s v="Las Vegas"/>
    <s v="Atlanta"/>
    <s v="CRJ900"/>
    <n v="0.2673611111111111"/>
    <n v="0.27986111111111112"/>
    <n v="13"/>
    <s v="Late Aircraft"/>
    <x v="0"/>
    <n v="1743"/>
    <n v="18"/>
    <s v="March"/>
    <s v="Saturday"/>
    <n v="1"/>
    <s v="Morning"/>
  </r>
  <r>
    <d v="2026-03-28T00:00:00"/>
    <x v="399"/>
    <s v="Miami"/>
    <s v="Los Angeles"/>
    <s v="Boeing 737-800"/>
    <n v="0.33333333333333331"/>
    <n v="0.33124999999999999"/>
    <n v="-4"/>
    <s v="None"/>
    <x v="0"/>
    <n v="2338"/>
    <n v="-3"/>
    <s v="March"/>
    <s v="Saturday"/>
    <n v="1"/>
    <s v="Morning"/>
  </r>
  <r>
    <d v="2026-03-28T00:00:00"/>
    <x v="418"/>
    <s v="Los Angeles"/>
    <s v="Chicago"/>
    <s v="Embraer E175"/>
    <n v="0.41666666666666669"/>
    <n v="0.43055555555555558"/>
    <n v="7"/>
    <s v="Carrier"/>
    <x v="0"/>
    <n v="1742"/>
    <n v="20"/>
    <s v="March"/>
    <s v="Saturday"/>
    <n v="1"/>
    <s v="Morning"/>
  </r>
  <r>
    <d v="2026-03-28T00:00:00"/>
    <x v="434"/>
    <s v="New York"/>
    <s v="Boston"/>
    <s v="CRJ900"/>
    <n v="0.62152777777777779"/>
    <n v="0.62222222222222223"/>
    <n v="-8"/>
    <s v="None"/>
    <x v="0"/>
    <n v="186"/>
    <n v="1"/>
    <s v="March"/>
    <s v="Saturday"/>
    <n v="1"/>
    <s v="Afternoon"/>
  </r>
  <r>
    <d v="2026-03-29T00:00:00"/>
    <x v="435"/>
    <s v="Seattle"/>
    <s v="Chicago"/>
    <s v="Boeing 737-800"/>
    <n v="0.30902777777777779"/>
    <n v="0.3347222222222222"/>
    <n v="33"/>
    <s v="Weather"/>
    <x v="0"/>
    <n v="1717"/>
    <n v="37"/>
    <s v="March"/>
    <s v="Sunday"/>
    <n v="0"/>
    <s v="Morning"/>
  </r>
  <r>
    <d v="2026-03-29T00:00:00"/>
    <x v="436"/>
    <s v="New York"/>
    <s v="Chicago"/>
    <s v="Airbus A320"/>
    <n v="0.34722222222222221"/>
    <n v="0.34236111111111112"/>
    <n v="-12"/>
    <s v="None"/>
    <x v="0"/>
    <n v="738"/>
    <n v="-7"/>
    <s v="March"/>
    <s v="Sunday"/>
    <n v="1"/>
    <s v="Morning"/>
  </r>
  <r>
    <d v="2026-03-29T00:00:00"/>
    <x v="437"/>
    <s v="Boston"/>
    <s v="San Francisco"/>
    <s v="CRJ900"/>
    <n v="0.53125"/>
    <n v="0.53541666666666665"/>
    <n v="14"/>
    <s v="None"/>
    <x v="0"/>
    <n v="2698"/>
    <n v="6"/>
    <s v="March"/>
    <s v="Sunday"/>
    <n v="1"/>
    <s v="Afternoon"/>
  </r>
  <r>
    <d v="2026-03-30T00:00:00"/>
    <x v="282"/>
    <s v="Las Vegas"/>
    <s v="Boston"/>
    <s v="Airbus A320"/>
    <n v="0.27083333333333331"/>
    <n v="0.26805555555555549"/>
    <n v="-8"/>
    <s v="None"/>
    <x v="0"/>
    <n v="2375"/>
    <n v="-4"/>
    <s v="March"/>
    <s v="Monday"/>
    <n v="1"/>
    <s v="Morning"/>
  </r>
  <r>
    <d v="2026-03-30T00:00:00"/>
    <x v="438"/>
    <s v="Dallas"/>
    <s v="Seattle"/>
    <s v="Boeing 737-800"/>
    <n v="0.58333333333333337"/>
    <n v="0.59097222222222223"/>
    <n v="3"/>
    <s v="None"/>
    <x v="0"/>
    <n v="1658"/>
    <n v="11"/>
    <s v="March"/>
    <s v="Monday"/>
    <n v="1"/>
    <s v="Afternoon"/>
  </r>
  <r>
    <d v="2026-03-31T00:00:00"/>
    <x v="313"/>
    <s v="Atlanta"/>
    <s v="Chicago"/>
    <s v="Airbus A320"/>
    <n v="0.46180555555555558"/>
    <n v="0.46597222222222218"/>
    <n v="-1"/>
    <s v="None"/>
    <x v="0"/>
    <n v="606"/>
    <n v="6"/>
    <s v="March"/>
    <s v="Tuesday"/>
    <n v="1"/>
    <s v="Morning"/>
  </r>
  <r>
    <d v="2026-03-31T00:00:00"/>
    <x v="439"/>
    <s v="New York"/>
    <s v="San Francisco"/>
    <s v="CRJ900"/>
    <n v="0.70833333333333337"/>
    <n v="0.7055555555555556"/>
    <n v="-14"/>
    <s v="None"/>
    <x v="0"/>
    <n v="2580"/>
    <n v="-4"/>
    <s v="March"/>
    <s v="Tuesday"/>
    <n v="1"/>
    <s v="Evening"/>
  </r>
  <r>
    <d v="2026-04-01T00:00:00"/>
    <x v="439"/>
    <s v="Atlanta"/>
    <s v="Seattle"/>
    <s v="Airbus A320"/>
    <n v="0.40277777777777779"/>
    <n v="0.4"/>
    <n v="2"/>
    <s v="None"/>
    <x v="0"/>
    <n v="2178"/>
    <n v="-4"/>
    <s v="April"/>
    <s v="Wednesday"/>
    <n v="1"/>
    <s v="Morning"/>
  </r>
  <r>
    <d v="2026-04-01T00:00:00"/>
    <x v="90"/>
    <s v="Chicago"/>
    <s v="Dallas"/>
    <s v="Embraer E175"/>
    <n v="0.46527777777777779"/>
    <n v="0.46666666666666667"/>
    <n v="2"/>
    <s v="None"/>
    <x v="0"/>
    <n v="802"/>
    <n v="2"/>
    <s v="April"/>
    <s v="Wednesday"/>
    <n v="1"/>
    <s v="Morning"/>
  </r>
  <r>
    <d v="2026-04-01T00:00:00"/>
    <x v="440"/>
    <s v="Atlanta"/>
    <s v="New York"/>
    <s v="Boeing 737-800"/>
    <n v="0.53819444444444442"/>
    <n v="0.54305555555555551"/>
    <n v="5"/>
    <s v="None"/>
    <x v="0"/>
    <n v="759"/>
    <n v="7"/>
    <s v="April"/>
    <s v="Wednesday"/>
    <n v="1"/>
    <s v="Afternoon"/>
  </r>
  <r>
    <d v="2026-04-01T00:00:00"/>
    <x v="82"/>
    <s v="Dallas"/>
    <s v="San Francisco"/>
    <s v="CRJ900"/>
    <n v="0.65625"/>
    <n v="0.65486111111111112"/>
    <n v="-6"/>
    <s v="None"/>
    <x v="0"/>
    <n v="1462"/>
    <n v="-2"/>
    <s v="April"/>
    <s v="Wednesday"/>
    <n v="1"/>
    <s v="Afternoon"/>
  </r>
  <r>
    <d v="2026-04-01T00:00:00"/>
    <x v="109"/>
    <s v="Boston"/>
    <s v="Phoenix"/>
    <s v="Airbus A320"/>
    <n v="0.87847222222222221"/>
    <n v="0.89444444444444449"/>
    <n v="11"/>
    <s v="Carrier"/>
    <x v="0"/>
    <n v="2295"/>
    <n v="23"/>
    <s v="April"/>
    <s v="Wednesday"/>
    <n v="1"/>
    <s v="Night"/>
  </r>
  <r>
    <d v="2026-04-02T00:00:00"/>
    <x v="2"/>
    <s v="San Francisco"/>
    <s v="Atlanta"/>
    <s v="Embraer E175"/>
    <n v="0.46180555555555558"/>
    <n v="0.50555555555555554"/>
    <n v="67"/>
    <s v="Late Aircraft"/>
    <x v="0"/>
    <n v="2134"/>
    <n v="63"/>
    <s v="April"/>
    <s v="Thursday"/>
    <n v="0"/>
    <s v="Morning"/>
  </r>
  <r>
    <d v="2026-04-03T00:00:00"/>
    <x v="441"/>
    <s v="Atlanta"/>
    <s v="Phoenix"/>
    <s v="Embraer E175"/>
    <n v="0.3611111111111111"/>
    <n v="0.3611111111111111"/>
    <n v="-12"/>
    <s v="None"/>
    <x v="0"/>
    <n v="1584"/>
    <n v="0"/>
    <s v="April"/>
    <s v="Friday"/>
    <n v="1"/>
    <s v="Morning"/>
  </r>
  <r>
    <d v="2026-04-03T00:00:00"/>
    <x v="402"/>
    <s v="Atlanta"/>
    <s v="Chicago"/>
    <s v="Boeing 737-800"/>
    <n v="0.86111111111111116"/>
    <n v="0.91388888888888886"/>
    <n v="65"/>
    <s v="Air Traffic Control"/>
    <x v="0"/>
    <n v="606"/>
    <n v="76"/>
    <s v="April"/>
    <s v="Friday"/>
    <n v="0"/>
    <s v="Evening"/>
  </r>
  <r>
    <d v="2026-04-04T00:00:00"/>
    <x v="442"/>
    <s v="Denver"/>
    <s v="San Francisco"/>
    <s v="Boeing 737-800"/>
    <n v="0.31597222222222221"/>
    <n v="0.33055555555555549"/>
    <n v="13"/>
    <s v="Air Traffic Control"/>
    <x v="0"/>
    <n v="965"/>
    <n v="21"/>
    <s v="April"/>
    <s v="Saturday"/>
    <n v="1"/>
    <s v="Morning"/>
  </r>
  <r>
    <d v="2026-04-04T00:00:00"/>
    <x v="443"/>
    <s v="Seattle"/>
    <s v="San Francisco"/>
    <s v="Airbus A320"/>
    <n v="0.87152777777777779"/>
    <n v="0.87291666666666667"/>
    <n v="7"/>
    <s v="None"/>
    <x v="0"/>
    <n v="679"/>
    <n v="2"/>
    <s v="April"/>
    <s v="Saturday"/>
    <n v="1"/>
    <s v="Evening"/>
  </r>
  <r>
    <d v="2026-04-05T00:00:00"/>
    <x v="396"/>
    <s v="Los Angeles"/>
    <s v="Seattle"/>
    <s v="Boeing 737-800"/>
    <n v="0.4548611111111111"/>
    <n v="0.53541666666666665"/>
    <n v="112"/>
    <s v="Weather"/>
    <x v="0"/>
    <n v="955"/>
    <n v="116"/>
    <s v="April"/>
    <s v="Sunday"/>
    <n v="0"/>
    <s v="Morning"/>
  </r>
  <r>
    <d v="2026-04-05T00:00:00"/>
    <x v="444"/>
    <s v="Seattle"/>
    <s v="Boston"/>
    <s v="Boeing 737-800"/>
    <n v="0.69444444444444442"/>
    <n v="0.70902777777777781"/>
    <n v="18"/>
    <s v="Carrier"/>
    <x v="0"/>
    <n v="2489"/>
    <n v="21"/>
    <s v="April"/>
    <s v="Sunday"/>
    <n v="0"/>
    <s v="Afternoon"/>
  </r>
  <r>
    <d v="2026-04-06T00:00:00"/>
    <x v="445"/>
    <s v="Denver"/>
    <s v="Atlanta"/>
    <s v="Boeing 737-800"/>
    <n v="0.45833333333333331"/>
    <n v="0.49236111111111108"/>
    <n v="41"/>
    <s v="Weather"/>
    <x v="0"/>
    <n v="1197"/>
    <n v="49"/>
    <s v="April"/>
    <s v="Monday"/>
    <n v="0"/>
    <s v="Morning"/>
  </r>
  <r>
    <d v="2026-04-06T00:00:00"/>
    <x v="40"/>
    <s v="Phoenix"/>
    <s v="Denver"/>
    <s v="CRJ900"/>
    <n v="0.63194444444444442"/>
    <n v="0.6333333333333333"/>
    <n v="10"/>
    <s v="None"/>
    <x v="0"/>
    <n v="602"/>
    <n v="2"/>
    <s v="April"/>
    <s v="Monday"/>
    <n v="1"/>
    <s v="Afternoon"/>
  </r>
  <r>
    <d v="2026-04-06T00:00:00"/>
    <x v="446"/>
    <s v="Atlanta"/>
    <s v="Denver"/>
    <s v="Embraer E175"/>
    <n v="0.66319444444444442"/>
    <n v="0.66111111111111109"/>
    <n v="-8"/>
    <s v="None"/>
    <x v="0"/>
    <n v="1197"/>
    <n v="-3"/>
    <s v="April"/>
    <s v="Monday"/>
    <n v="1"/>
    <s v="Afternoon"/>
  </r>
  <r>
    <d v="2026-04-06T00:00:00"/>
    <x v="447"/>
    <s v="Phoenix"/>
    <s v="New York"/>
    <s v="Airbus A320"/>
    <n v="0.73958333333333337"/>
    <n v="0.74236111111111114"/>
    <n v="9"/>
    <s v="None"/>
    <x v="0"/>
    <n v="2149"/>
    <n v="4"/>
    <s v="April"/>
    <s v="Monday"/>
    <n v="1"/>
    <s v="Evening"/>
  </r>
  <r>
    <d v="2026-04-07T00:00:00"/>
    <x v="111"/>
    <s v="Atlanta"/>
    <s v="Los Angeles"/>
    <s v="Airbus A320"/>
    <n v="0.26041666666666669"/>
    <n v="0.25763888888888892"/>
    <n v="-15"/>
    <s v="None"/>
    <x v="0"/>
    <n v="1942"/>
    <n v="-4"/>
    <s v="April"/>
    <s v="Tuesday"/>
    <n v="1"/>
    <s v="Morning"/>
  </r>
  <r>
    <d v="2026-04-07T00:00:00"/>
    <x v="448"/>
    <s v="Denver"/>
    <s v="Los Angeles"/>
    <s v="Boeing 737-800"/>
    <n v="0.51388888888888884"/>
    <n v="0.52083333333333337"/>
    <n v="9"/>
    <s v="None"/>
    <x v="0"/>
    <n v="861"/>
    <n v="10"/>
    <s v="April"/>
    <s v="Tuesday"/>
    <n v="1"/>
    <s v="Afternoon"/>
  </r>
  <r>
    <d v="2026-04-07T00:00:00"/>
    <x v="449"/>
    <s v="Dallas"/>
    <s v="Boston"/>
    <s v="Embraer E175"/>
    <n v="0.51736111111111116"/>
    <n v="0.5180555555555556"/>
    <n v="4"/>
    <s v="None"/>
    <x v="0"/>
    <n v="1559"/>
    <n v="1"/>
    <s v="April"/>
    <s v="Tuesday"/>
    <n v="1"/>
    <s v="Afternoon"/>
  </r>
  <r>
    <d v="2026-04-07T00:00:00"/>
    <x v="409"/>
    <s v="Dallas"/>
    <s v="Chicago"/>
    <s v="Embraer E175"/>
    <n v="0.58333333333333337"/>
    <n v="0.60486111111111107"/>
    <n v="21"/>
    <s v="Late Aircraft"/>
    <x v="0"/>
    <n v="802"/>
    <n v="31"/>
    <s v="April"/>
    <s v="Tuesday"/>
    <n v="0"/>
    <s v="Afternoon"/>
  </r>
  <r>
    <d v="2026-04-07T00:00:00"/>
    <x v="409"/>
    <s v="Miami"/>
    <s v="Boston"/>
    <s v="Airbus A320"/>
    <n v="0.76041666666666663"/>
    <n v="0.75763888888888886"/>
    <n v="4"/>
    <s v="None"/>
    <x v="0"/>
    <n v="1260"/>
    <n v="-4"/>
    <s v="April"/>
    <s v="Tuesday"/>
    <n v="1"/>
    <s v="Evening"/>
  </r>
  <r>
    <d v="2026-04-07T00:00:00"/>
    <x v="314"/>
    <s v="Los Angeles"/>
    <s v="Chicago"/>
    <s v="Boeing 737-800"/>
    <n v="0.86458333333333337"/>
    <n v="0.90694444444444444"/>
    <n v="49"/>
    <s v="Late Aircraft"/>
    <x v="0"/>
    <n v="1742"/>
    <n v="61"/>
    <s v="April"/>
    <s v="Tuesday"/>
    <n v="0"/>
    <s v="Evening"/>
  </r>
  <r>
    <d v="2026-04-08T00:00:00"/>
    <x v="426"/>
    <s v="Los Angeles"/>
    <s v="Dallas"/>
    <s v="Airbus A320"/>
    <n v="0.59375"/>
    <n v="0.58819444444444446"/>
    <n v="-9"/>
    <s v="None"/>
    <x v="0"/>
    <n v="1232"/>
    <n v="-8"/>
    <s v="April"/>
    <s v="Wednesday"/>
    <n v="1"/>
    <s v="Afternoon"/>
  </r>
  <r>
    <d v="2026-04-08T00:00:00"/>
    <x v="450"/>
    <s v="Miami"/>
    <s v="Chicago"/>
    <s v="Embraer E175"/>
    <n v="0.64236111111111116"/>
    <n v="0.64930555555555558"/>
    <n v="16"/>
    <s v="None"/>
    <x v="0"/>
    <n v="1199"/>
    <n v="10"/>
    <s v="April"/>
    <s v="Wednesday"/>
    <n v="0"/>
    <s v="Afternoon"/>
  </r>
  <r>
    <d v="2026-04-09T00:00:00"/>
    <x v="411"/>
    <s v="Atlanta"/>
    <s v="Dallas"/>
    <s v="CRJ900"/>
    <n v="0.79513888888888884"/>
    <n v="0.7944444444444444"/>
    <n v="-9"/>
    <s v="None"/>
    <x v="0"/>
    <n v="730"/>
    <m/>
    <s v="April"/>
    <s v="Thursday"/>
    <n v="1"/>
    <s v="Evening"/>
  </r>
  <r>
    <d v="2026-04-10T00:00:00"/>
    <x v="312"/>
    <s v="Seattle"/>
    <s v="New York"/>
    <s v="CRJ900"/>
    <n v="0.63888888888888884"/>
    <n v="0.65069444444444446"/>
    <n v="13"/>
    <s v="Carrier"/>
    <x v="0"/>
    <n v="2415"/>
    <n v="17"/>
    <s v="April"/>
    <s v="Friday"/>
    <n v="1"/>
    <s v="Afternoon"/>
  </r>
  <r>
    <d v="2026-04-11T00:00:00"/>
    <x v="65"/>
    <s v="San Francisco"/>
    <s v="New York"/>
    <s v="Airbus A320"/>
    <n v="0.25347222222222221"/>
    <n v="0.25347222222222221"/>
    <n v="-1"/>
    <s v="None"/>
    <x v="0"/>
    <n v="2580"/>
    <n v="0"/>
    <s v="April"/>
    <s v="Saturday"/>
    <n v="1"/>
    <s v="Morning"/>
  </r>
  <r>
    <d v="2026-04-11T00:00:00"/>
    <x v="451"/>
    <s v="Boston"/>
    <s v="Atlanta"/>
    <s v="CRJ900"/>
    <n v="0.29166666666666669"/>
    <n v="0.28958333333333341"/>
    <n v="2"/>
    <s v="None"/>
    <x v="0"/>
    <n v="945"/>
    <n v="-3"/>
    <s v="April"/>
    <s v="Saturday"/>
    <n v="1"/>
    <s v="Morning"/>
  </r>
  <r>
    <d v="2026-04-11T00:00:00"/>
    <x v="452"/>
    <s v="New York"/>
    <s v="Chicago"/>
    <s v="Embraer E175"/>
    <n v="0.30555555555555558"/>
    <n v="0.31388888888888888"/>
    <n v="18"/>
    <s v="None"/>
    <x v="0"/>
    <n v="738"/>
    <n v="12"/>
    <s v="April"/>
    <s v="Saturday"/>
    <n v="0"/>
    <s v="Morning"/>
  </r>
  <r>
    <d v="2026-04-11T00:00:00"/>
    <x v="35"/>
    <s v="Denver"/>
    <s v="Chicago"/>
    <s v="Boeing 737-800"/>
    <n v="0.5625"/>
    <m/>
    <m/>
    <s v="Carrier"/>
    <x v="1"/>
    <n v="886"/>
    <m/>
    <s v="April"/>
    <s v="Saturday"/>
    <m/>
    <s v="Afternoon"/>
  </r>
  <r>
    <d v="2026-04-11T00:00:00"/>
    <x v="453"/>
    <s v="Denver"/>
    <s v="Miami"/>
    <s v="Embraer E175"/>
    <n v="0.82638888888888884"/>
    <n v="0.83125000000000004"/>
    <n v="8"/>
    <s v="None"/>
    <x v="0"/>
    <n v="1708"/>
    <n v="7"/>
    <s v="April"/>
    <s v="Saturday"/>
    <n v="1"/>
    <s v="Evening"/>
  </r>
  <r>
    <d v="2026-04-12T00:00:00"/>
    <x v="282"/>
    <s v="Chicago"/>
    <s v="Atlanta"/>
    <s v="Airbus A320"/>
    <n v="0.72916666666666663"/>
    <n v="0.73333333333333328"/>
    <n v="13"/>
    <s v="None"/>
    <x v="0"/>
    <n v="606"/>
    <n v="6"/>
    <s v="April"/>
    <s v="Sunday"/>
    <n v="1"/>
    <s v="Evening"/>
  </r>
  <r>
    <d v="2026-04-12T00:00:00"/>
    <x v="454"/>
    <s v="Phoenix"/>
    <s v="Dallas"/>
    <s v="Airbus A320"/>
    <n v="0.94444444444444442"/>
    <m/>
    <m/>
    <s v="Carrier"/>
    <x v="1"/>
    <n v="866"/>
    <m/>
    <s v="April"/>
    <s v="Sunday"/>
    <m/>
    <s v="Night"/>
  </r>
  <r>
    <d v="2026-04-13T00:00:00"/>
    <x v="455"/>
    <s v="Denver"/>
    <s v="Los Angeles"/>
    <s v="Boeing 737-800"/>
    <n v="0.4236111111111111"/>
    <n v="0.42152777777777778"/>
    <n v="0"/>
    <s v="None"/>
    <x v="0"/>
    <n v="861"/>
    <n v="-3"/>
    <s v="April"/>
    <s v="Monday"/>
    <n v="1"/>
    <s v="Morning"/>
  </r>
  <r>
    <d v="2026-04-13T00:00:00"/>
    <x v="283"/>
    <s v="Atlanta"/>
    <s v="Dallas"/>
    <s v="CRJ900"/>
    <n v="0.87847222222222221"/>
    <n v="0.90555555555555556"/>
    <n v="33"/>
    <s v="Late Aircraft"/>
    <x v="0"/>
    <n v="730"/>
    <n v="39"/>
    <s v="April"/>
    <s v="Monday"/>
    <n v="0"/>
    <s v="Night"/>
  </r>
  <r>
    <d v="2026-04-13T00:00:00"/>
    <x v="393"/>
    <s v="Chicago"/>
    <s v="Miami"/>
    <s v="Embraer E175"/>
    <n v="0.87847222222222221"/>
    <n v="0.87777777777777777"/>
    <n v="-5"/>
    <s v="None"/>
    <x v="0"/>
    <n v="1199"/>
    <n v="-1"/>
    <s v="April"/>
    <s v="Monday"/>
    <n v="1"/>
    <s v="Night"/>
  </r>
  <r>
    <d v="2026-04-14T00:00:00"/>
    <x v="37"/>
    <s v="Boston"/>
    <s v="Los Angeles"/>
    <s v="Embraer E175"/>
    <n v="0.625"/>
    <n v="0.63263888888888886"/>
    <n v="8"/>
    <s v="None"/>
    <x v="0"/>
    <n v="2606"/>
    <n v="11"/>
    <s v="April"/>
    <s v="Tuesday"/>
    <n v="1"/>
    <s v="Afternoon"/>
  </r>
  <r>
    <d v="2026-04-14T00:00:00"/>
    <x v="456"/>
    <s v="Denver"/>
    <s v="Las Vegas"/>
    <s v="CRJ900"/>
    <n v="0.75"/>
    <n v="0.81736111111111109"/>
    <n v="105"/>
    <s v="Late Aircraft"/>
    <x v="0"/>
    <n v="627"/>
    <n v="97"/>
    <s v="April"/>
    <s v="Tuesday"/>
    <n v="0"/>
    <s v="Evening"/>
  </r>
  <r>
    <d v="2026-04-14T00:00:00"/>
    <x v="248"/>
    <s v="Atlanta"/>
    <s v="Denver"/>
    <s v="Boeing 737-800"/>
    <n v="0.83333333333333337"/>
    <n v="0.82777777777777772"/>
    <n v="-2"/>
    <s v="None"/>
    <x v="0"/>
    <n v="1197"/>
    <n v="-8"/>
    <s v="April"/>
    <s v="Tuesday"/>
    <n v="1"/>
    <s v="Evening"/>
  </r>
  <r>
    <d v="2026-04-15T00:00:00"/>
    <x v="306"/>
    <s v="Miami"/>
    <s v="Chicago"/>
    <s v="Boeing 737-800"/>
    <n v="0.3611111111111111"/>
    <n v="0.36319444444444438"/>
    <n v="11"/>
    <s v="None"/>
    <x v="0"/>
    <n v="1199"/>
    <n v="3"/>
    <s v="April"/>
    <s v="Wednesday"/>
    <n v="1"/>
    <s v="Morning"/>
  </r>
  <r>
    <d v="2026-04-15T00:00:00"/>
    <x v="457"/>
    <s v="Dallas"/>
    <s v="Atlanta"/>
    <s v="Boeing 737-800"/>
    <n v="0.46180555555555558"/>
    <n v="0.45694444444444438"/>
    <n v="-11"/>
    <s v="None"/>
    <x v="0"/>
    <n v="730"/>
    <n v="-7"/>
    <s v="April"/>
    <s v="Wednesday"/>
    <n v="1"/>
    <s v="Morning"/>
  </r>
  <r>
    <d v="2026-04-15T00:00:00"/>
    <x v="188"/>
    <s v="Denver"/>
    <s v="Miami"/>
    <s v="Airbus A320"/>
    <n v="0.47916666666666669"/>
    <n v="0.47986111111111113"/>
    <n v="3"/>
    <s v="None"/>
    <x v="0"/>
    <n v="1708"/>
    <n v="1"/>
    <s v="April"/>
    <s v="Wednesday"/>
    <n v="1"/>
    <s v="Morning"/>
  </r>
  <r>
    <d v="2026-04-15T00:00:00"/>
    <x v="266"/>
    <s v="Los Angeles"/>
    <s v="Denver"/>
    <s v="Boeing 737-800"/>
    <n v="0.69444444444444442"/>
    <n v="0.70277777777777772"/>
    <n v="1"/>
    <s v="None"/>
    <x v="0"/>
    <n v="861"/>
    <n v="12"/>
    <s v="April"/>
    <s v="Wednesday"/>
    <n v="1"/>
    <s v="Afternoon"/>
  </r>
  <r>
    <d v="2026-04-15T00:00:00"/>
    <x v="277"/>
    <s v="Phoenix"/>
    <s v="Seattle"/>
    <s v="Boeing 737-800"/>
    <n v="0.72916666666666663"/>
    <n v="0.74097222222222225"/>
    <n v="13"/>
    <s v="Late Aircraft"/>
    <x v="0"/>
    <n v="1108"/>
    <n v="17"/>
    <s v="April"/>
    <s v="Wednesday"/>
    <n v="1"/>
    <s v="Evening"/>
  </r>
  <r>
    <d v="2026-04-16T00:00:00"/>
    <x v="305"/>
    <s v="New York"/>
    <s v="Boston"/>
    <s v="Boeing 737-800"/>
    <n v="0.33333333333333331"/>
    <n v="0.32916666666666672"/>
    <n v="-16"/>
    <s v="None"/>
    <x v="0"/>
    <n v="186"/>
    <n v="-6"/>
    <s v="April"/>
    <s v="Thursday"/>
    <n v="1"/>
    <s v="Morning"/>
  </r>
  <r>
    <d v="2026-04-16T00:00:00"/>
    <x v="458"/>
    <s v="Atlanta"/>
    <s v="Los Angeles"/>
    <s v="Boeing 737-800"/>
    <n v="0.63194444444444442"/>
    <m/>
    <m/>
    <s v="Carrier"/>
    <x v="1"/>
    <n v="1942"/>
    <m/>
    <s v="April"/>
    <s v="Thursday"/>
    <m/>
    <s v="Afternoon"/>
  </r>
  <r>
    <d v="2026-04-17T00:00:00"/>
    <x v="374"/>
    <s v="Los Angeles"/>
    <s v="New York"/>
    <s v="Airbus A320"/>
    <n v="0.32291666666666669"/>
    <n v="0.31805555555555548"/>
    <n v="-12"/>
    <s v="None"/>
    <x v="0"/>
    <n v="2470"/>
    <n v="-7"/>
    <s v="April"/>
    <s v="Friday"/>
    <n v="1"/>
    <s v="Morning"/>
  </r>
  <r>
    <d v="2026-04-17T00:00:00"/>
    <x v="155"/>
    <s v="Miami"/>
    <s v="Los Angeles"/>
    <s v="Embraer E175"/>
    <n v="0.67361111111111116"/>
    <n v="0.67291666666666672"/>
    <n v="-7"/>
    <s v="None"/>
    <x v="0"/>
    <n v="2338"/>
    <n v="-1"/>
    <s v="April"/>
    <s v="Friday"/>
    <n v="1"/>
    <s v="Afternoon"/>
  </r>
  <r>
    <d v="2026-04-17T00:00:00"/>
    <x v="129"/>
    <s v="Phoenix"/>
    <s v="Denver"/>
    <s v="Embraer E175"/>
    <n v="0.71180555555555558"/>
    <n v="0.71111111111111114"/>
    <n v="-6"/>
    <s v="None"/>
    <x v="0"/>
    <n v="602"/>
    <n v="-1"/>
    <s v="April"/>
    <s v="Friday"/>
    <n v="1"/>
    <s v="Evening"/>
  </r>
  <r>
    <d v="2026-04-18T00:00:00"/>
    <x v="459"/>
    <s v="Los Angeles"/>
    <s v="New York"/>
    <s v="Boeing 737-800"/>
    <n v="0.51041666666666663"/>
    <n v="0.50972222222222219"/>
    <n v="9"/>
    <s v="None"/>
    <x v="0"/>
    <n v="2470"/>
    <n v="-1"/>
    <s v="April"/>
    <s v="Saturday"/>
    <n v="1"/>
    <s v="Afternoon"/>
  </r>
  <r>
    <d v="2026-04-18T00:00:00"/>
    <x v="460"/>
    <s v="Chicago"/>
    <s v="Los Angeles"/>
    <s v="Boeing 737-800"/>
    <n v="0.63541666666666663"/>
    <n v="0.7416666666666667"/>
    <n v="148"/>
    <s v="Carrier"/>
    <x v="0"/>
    <n v="1742"/>
    <n v="153"/>
    <s v="April"/>
    <s v="Saturday"/>
    <n v="0"/>
    <s v="Afternoon"/>
  </r>
  <r>
    <d v="2026-04-18T00:00:00"/>
    <x v="430"/>
    <s v="Atlanta"/>
    <s v="Boston"/>
    <s v="Embraer E175"/>
    <n v="0.74652777777777779"/>
    <n v="0.75208333333333333"/>
    <n v="11"/>
    <s v="None"/>
    <x v="0"/>
    <n v="945"/>
    <n v="8"/>
    <s v="April"/>
    <s v="Saturday"/>
    <n v="1"/>
    <s v="Evening"/>
  </r>
  <r>
    <d v="2026-04-19T00:00:00"/>
    <x v="461"/>
    <s v="Phoenix"/>
    <s v="Los Angeles"/>
    <s v="CRJ900"/>
    <n v="0.47916666666666669"/>
    <n v="0.47361111111111109"/>
    <n v="0"/>
    <s v="None"/>
    <x v="0"/>
    <n v="370"/>
    <n v="-8"/>
    <s v="April"/>
    <s v="Sunday"/>
    <n v="1"/>
    <s v="Morning"/>
  </r>
  <r>
    <d v="2026-04-19T00:00:00"/>
    <x v="185"/>
    <s v="Chicago"/>
    <s v="Atlanta"/>
    <s v="CRJ900"/>
    <n v="0.50694444444444442"/>
    <n v="0.51875000000000004"/>
    <n v="2"/>
    <s v="Late Aircraft"/>
    <x v="0"/>
    <n v="606"/>
    <n v="17"/>
    <s v="April"/>
    <s v="Sunday"/>
    <n v="1"/>
    <s v="Afternoon"/>
  </r>
  <r>
    <d v="2026-04-19T00:00:00"/>
    <x v="307"/>
    <s v="Atlanta"/>
    <s v="Boston"/>
    <s v="Airbus A320"/>
    <n v="0.68402777777777779"/>
    <n v="0.68402777777777779"/>
    <n v="-12"/>
    <s v="None"/>
    <x v="0"/>
    <n v="945"/>
    <n v="0"/>
    <s v="April"/>
    <s v="Sunday"/>
    <n v="1"/>
    <s v="Afternoon"/>
  </r>
  <r>
    <d v="2026-04-19T00:00:00"/>
    <x v="245"/>
    <s v="Atlanta"/>
    <s v="San Francisco"/>
    <s v="Airbus A320"/>
    <n v="0.72916666666666663"/>
    <n v="0.72361111111111109"/>
    <n v="-1"/>
    <s v="None"/>
    <x v="0"/>
    <n v="2134"/>
    <n v="-8"/>
    <s v="April"/>
    <s v="Sunday"/>
    <n v="1"/>
    <s v="Evening"/>
  </r>
  <r>
    <d v="2026-04-20T00:00:00"/>
    <x v="462"/>
    <s v="Chicago"/>
    <s v="New York"/>
    <s v="Airbus A320"/>
    <n v="0.22569444444444439"/>
    <n v="0.22638888888888889"/>
    <n v="0"/>
    <s v="None"/>
    <x v="0"/>
    <n v="738"/>
    <n v="1"/>
    <s v="April"/>
    <s v="Monday"/>
    <n v="1"/>
    <s v="Morning"/>
  </r>
  <r>
    <d v="2026-04-20T00:00:00"/>
    <x v="463"/>
    <s v="Phoenix"/>
    <s v="Los Angeles"/>
    <s v="Boeing 737-800"/>
    <n v="0.37847222222222221"/>
    <n v="0.37638888888888888"/>
    <n v="2"/>
    <s v="None"/>
    <x v="0"/>
    <n v="370"/>
    <n v="-3"/>
    <s v="April"/>
    <s v="Monday"/>
    <n v="1"/>
    <s v="Morning"/>
  </r>
  <r>
    <d v="2026-04-20T00:00:00"/>
    <x v="443"/>
    <s v="Denver"/>
    <s v="Chicago"/>
    <s v="Embraer E175"/>
    <n v="0.63888888888888884"/>
    <n v="0.64236111111111116"/>
    <n v="3"/>
    <s v="None"/>
    <x v="0"/>
    <n v="886"/>
    <n v="5"/>
    <s v="April"/>
    <s v="Monday"/>
    <n v="1"/>
    <s v="Afternoon"/>
  </r>
  <r>
    <d v="2026-04-20T00:00:00"/>
    <x v="464"/>
    <s v="Chicago"/>
    <s v="Los Angeles"/>
    <s v="Embraer E175"/>
    <n v="0.71180555555555558"/>
    <m/>
    <n v="-3"/>
    <s v="None"/>
    <x v="0"/>
    <n v="1742"/>
    <n v="2"/>
    <s v="April"/>
    <s v="Monday"/>
    <n v="1"/>
    <s v="Evening"/>
  </r>
  <r>
    <d v="2026-04-21T00:00:00"/>
    <x v="109"/>
    <s v="Atlanta"/>
    <s v="Chicago"/>
    <s v="Boeing 737-800"/>
    <n v="0.60416666666666663"/>
    <n v="0.6166666666666667"/>
    <n v="7"/>
    <s v="Late Aircraft"/>
    <x v="0"/>
    <n v="606"/>
    <n v="18"/>
    <s v="April"/>
    <s v="Tuesday"/>
    <n v="1"/>
    <s v="Afternoon"/>
  </r>
  <r>
    <d v="2026-04-21T00:00:00"/>
    <x v="330"/>
    <s v="Dallas"/>
    <s v="Los Angeles"/>
    <s v="Embraer E175"/>
    <n v="0.62847222222222221"/>
    <m/>
    <m/>
    <s v="Weather"/>
    <x v="1"/>
    <n v="1232"/>
    <m/>
    <s v="April"/>
    <s v="Tuesday"/>
    <m/>
    <s v="Afternoon"/>
  </r>
  <r>
    <d v="2026-04-21T00:00:00"/>
    <x v="117"/>
    <s v="Seattle"/>
    <s v="Boston"/>
    <s v="Boeing 737-800"/>
    <n v="0.86458333333333337"/>
    <n v="0.85972222222222228"/>
    <n v="-12"/>
    <s v="None"/>
    <x v="0"/>
    <n v="2489"/>
    <n v="-7"/>
    <s v="April"/>
    <s v="Tuesday"/>
    <n v="1"/>
    <s v="Evening"/>
  </r>
  <r>
    <d v="2026-04-22T00:00:00"/>
    <x v="465"/>
    <s v="Atlanta"/>
    <s v="Miami"/>
    <s v="Boeing 737-800"/>
    <n v="0.31944444444444442"/>
    <n v="0.32291666666666669"/>
    <n v="-1"/>
    <s v="None"/>
    <x v="0"/>
    <n v="596"/>
    <n v="5"/>
    <s v="April"/>
    <s v="Wednesday"/>
    <n v="1"/>
    <s v="Morning"/>
  </r>
  <r>
    <d v="2026-04-22T00:00:00"/>
    <x v="466"/>
    <s v="Los Angeles"/>
    <s v="Chicago"/>
    <s v="Airbus A320"/>
    <n v="0.53125"/>
    <n v="0.53333333333333333"/>
    <n v="13"/>
    <s v="None"/>
    <x v="0"/>
    <n v="1742"/>
    <n v="3"/>
    <s v="April"/>
    <s v="Wednesday"/>
    <n v="1"/>
    <s v="Afternoon"/>
  </r>
  <r>
    <d v="2026-04-22T00:00:00"/>
    <x v="61"/>
    <s v="Las Vegas"/>
    <s v="Atlanta"/>
    <s v="Boeing 737-800"/>
    <n v="0.59027777777777779"/>
    <n v="0.59652777777777777"/>
    <n v="6"/>
    <s v="None"/>
    <x v="0"/>
    <n v="1743"/>
    <n v="9"/>
    <s v="April"/>
    <s v="Wednesday"/>
    <n v="1"/>
    <s v="Afternoon"/>
  </r>
  <r>
    <d v="2026-04-23T00:00:00"/>
    <x v="331"/>
    <s v="Miami"/>
    <s v="Seattle"/>
    <s v="Embraer E175"/>
    <n v="0.46180555555555558"/>
    <n v="0.46597222222222218"/>
    <n v="1"/>
    <s v="None"/>
    <x v="0"/>
    <n v="2722"/>
    <n v="6"/>
    <s v="April"/>
    <s v="Thursday"/>
    <n v="1"/>
    <s v="Morning"/>
  </r>
  <r>
    <d v="2026-04-23T00:00:00"/>
    <x v="414"/>
    <s v="Seattle"/>
    <s v="Dallas"/>
    <s v="Boeing 737-800"/>
    <n v="0.625"/>
    <n v="0.64652777777777781"/>
    <n v="23"/>
    <s v="Air Traffic Control"/>
    <x v="0"/>
    <n v="1658"/>
    <n v="31"/>
    <s v="April"/>
    <s v="Thursday"/>
    <n v="0"/>
    <s v="Afternoon"/>
  </r>
  <r>
    <d v="2026-04-23T00:00:00"/>
    <x v="227"/>
    <s v="New York"/>
    <s v="Chicago"/>
    <s v="Airbus A320"/>
    <n v="0.79513888888888884"/>
    <n v="0.80277777777777781"/>
    <n v="3"/>
    <s v="None"/>
    <x v="0"/>
    <n v="738"/>
    <n v="11"/>
    <s v="April"/>
    <s v="Thursday"/>
    <n v="1"/>
    <s v="Evening"/>
  </r>
  <r>
    <d v="2026-04-23T00:00:00"/>
    <x v="467"/>
    <s v="Chicago"/>
    <s v="Phoenix"/>
    <s v="Airbus A320"/>
    <n v="0.81597222222222221"/>
    <n v="0.8125"/>
    <n v="-10"/>
    <s v="None"/>
    <x v="0"/>
    <n v="1438"/>
    <n v="-5"/>
    <s v="April"/>
    <s v="Thursday"/>
    <n v="1"/>
    <s v="Evening"/>
  </r>
  <r>
    <d v="2026-04-24T00:00:00"/>
    <x v="77"/>
    <s v="Atlanta"/>
    <s v="Boston"/>
    <s v="Embraer E175"/>
    <n v="0.46527777777777779"/>
    <n v="0.46805555555555561"/>
    <n v="14"/>
    <s v="None"/>
    <x v="0"/>
    <n v="945"/>
    <n v="4"/>
    <s v="April"/>
    <s v="Friday"/>
    <n v="1"/>
    <s v="Morning"/>
  </r>
  <r>
    <d v="2026-04-24T00:00:00"/>
    <x v="313"/>
    <s v="Chicago"/>
    <s v="Las Vegas"/>
    <s v="Embraer E175"/>
    <n v="0.53819444444444442"/>
    <n v="0.56111111111111112"/>
    <n v="25"/>
    <s v="Air Traffic Control"/>
    <x v="0"/>
    <n v="1511"/>
    <n v="33"/>
    <s v="April"/>
    <s v="Friday"/>
    <n v="0"/>
    <s v="Afternoon"/>
  </r>
  <r>
    <d v="2026-04-24T00:00:00"/>
    <x v="49"/>
    <s v="Dallas"/>
    <s v="Chicago"/>
    <s v="CRJ900"/>
    <n v="0.73611111111111116"/>
    <n v="0.8208333333333333"/>
    <n v="127"/>
    <s v="Weather"/>
    <x v="0"/>
    <n v="802"/>
    <n v="122"/>
    <s v="April"/>
    <s v="Friday"/>
    <n v="0"/>
    <s v="Evening"/>
  </r>
  <r>
    <d v="2026-04-25T00:00:00"/>
    <x v="59"/>
    <s v="Los Angeles"/>
    <s v="Las Vegas"/>
    <s v="Embraer E175"/>
    <n v="0.25347222222222221"/>
    <n v="0.25069444444444439"/>
    <n v="6"/>
    <s v="None"/>
    <x v="0"/>
    <n v="236"/>
    <n v="-4"/>
    <s v="April"/>
    <s v="Saturday"/>
    <n v="1"/>
    <s v="Morning"/>
  </r>
  <r>
    <d v="2026-04-25T00:00:00"/>
    <x v="468"/>
    <s v="Chicago"/>
    <s v="Atlanta"/>
    <s v="Boeing 737-800"/>
    <n v="0.57638888888888884"/>
    <n v="0.58263888888888893"/>
    <n v="0"/>
    <s v="None"/>
    <x v="0"/>
    <n v="606"/>
    <n v="9"/>
    <s v="April"/>
    <s v="Saturday"/>
    <n v="1"/>
    <s v="Afternoon"/>
  </r>
  <r>
    <d v="2026-04-25T00:00:00"/>
    <x v="303"/>
    <s v="Los Angeles"/>
    <s v="Denver"/>
    <s v="Airbus A320"/>
    <n v="0.68055555555555558"/>
    <n v="0.69791666666666663"/>
    <n v="20"/>
    <s v="Carrier"/>
    <x v="0"/>
    <n v="861"/>
    <n v="25"/>
    <s v="April"/>
    <s v="Saturday"/>
    <n v="0"/>
    <s v="Afternoon"/>
  </r>
  <r>
    <d v="2026-04-26T00:00:00"/>
    <x v="469"/>
    <s v="Chicago"/>
    <s v="Dallas"/>
    <s v="Embraer E175"/>
    <n v="0.64236111111111116"/>
    <n v="0.64375000000000004"/>
    <n v="9"/>
    <s v="None"/>
    <x v="0"/>
    <n v="802"/>
    <n v="2"/>
    <s v="April"/>
    <s v="Sunday"/>
    <n v="1"/>
    <s v="Afternoon"/>
  </r>
  <r>
    <d v="2026-04-27T00:00:00"/>
    <x v="470"/>
    <s v="Chicago"/>
    <s v="Atlanta"/>
    <s v="Airbus A320"/>
    <n v="0.2673611111111111"/>
    <n v="0.26805555555555549"/>
    <n v="10"/>
    <s v="None"/>
    <x v="0"/>
    <n v="606"/>
    <n v="1"/>
    <s v="April"/>
    <s v="Monday"/>
    <n v="1"/>
    <s v="Morning"/>
  </r>
  <r>
    <d v="2026-04-27T00:00:00"/>
    <x v="471"/>
    <s v="Dallas"/>
    <s v="Los Angeles"/>
    <s v="Airbus A320"/>
    <n v="0.82291666666666663"/>
    <n v="0.83125000000000004"/>
    <n v="8"/>
    <s v="None"/>
    <x v="0"/>
    <n v="1232"/>
    <n v="12"/>
    <s v="April"/>
    <s v="Monday"/>
    <n v="1"/>
    <s v="Evening"/>
  </r>
  <r>
    <d v="2026-04-28T00:00:00"/>
    <x v="333"/>
    <s v="Miami"/>
    <s v="Atlanta"/>
    <s v="Boeing 737-800"/>
    <n v="0.41666666666666669"/>
    <n v="0.42152777777777778"/>
    <n v="8"/>
    <s v="None"/>
    <x v="0"/>
    <n v="596"/>
    <n v="7"/>
    <s v="April"/>
    <s v="Tuesday"/>
    <n v="1"/>
    <s v="Morning"/>
  </r>
  <r>
    <d v="2026-04-28T00:00:00"/>
    <x v="472"/>
    <s v="New York"/>
    <s v="Las Vegas"/>
    <s v="Airbus A320"/>
    <n v="0.50347222222222221"/>
    <n v="0.5083333333333333"/>
    <n v="-4"/>
    <s v="None"/>
    <x v="0"/>
    <n v="2243"/>
    <n v="7"/>
    <s v="April"/>
    <s v="Tuesday"/>
    <n v="1"/>
    <s v="Afternoon"/>
  </r>
  <r>
    <d v="2026-04-28T00:00:00"/>
    <x v="473"/>
    <s v="Atlanta"/>
    <s v="San Francisco"/>
    <s v="Boeing 737-800"/>
    <n v="0.59375"/>
    <n v="0.59097222222222223"/>
    <n v="-5"/>
    <s v="None"/>
    <x v="0"/>
    <n v="2134"/>
    <n v="-4"/>
    <s v="April"/>
    <s v="Tuesday"/>
    <n v="1"/>
    <s v="Afternoon"/>
  </r>
  <r>
    <d v="2026-04-28T00:00:00"/>
    <x v="331"/>
    <s v="Los Angeles"/>
    <s v="Dallas"/>
    <s v="Airbus A320"/>
    <n v="0.67708333333333337"/>
    <n v="0.67361111111111116"/>
    <n v="-4"/>
    <s v="None"/>
    <x v="0"/>
    <n v="1232"/>
    <n v="-5"/>
    <s v="April"/>
    <s v="Tuesday"/>
    <n v="1"/>
    <s v="Afternoon"/>
  </r>
  <r>
    <d v="2026-04-28T00:00:00"/>
    <x v="28"/>
    <s v="Los Angeles"/>
    <s v="Seattle"/>
    <s v="CRJ900"/>
    <n v="0.80208333333333337"/>
    <n v="0.80347222222222225"/>
    <n v="-10"/>
    <s v="None"/>
    <x v="0"/>
    <n v="955"/>
    <n v="2"/>
    <s v="April"/>
    <s v="Tuesday"/>
    <n v="1"/>
    <s v="Evening"/>
  </r>
  <r>
    <d v="2026-04-28T00:00:00"/>
    <x v="474"/>
    <s v="Atlanta"/>
    <s v="Phoenix"/>
    <s v="Airbus A320"/>
    <n v="0.82638888888888884"/>
    <n v="0.8208333333333333"/>
    <n v="-5"/>
    <s v="None"/>
    <x v="0"/>
    <n v="1584"/>
    <n v="-8"/>
    <s v="April"/>
    <s v="Tuesday"/>
    <n v="1"/>
    <s v="Evening"/>
  </r>
  <r>
    <d v="2026-04-29T00:00:00"/>
    <x v="475"/>
    <s v="New York"/>
    <s v="Phoenix"/>
    <s v="Airbus A320"/>
    <n v="0.3888888888888889"/>
    <n v="0.38958333333333328"/>
    <n v="-9"/>
    <s v="None"/>
    <x v="0"/>
    <n v="2149"/>
    <n v="1"/>
    <s v="April"/>
    <s v="Wednesday"/>
    <n v="1"/>
    <s v="Morning"/>
  </r>
  <r>
    <d v="2026-04-29T00:00:00"/>
    <x v="309"/>
    <s v="Los Angeles"/>
    <s v="Seattle"/>
    <s v="Embraer E175"/>
    <n v="0.66666666666666663"/>
    <n v="0.67222222222222228"/>
    <n v="0"/>
    <s v="None"/>
    <x v="0"/>
    <n v="955"/>
    <n v="8"/>
    <s v="April"/>
    <s v="Wednesday"/>
    <n v="1"/>
    <s v="Afternoon"/>
  </r>
  <r>
    <d v="2026-04-29T00:00:00"/>
    <x v="45"/>
    <s v="New York"/>
    <s v="Seattle"/>
    <s v="Airbus A320"/>
    <n v="0.73263888888888884"/>
    <n v="0.72777777777777775"/>
    <n v="-13"/>
    <s v="None"/>
    <x v="0"/>
    <n v="2415"/>
    <n v="-7"/>
    <s v="April"/>
    <s v="Wednesday"/>
    <n v="1"/>
    <s v="Evening"/>
  </r>
  <r>
    <d v="2026-04-30T00:00:00"/>
    <x v="476"/>
    <s v="Denver"/>
    <s v="Chicago"/>
    <s v="Boeing 737-800"/>
    <n v="0.59722222222222221"/>
    <n v="0.6020833333333333"/>
    <n v="11"/>
    <s v="None"/>
    <x v="0"/>
    <n v="886"/>
    <n v="7"/>
    <s v="April"/>
    <s v="Thursday"/>
    <n v="1"/>
    <s v="Afternoon"/>
  </r>
  <r>
    <d v="2026-04-30T00:00:00"/>
    <x v="477"/>
    <s v="Chicago"/>
    <s v="Dallas"/>
    <s v="Embraer E175"/>
    <n v="0.73611111111111116"/>
    <n v="0.73958333333333337"/>
    <n v="7"/>
    <s v="None"/>
    <x v="0"/>
    <n v="802"/>
    <n v="5"/>
    <s v="April"/>
    <s v="Thursday"/>
    <n v="1"/>
    <s v="Evening"/>
  </r>
  <r>
    <d v="2026-04-30T00:00:00"/>
    <x v="478"/>
    <s v="Boston"/>
    <s v="Denver"/>
    <s v="Boeing 737-800"/>
    <n v="0.82291666666666663"/>
    <n v="0.81874999999999998"/>
    <n v="-6"/>
    <s v="None"/>
    <x v="0"/>
    <n v="1749"/>
    <n v="-6"/>
    <s v="April"/>
    <s v="Thursday"/>
    <n v="1"/>
    <s v="Evening"/>
  </r>
  <r>
    <d v="2026-05-01T00:00:00"/>
    <x v="251"/>
    <s v="Atlanta"/>
    <s v="Las Vegas"/>
    <s v="Boeing 737-800"/>
    <n v="0.3263888888888889"/>
    <n v="0.3347222222222222"/>
    <n v="12"/>
    <s v="None"/>
    <x v="0"/>
    <n v="1743"/>
    <n v="12"/>
    <s v="May"/>
    <s v="Friday"/>
    <n v="1"/>
    <s v="Morning"/>
  </r>
  <r>
    <d v="2026-05-01T00:00:00"/>
    <x v="121"/>
    <s v="Denver"/>
    <s v="Dallas"/>
    <s v="Airbus A320"/>
    <n v="0.47916666666666669"/>
    <n v="0.47430555555555548"/>
    <n v="-10"/>
    <s v="None"/>
    <x v="0"/>
    <n v="641"/>
    <n v="-7"/>
    <s v="May"/>
    <s v="Friday"/>
    <n v="1"/>
    <s v="Morning"/>
  </r>
  <r>
    <d v="2026-05-01T00:00:00"/>
    <x v="479"/>
    <s v="Denver"/>
    <s v="Phoenix"/>
    <s v="CRJ900"/>
    <n v="0.73263888888888884"/>
    <n v="0.7270833333333333"/>
    <n v="0"/>
    <s v="None"/>
    <x v="0"/>
    <n v="602"/>
    <n v="-8"/>
    <s v="May"/>
    <s v="Friday"/>
    <n v="1"/>
    <s v="Evening"/>
  </r>
  <r>
    <d v="2026-05-02T00:00:00"/>
    <x v="446"/>
    <s v="Los Angeles"/>
    <s v="Phoenix"/>
    <s v="Airbus A320"/>
    <n v="0.40972222222222221"/>
    <n v="0.41597222222222219"/>
    <n v="19"/>
    <s v="None"/>
    <x v="0"/>
    <n v="370"/>
    <n v="9"/>
    <s v="May"/>
    <s v="Saturday"/>
    <n v="0"/>
    <s v="Morning"/>
  </r>
  <r>
    <d v="2026-05-02T00:00:00"/>
    <x v="216"/>
    <s v="Los Angeles"/>
    <s v="Dallas"/>
    <s v="Airbus A320"/>
    <n v="0.70138888888888884"/>
    <m/>
    <m/>
    <s v="Weather"/>
    <x v="1"/>
    <n v="1232"/>
    <m/>
    <s v="May"/>
    <s v="Saturday"/>
    <m/>
    <s v="Afternoon"/>
  </r>
  <r>
    <d v="2026-05-02T00:00:00"/>
    <x v="322"/>
    <s v="Denver"/>
    <s v="Los Angeles"/>
    <s v="Embraer E175"/>
    <n v="0.83680555555555558"/>
    <n v="0.83680555555555558"/>
    <n v="-9"/>
    <s v="None"/>
    <x v="0"/>
    <n v="861"/>
    <n v="0"/>
    <s v="May"/>
    <s v="Saturday"/>
    <n v="1"/>
    <s v="Evening"/>
  </r>
  <r>
    <d v="2026-05-03T00:00:00"/>
    <x v="480"/>
    <s v="Las Vegas"/>
    <s v="Chicago"/>
    <s v="CRJ900"/>
    <n v="0.45833333333333331"/>
    <n v="0.50972222222222219"/>
    <n v="72"/>
    <s v="Carrier"/>
    <x v="0"/>
    <n v="1511"/>
    <n v="74"/>
    <s v="May"/>
    <s v="Sunday"/>
    <n v="0"/>
    <s v="Morning"/>
  </r>
  <r>
    <d v="2026-05-03T00:00:00"/>
    <x v="145"/>
    <s v="Atlanta"/>
    <s v="Chicago"/>
    <s v="Embraer E175"/>
    <n v="0.47569444444444442"/>
    <n v="0.47708333333333341"/>
    <n v="4"/>
    <s v="None"/>
    <x v="0"/>
    <n v="606"/>
    <n v="2"/>
    <s v="May"/>
    <s v="Sunday"/>
    <n v="1"/>
    <s v="Morning"/>
  </r>
  <r>
    <d v="2026-05-03T00:00:00"/>
    <x v="302"/>
    <s v="Atlanta"/>
    <s v="Miami"/>
    <s v="Boeing 737-800"/>
    <n v="0.58333333333333337"/>
    <n v="0.63541666666666663"/>
    <n v="63"/>
    <s v="Late Aircraft"/>
    <x v="0"/>
    <n v="596"/>
    <n v="75"/>
    <s v="May"/>
    <s v="Sunday"/>
    <n v="0"/>
    <s v="Afternoon"/>
  </r>
  <r>
    <d v="2026-05-03T00:00:00"/>
    <x v="323"/>
    <s v="Boston"/>
    <s v="Atlanta"/>
    <s v="Boeing 737-800"/>
    <n v="0.69097222222222221"/>
    <n v="0.68819444444444444"/>
    <n v="6"/>
    <s v="None"/>
    <x v="0"/>
    <n v="945"/>
    <n v="-4"/>
    <s v="May"/>
    <s v="Sunday"/>
    <n v="1"/>
    <s v="Afternoon"/>
  </r>
  <r>
    <d v="2026-05-04T00:00:00"/>
    <x v="314"/>
    <s v="Denver"/>
    <s v="Miami"/>
    <s v="Airbus A320"/>
    <n v="0.25347222222222221"/>
    <n v="0.25138888888888888"/>
    <n v="7"/>
    <s v="None"/>
    <x v="0"/>
    <n v="1708"/>
    <n v="-3"/>
    <s v="May"/>
    <s v="Monday"/>
    <n v="1"/>
    <s v="Morning"/>
  </r>
  <r>
    <d v="2026-05-04T00:00:00"/>
    <x v="111"/>
    <s v="Miami"/>
    <s v="Dallas"/>
    <s v="Airbus A320"/>
    <n v="0.2951388888888889"/>
    <n v="0.29652777777777778"/>
    <n v="8"/>
    <s v="None"/>
    <x v="0"/>
    <n v="1120"/>
    <n v="2"/>
    <s v="May"/>
    <s v="Monday"/>
    <n v="1"/>
    <s v="Morning"/>
  </r>
  <r>
    <d v="2026-05-05T00:00:00"/>
    <x v="399"/>
    <s v="Denver"/>
    <s v="New York"/>
    <s v="Boeing 737-800"/>
    <n v="0.24305555555555561"/>
    <n v="0.25138888888888888"/>
    <n v="1"/>
    <s v="None"/>
    <x v="0"/>
    <n v="1622"/>
    <n v="12"/>
    <s v="May"/>
    <s v="Tuesday"/>
    <n v="1"/>
    <s v="Morning"/>
  </r>
  <r>
    <d v="2026-05-05T00:00:00"/>
    <x v="481"/>
    <s v="Atlanta"/>
    <s v="New York"/>
    <s v="CRJ900"/>
    <n v="0.71527777777777779"/>
    <n v="0.81180555555555556"/>
    <n v="124"/>
    <s v="Air Traffic Control"/>
    <x v="0"/>
    <n v="759"/>
    <n v="139"/>
    <s v="May"/>
    <s v="Tuesday"/>
    <n v="0"/>
    <s v="Evening"/>
  </r>
  <r>
    <d v="2026-05-05T00:00:00"/>
    <x v="482"/>
    <s v="Dallas"/>
    <s v="New York"/>
    <s v="Boeing 737-800"/>
    <n v="0.78472222222222221"/>
    <n v="0.78888888888888886"/>
    <n v="3"/>
    <s v="None"/>
    <x v="0"/>
    <n v="1389"/>
    <n v="6"/>
    <s v="May"/>
    <s v="Tuesday"/>
    <n v="1"/>
    <s v="Evening"/>
  </r>
  <r>
    <d v="2026-05-06T00:00:00"/>
    <x v="371"/>
    <s v="Chicago"/>
    <s v="Atlanta"/>
    <s v="Airbus A320"/>
    <n v="0.3263888888888889"/>
    <n v="0.36249999999999999"/>
    <n v="41"/>
    <s v="Late Aircraft"/>
    <x v="0"/>
    <n v="606"/>
    <n v="52"/>
    <s v="May"/>
    <s v="Wednesday"/>
    <n v="0"/>
    <s v="Morning"/>
  </r>
  <r>
    <d v="2026-05-06T00:00:00"/>
    <x v="238"/>
    <s v="San Francisco"/>
    <s v="New York"/>
    <s v="Airbus A320"/>
    <n v="0.51736111111111116"/>
    <m/>
    <n v="32"/>
    <s v="Late Aircraft"/>
    <x v="0"/>
    <n v="2580"/>
    <n v="28"/>
    <s v="May"/>
    <s v="Wednesday"/>
    <n v="0"/>
    <s v="Afternoon"/>
  </r>
  <r>
    <d v="2026-05-06T00:00:00"/>
    <x v="442"/>
    <s v="Denver"/>
    <s v="Los Angeles"/>
    <s v="Boeing 737-800"/>
    <n v="0.61111111111111116"/>
    <n v="0.60972222222222228"/>
    <n v="-12"/>
    <s v="None"/>
    <x v="0"/>
    <n v="861"/>
    <n v="-2"/>
    <s v="May"/>
    <s v="Wednesday"/>
    <n v="1"/>
    <s v="Afternoon"/>
  </r>
  <r>
    <d v="2026-05-06T00:00:00"/>
    <x v="483"/>
    <s v="Dallas"/>
    <s v="Atlanta"/>
    <s v="Boeing 737-800"/>
    <n v="0.63888888888888884"/>
    <n v="0.66597222222222219"/>
    <m/>
    <s v="Carrier"/>
    <x v="0"/>
    <n v="730"/>
    <n v="39"/>
    <s v="May"/>
    <s v="Wednesday"/>
    <m/>
    <s v="Afternoon"/>
  </r>
  <r>
    <d v="2026-05-07T00:00:00"/>
    <x v="484"/>
    <s v="Phoenix"/>
    <s v="Las Vegas"/>
    <s v="Airbus A320"/>
    <n v="0.31944444444444442"/>
    <n v="0.32500000000000001"/>
    <n v="5"/>
    <s v="None"/>
    <x v="0"/>
    <n v="256"/>
    <n v="8"/>
    <s v="May"/>
    <s v="Thursday"/>
    <n v="1"/>
    <s v="Morning"/>
  </r>
  <r>
    <d v="2026-05-07T00:00:00"/>
    <x v="485"/>
    <s v="Los Angeles"/>
    <s v="Denver"/>
    <s v="CRJ900"/>
    <n v="0.36805555555555558"/>
    <n v="0.36319444444444438"/>
    <n v="-3"/>
    <s v="None"/>
    <x v="0"/>
    <n v="861"/>
    <n v="-7"/>
    <s v="May"/>
    <s v="Thursday"/>
    <n v="1"/>
    <s v="Morning"/>
  </r>
  <r>
    <d v="2026-05-07T00:00:00"/>
    <x v="313"/>
    <s v="Dallas"/>
    <s v="Denver"/>
    <s v="Boeing 737-800"/>
    <n v="0.64236111111111116"/>
    <n v="0.64166666666666672"/>
    <n v="-9"/>
    <s v="None"/>
    <x v="0"/>
    <n v="641"/>
    <n v="-1"/>
    <s v="May"/>
    <s v="Thursday"/>
    <n v="1"/>
    <s v="Afternoon"/>
  </r>
  <r>
    <d v="2026-05-07T00:00:00"/>
    <x v="173"/>
    <s v="Miami"/>
    <s v="Chicago"/>
    <s v="CRJ900"/>
    <n v="0.65277777777777779"/>
    <n v="0.66111111111111109"/>
    <n v="5"/>
    <s v="None"/>
    <x v="0"/>
    <n v="1199"/>
    <n v="12"/>
    <s v="May"/>
    <s v="Thursday"/>
    <n v="1"/>
    <s v="Afternoon"/>
  </r>
  <r>
    <d v="2026-05-08T00:00:00"/>
    <x v="475"/>
    <s v="San Francisco"/>
    <s v="Denver"/>
    <s v="Boeing 737-800"/>
    <n v="0.59027777777777779"/>
    <n v="0.58680555555555558"/>
    <n v="-4"/>
    <s v="None"/>
    <x v="0"/>
    <n v="965"/>
    <n v="-5"/>
    <s v="May"/>
    <s v="Friday"/>
    <n v="1"/>
    <s v="Afternoon"/>
  </r>
  <r>
    <d v="2026-05-08T00:00:00"/>
    <x v="338"/>
    <s v="San Francisco"/>
    <s v="Atlanta"/>
    <s v="Boeing 737-800"/>
    <n v="0.67013888888888884"/>
    <n v="0.6645833333333333"/>
    <n v="1"/>
    <s v="None"/>
    <x v="0"/>
    <n v="2134"/>
    <n v="-8"/>
    <s v="May"/>
    <s v="Friday"/>
    <n v="1"/>
    <s v="Afternoon"/>
  </r>
  <r>
    <d v="2026-05-09T00:00:00"/>
    <x v="274"/>
    <s v="New York"/>
    <s v="Dallas"/>
    <s v="Boeing 737-800"/>
    <n v="0.42708333333333331"/>
    <n v="0.43402777777777779"/>
    <n v="13"/>
    <s v="None"/>
    <x v="0"/>
    <n v="1389"/>
    <n v="10"/>
    <s v="May"/>
    <s v="Saturday"/>
    <n v="1"/>
    <s v="Morning"/>
  </r>
  <r>
    <d v="2026-05-09T00:00:00"/>
    <x v="272"/>
    <s v="Boston"/>
    <s v="Dallas"/>
    <s v="Boeing 737-800"/>
    <n v="0.61111111111111116"/>
    <n v="0.60763888888888884"/>
    <n v="2"/>
    <s v="None"/>
    <x v="0"/>
    <n v="1559"/>
    <n v="-5"/>
    <s v="May"/>
    <s v="Saturday"/>
    <n v="1"/>
    <s v="Afternoon"/>
  </r>
  <r>
    <d v="2026-05-09T00:00:00"/>
    <x v="350"/>
    <s v="Miami"/>
    <s v="Dallas"/>
    <s v="Boeing 737-800"/>
    <n v="0.70833333333333337"/>
    <n v="0.73541666666666672"/>
    <n v="41"/>
    <s v="Late Aircraft"/>
    <x v="0"/>
    <n v="1120"/>
    <n v="39"/>
    <s v="May"/>
    <s v="Saturday"/>
    <n v="0"/>
    <s v="Evening"/>
  </r>
  <r>
    <d v="2026-05-10T00:00:00"/>
    <x v="361"/>
    <s v="Boston"/>
    <s v="San Francisco"/>
    <s v="Airbus A320"/>
    <n v="0.30208333333333331"/>
    <n v="0.29722222222222222"/>
    <n v="-14"/>
    <s v="None"/>
    <x v="0"/>
    <n v="2698"/>
    <n v="-7"/>
    <s v="May"/>
    <s v="Sunday"/>
    <n v="1"/>
    <s v="Morning"/>
  </r>
  <r>
    <d v="2026-05-10T00:00:00"/>
    <x v="144"/>
    <s v="Chicago"/>
    <s v="Boston"/>
    <s v="CRJ900"/>
    <n v="0.40972222222222221"/>
    <n v="0.40694444444444439"/>
    <n v="-6"/>
    <s v="None"/>
    <x v="0"/>
    <n v="864"/>
    <n v="-4"/>
    <s v="May"/>
    <s v="Sunday"/>
    <n v="1"/>
    <s v="Morning"/>
  </r>
  <r>
    <d v="2026-05-10T00:00:00"/>
    <x v="486"/>
    <s v="Denver"/>
    <s v="Dallas"/>
    <s v="Boeing 737-800"/>
    <n v="0.63888888888888884"/>
    <n v="0.66319444444444442"/>
    <n v="36"/>
    <s v="Carrier"/>
    <x v="0"/>
    <n v="641"/>
    <n v="35"/>
    <s v="May"/>
    <s v="Sunday"/>
    <n v="0"/>
    <s v="Afternoon"/>
  </r>
  <r>
    <d v="2026-05-11T00:00:00"/>
    <x v="487"/>
    <s v="New York"/>
    <s v="Los Angeles"/>
    <s v="Airbus A320"/>
    <n v="0.29166666666666669"/>
    <n v="0.31180555555555561"/>
    <n v="32"/>
    <s v="Late Aircraft"/>
    <x v="0"/>
    <n v="2470"/>
    <n v="29"/>
    <s v="May"/>
    <s v="Monday"/>
    <n v="0"/>
    <s v="Morning"/>
  </r>
  <r>
    <d v="2026-05-11T00:00:00"/>
    <x v="188"/>
    <s v="Los Angeles"/>
    <s v="Atlanta"/>
    <s v="Boeing 737-800"/>
    <n v="0.61111111111111116"/>
    <n v="0.6069444444444444"/>
    <n v="-11"/>
    <s v="None"/>
    <x v="0"/>
    <n v="1942"/>
    <n v="-6"/>
    <s v="May"/>
    <s v="Monday"/>
    <n v="1"/>
    <s v="Afternoon"/>
  </r>
  <r>
    <d v="2026-05-12T00:00:00"/>
    <x v="294"/>
    <s v="Miami"/>
    <s v="Phoenix"/>
    <s v="Boeing 737-800"/>
    <n v="0.43055555555555558"/>
    <n v="0.42916666666666659"/>
    <n v="-8"/>
    <s v="None"/>
    <x v="0"/>
    <n v="1969"/>
    <n v="-2"/>
    <s v="May"/>
    <s v="Tuesday"/>
    <n v="1"/>
    <s v="Morning"/>
  </r>
  <r>
    <d v="2026-05-12T00:00:00"/>
    <x v="488"/>
    <s v="Miami"/>
    <s v="Phoenix"/>
    <s v="Airbus A320"/>
    <n v="0.64583333333333337"/>
    <m/>
    <n v="-4"/>
    <s v="None"/>
    <x v="0"/>
    <n v="1969"/>
    <n v="-2"/>
    <s v="May"/>
    <s v="Tuesday"/>
    <n v="1"/>
    <s v="Afternoon"/>
  </r>
  <r>
    <d v="2026-05-13T00:00:00"/>
    <x v="49"/>
    <s v="Seattle"/>
    <s v="Boston"/>
    <s v="Boeing 737-800"/>
    <n v="0.53472222222222221"/>
    <n v="0.55625000000000002"/>
    <n v="26"/>
    <s v="Carrier"/>
    <x v="0"/>
    <n v="2489"/>
    <n v="31"/>
    <s v="May"/>
    <s v="Wednesday"/>
    <n v="0"/>
    <s v="Afternoon"/>
  </r>
  <r>
    <d v="2026-05-13T00:00:00"/>
    <x v="312"/>
    <s v="Denver"/>
    <s v="Seattle"/>
    <s v="Airbus A320"/>
    <n v="0.73958333333333337"/>
    <n v="0.74652777777777779"/>
    <n v="10"/>
    <s v="None"/>
    <x v="0"/>
    <n v="1023"/>
    <n v="10"/>
    <s v="May"/>
    <s v="Wednesday"/>
    <n v="1"/>
    <s v="Evening"/>
  </r>
  <r>
    <d v="2026-05-13T00:00:00"/>
    <x v="426"/>
    <s v="Denver"/>
    <s v="New York"/>
    <s v="CRJ900"/>
    <n v="0.74652777777777779"/>
    <n v="0.75277777777777777"/>
    <n v="15"/>
    <s v="None"/>
    <x v="0"/>
    <n v="1622"/>
    <n v="9"/>
    <s v="May"/>
    <s v="Wednesday"/>
    <n v="1"/>
    <s v="Evening"/>
  </r>
  <r>
    <d v="2026-05-14T00:00:00"/>
    <x v="489"/>
    <s v="Chicago"/>
    <s v="Las Vegas"/>
    <s v="Embraer E175"/>
    <n v="0.39583333333333331"/>
    <n v="0.39791666666666659"/>
    <n v="-5"/>
    <s v="None"/>
    <x v="0"/>
    <n v="1511"/>
    <n v="3"/>
    <s v="May"/>
    <s v="Thursday"/>
    <n v="1"/>
    <s v="Morning"/>
  </r>
  <r>
    <d v="2026-05-15T00:00:00"/>
    <x v="490"/>
    <s v="Dallas"/>
    <s v="San Francisco"/>
    <s v="Embraer E175"/>
    <n v="0.5625"/>
    <n v="0.56111111111111112"/>
    <n v="0"/>
    <s v="None"/>
    <x v="0"/>
    <n v="1462"/>
    <n v="-2"/>
    <s v="May"/>
    <s v="Friday"/>
    <n v="1"/>
    <s v="Afternoon"/>
  </r>
  <r>
    <d v="2026-05-15T00:00:00"/>
    <x v="491"/>
    <s v="Dallas"/>
    <s v="Las Vegas"/>
    <s v="Boeing 737-800"/>
    <n v="0.66319444444444442"/>
    <n v="0.67013888888888884"/>
    <n v="7"/>
    <s v="None"/>
    <x v="0"/>
    <n v="1053"/>
    <n v="10"/>
    <s v="May"/>
    <s v="Friday"/>
    <n v="1"/>
    <s v="Afternoon"/>
  </r>
  <r>
    <d v="2026-05-16T00:00:00"/>
    <x v="61"/>
    <s v="Atlanta"/>
    <s v="Chicago"/>
    <s v="Airbus A320"/>
    <n v="0.4513888888888889"/>
    <n v="0.45347222222222222"/>
    <n v="3"/>
    <s v="None"/>
    <x v="0"/>
    <n v="606"/>
    <n v="3"/>
    <s v="May"/>
    <s v="Saturday"/>
    <n v="1"/>
    <s v="Morning"/>
  </r>
  <r>
    <d v="2026-05-16T00:00:00"/>
    <x v="157"/>
    <s v="Chicago"/>
    <s v="Seattle"/>
    <s v="Boeing 737-800"/>
    <n v="0.67361111111111116"/>
    <n v="0.68472222222222223"/>
    <n v="13"/>
    <s v="Late Aircraft"/>
    <x v="0"/>
    <n v="1717"/>
    <n v="16"/>
    <s v="May"/>
    <s v="Saturday"/>
    <n v="1"/>
    <s v="Afternoon"/>
  </r>
  <r>
    <d v="2026-05-18T00:00:00"/>
    <x v="177"/>
    <s v="Boston"/>
    <s v="New York"/>
    <s v="Boeing 737-800"/>
    <n v="0.3923611111111111"/>
    <n v="0.38750000000000001"/>
    <n v="-11"/>
    <s v="None"/>
    <x v="0"/>
    <n v="186"/>
    <n v="-7"/>
    <s v="May"/>
    <s v="Monday"/>
    <n v="1"/>
    <s v="Morning"/>
  </r>
  <r>
    <d v="2026-05-18T00:00:00"/>
    <x v="294"/>
    <s v="New York"/>
    <s v="Dallas"/>
    <s v="Boeing 737-800"/>
    <n v="0.69444444444444442"/>
    <n v="0.69097222222222221"/>
    <n v="3"/>
    <s v="None"/>
    <x v="0"/>
    <n v="1389"/>
    <n v="-5"/>
    <s v="May"/>
    <s v="Monday"/>
    <n v="1"/>
    <s v="Afternoon"/>
  </r>
  <r>
    <d v="2026-05-18T00:00:00"/>
    <x v="86"/>
    <s v="Miami"/>
    <s v="Chicago"/>
    <s v="Boeing 737-800"/>
    <n v="0.85416666666666663"/>
    <n v="0.90277777777777779"/>
    <n v="61"/>
    <s v="Carrier"/>
    <x v="0"/>
    <n v="1199"/>
    <n v="70"/>
    <s v="May"/>
    <s v="Monday"/>
    <n v="0"/>
    <s v="Evening"/>
  </r>
  <r>
    <d v="2026-05-19T00:00:00"/>
    <x v="492"/>
    <s v="San Francisco"/>
    <s v="Dallas"/>
    <s v="Embraer E175"/>
    <n v="0.35069444444444442"/>
    <n v="0.37916666666666671"/>
    <n v="27"/>
    <s v="Carrier"/>
    <x v="0"/>
    <n v="1462"/>
    <n v="41"/>
    <s v="May"/>
    <s v="Tuesday"/>
    <n v="0"/>
    <s v="Morning"/>
  </r>
  <r>
    <d v="2026-05-19T00:00:00"/>
    <x v="399"/>
    <s v="San Francisco"/>
    <s v="Los Angeles"/>
    <s v="Airbus A320"/>
    <n v="0.4236111111111111"/>
    <n v="0.41805555555555562"/>
    <n v="1"/>
    <s v="None"/>
    <x v="0"/>
    <n v="338"/>
    <n v="-8"/>
    <s v="May"/>
    <s v="Tuesday"/>
    <n v="1"/>
    <s v="Morning"/>
  </r>
  <r>
    <d v="2026-05-19T00:00:00"/>
    <x v="169"/>
    <s v="Dallas"/>
    <s v="Chicago"/>
    <s v="Boeing 737-800"/>
    <n v="0.56597222222222221"/>
    <n v="0.56458333333333333"/>
    <n v="6"/>
    <s v="None"/>
    <x v="0"/>
    <n v="802"/>
    <n v="-2"/>
    <s v="May"/>
    <s v="Tuesday"/>
    <n v="1"/>
    <s v="Afternoon"/>
  </r>
  <r>
    <d v="2026-05-20T00:00:00"/>
    <x v="493"/>
    <s v="Chicago"/>
    <s v="Phoenix"/>
    <s v="CRJ900"/>
    <n v="0.34722222222222221"/>
    <n v="0.37569444444444439"/>
    <n v="39"/>
    <s v="Late Aircraft"/>
    <x v="0"/>
    <n v="1438"/>
    <n v="41"/>
    <s v="May"/>
    <s v="Wednesday"/>
    <n v="0"/>
    <s v="Morning"/>
  </r>
  <r>
    <d v="2026-05-20T00:00:00"/>
    <x v="494"/>
    <s v="Chicago"/>
    <s v="San Francisco"/>
    <s v="CRJ900"/>
    <n v="0.53819444444444442"/>
    <n v="0.54027777777777775"/>
    <n v="-5"/>
    <s v="None"/>
    <x v="0"/>
    <n v="1842"/>
    <n v="3"/>
    <s v="May"/>
    <s v="Wednesday"/>
    <n v="1"/>
    <s v="Afternoon"/>
  </r>
  <r>
    <d v="2026-05-21T00:00:00"/>
    <x v="478"/>
    <s v="Denver"/>
    <s v="New York"/>
    <s v="Embraer E175"/>
    <n v="0.28819444444444442"/>
    <n v="0.31944444444444442"/>
    <n v="31"/>
    <s v="Late Aircraft"/>
    <x v="0"/>
    <n v="1622"/>
    <n v="45"/>
    <s v="May"/>
    <s v="Thursday"/>
    <n v="0"/>
    <s v="Morning"/>
  </r>
  <r>
    <d v="2026-05-21T00:00:00"/>
    <x v="495"/>
    <s v="Seattle"/>
    <s v="Atlanta"/>
    <s v="Boeing 737-800"/>
    <n v="0.30555555555555558"/>
    <n v="0.32708333333333328"/>
    <n v="25"/>
    <s v="Carrier"/>
    <x v="0"/>
    <n v="2178"/>
    <n v="31"/>
    <s v="May"/>
    <s v="Thursday"/>
    <n v="0"/>
    <s v="Morning"/>
  </r>
  <r>
    <d v="2026-05-21T00:00:00"/>
    <x v="412"/>
    <s v="Chicago"/>
    <s v="Dallas"/>
    <s v="Airbus A320"/>
    <n v="0.46875"/>
    <n v="0.47638888888888892"/>
    <n v="13"/>
    <s v="None"/>
    <x v="0"/>
    <n v="802"/>
    <n v="11"/>
    <s v="May"/>
    <s v="Thursday"/>
    <n v="1"/>
    <s v="Morning"/>
  </r>
  <r>
    <d v="2026-05-21T00:00:00"/>
    <x v="496"/>
    <s v="Seattle"/>
    <s v="Atlanta"/>
    <s v="Boeing 737-800"/>
    <n v="0.53472222222222221"/>
    <n v="0.57499999999999996"/>
    <m/>
    <s v="Weather"/>
    <x v="0"/>
    <n v="2178"/>
    <n v="58"/>
    <s v="May"/>
    <s v="Thursday"/>
    <m/>
    <s v="Afternoon"/>
  </r>
  <r>
    <d v="2026-05-21T00:00:00"/>
    <x v="195"/>
    <s v="Chicago"/>
    <s v="Dallas"/>
    <s v="Embraer E175"/>
    <n v="0.57986111111111116"/>
    <n v="0.57777777777777772"/>
    <n v="-5"/>
    <s v="None"/>
    <x v="0"/>
    <n v="802"/>
    <n v="-3"/>
    <s v="May"/>
    <s v="Thursday"/>
    <n v="1"/>
    <s v="Afternoon"/>
  </r>
  <r>
    <d v="2026-05-21T00:00:00"/>
    <x v="147"/>
    <s v="New York"/>
    <s v="Boston"/>
    <s v="CRJ900"/>
    <n v="0.71527777777777779"/>
    <n v="0.70972222222222225"/>
    <n v="-14"/>
    <s v="None"/>
    <x v="0"/>
    <n v="186"/>
    <n v="-8"/>
    <s v="May"/>
    <s v="Thursday"/>
    <n v="1"/>
    <s v="Evening"/>
  </r>
  <r>
    <d v="2026-05-21T00:00:00"/>
    <x v="497"/>
    <s v="New York"/>
    <s v="San Francisco"/>
    <s v="Boeing 737-800"/>
    <n v="0.875"/>
    <n v="0.88055555555555554"/>
    <n v="4"/>
    <s v="None"/>
    <x v="0"/>
    <n v="2580"/>
    <n v="8"/>
    <s v="May"/>
    <s v="Thursday"/>
    <n v="1"/>
    <s v="Night"/>
  </r>
  <r>
    <d v="2026-05-23T00:00:00"/>
    <x v="498"/>
    <s v="Las Vegas"/>
    <s v="Denver"/>
    <s v="Embraer E175"/>
    <n v="0.37847222222222221"/>
    <n v="0.43472222222222218"/>
    <n v="70"/>
    <s v="Late Aircraft"/>
    <x v="0"/>
    <n v="627"/>
    <n v="81"/>
    <s v="May"/>
    <s v="Saturday"/>
    <n v="0"/>
    <s v="Morning"/>
  </r>
  <r>
    <d v="2026-05-23T00:00:00"/>
    <x v="499"/>
    <s v="Atlanta"/>
    <s v="Las Vegas"/>
    <s v="Boeing 737-800"/>
    <n v="0.51041666666666663"/>
    <n v="0.51249999999999996"/>
    <n v="-5"/>
    <s v="None"/>
    <x v="0"/>
    <n v="1743"/>
    <n v="3"/>
    <s v="May"/>
    <s v="Saturday"/>
    <n v="1"/>
    <s v="Afternoon"/>
  </r>
  <r>
    <d v="2026-05-23T00:00:00"/>
    <x v="9"/>
    <s v="Atlanta"/>
    <s v="Seattle"/>
    <s v="Boeing 737-800"/>
    <n v="0.52430555555555558"/>
    <n v="0.53611111111111109"/>
    <n v="21"/>
    <s v="Late Aircraft"/>
    <x v="0"/>
    <n v="2178"/>
    <n v="17"/>
    <s v="May"/>
    <s v="Saturday"/>
    <n v="0"/>
    <s v="Afternoon"/>
  </r>
  <r>
    <d v="2026-05-23T00:00:00"/>
    <x v="277"/>
    <s v="Miami"/>
    <s v="New York"/>
    <s v="Boeing 737-800"/>
    <n v="0.62152777777777779"/>
    <n v="0.6166666666666667"/>
    <n v="1"/>
    <s v="None"/>
    <x v="0"/>
    <n v="1092"/>
    <n v="-7"/>
    <s v="May"/>
    <s v="Saturday"/>
    <n v="1"/>
    <s v="Afternoon"/>
  </r>
  <r>
    <d v="2026-05-23T00:00:00"/>
    <x v="9"/>
    <s v="Las Vegas"/>
    <s v="Denver"/>
    <s v="Boeing 737-800"/>
    <n v="0.71180555555555558"/>
    <n v="0.71736111111111112"/>
    <n v="15"/>
    <s v="None"/>
    <x v="0"/>
    <n v="627"/>
    <n v="8"/>
    <s v="May"/>
    <s v="Saturday"/>
    <n v="1"/>
    <s v="Evening"/>
  </r>
  <r>
    <d v="2026-05-25T00:00:00"/>
    <x v="82"/>
    <s v="San Francisco"/>
    <s v="Phoenix"/>
    <s v="Airbus A320"/>
    <n v="0.2951388888888889"/>
    <n v="0.33680555555555558"/>
    <n v="65"/>
    <s v="Carrier"/>
    <x v="0"/>
    <n v="651"/>
    <n v="60"/>
    <s v="May"/>
    <s v="Monday"/>
    <n v="0"/>
    <s v="Morning"/>
  </r>
  <r>
    <d v="2026-05-25T00:00:00"/>
    <x v="357"/>
    <s v="Phoenix"/>
    <s v="Miami"/>
    <s v="Boeing 737-800"/>
    <n v="0.38194444444444442"/>
    <n v="0.41388888888888892"/>
    <n v="50"/>
    <s v="Air Traffic Control"/>
    <x v="0"/>
    <n v="1969"/>
    <n v="46"/>
    <s v="May"/>
    <s v="Monday"/>
    <n v="0"/>
    <s v="Morning"/>
  </r>
  <r>
    <d v="2026-05-25T00:00:00"/>
    <x v="387"/>
    <s v="Los Angeles"/>
    <s v="Miami"/>
    <s v="CRJ900"/>
    <n v="0.68055555555555558"/>
    <n v="0.68819444444444444"/>
    <n v="1"/>
    <s v="None"/>
    <x v="0"/>
    <n v="2338"/>
    <n v="11"/>
    <s v="May"/>
    <s v="Monday"/>
    <n v="1"/>
    <s v="Afternoon"/>
  </r>
  <r>
    <d v="2026-05-26T00:00:00"/>
    <x v="500"/>
    <s v="Dallas"/>
    <s v="Seattle"/>
    <s v="CRJ900"/>
    <n v="0.39930555555555558"/>
    <n v="0.4284722222222222"/>
    <m/>
    <s v="Air Traffic Control"/>
    <x v="0"/>
    <n v="1658"/>
    <n v="42"/>
    <s v="May"/>
    <s v="Tuesday"/>
    <m/>
    <s v="Morning"/>
  </r>
  <r>
    <d v="2026-05-26T00:00:00"/>
    <x v="501"/>
    <s v="Atlanta"/>
    <s v="Dallas"/>
    <s v="CRJ900"/>
    <n v="0.43402777777777779"/>
    <n v="0.43194444444444452"/>
    <n v="-15"/>
    <s v="None"/>
    <x v="0"/>
    <n v="730"/>
    <n v="-3"/>
    <s v="May"/>
    <s v="Tuesday"/>
    <n v="1"/>
    <s v="Morning"/>
  </r>
  <r>
    <d v="2026-05-26T00:00:00"/>
    <x v="89"/>
    <s v="Las Vegas"/>
    <s v="Denver"/>
    <s v="Boeing 737-800"/>
    <n v="0.4375"/>
    <n v="0.4375"/>
    <n v="-2"/>
    <s v="None"/>
    <x v="0"/>
    <n v="627"/>
    <n v="0"/>
    <s v="May"/>
    <s v="Tuesday"/>
    <n v="1"/>
    <s v="Morning"/>
  </r>
  <r>
    <d v="2026-05-26T00:00:00"/>
    <x v="329"/>
    <s v="Phoenix"/>
    <s v="Dallas"/>
    <s v="Embraer E175"/>
    <n v="0.52430555555555558"/>
    <n v="0.55625000000000002"/>
    <n v="42"/>
    <s v="Weather"/>
    <x v="0"/>
    <n v="866"/>
    <n v="46"/>
    <s v="May"/>
    <s v="Tuesday"/>
    <n v="0"/>
    <s v="Afternoon"/>
  </r>
  <r>
    <d v="2026-05-26T00:00:00"/>
    <x v="502"/>
    <s v="Denver"/>
    <s v="Dallas"/>
    <s v="Embraer E175"/>
    <n v="0.70833333333333337"/>
    <n v="0.73888888888888893"/>
    <n v="37"/>
    <s v="Carrier"/>
    <x v="0"/>
    <n v="641"/>
    <n v="44"/>
    <s v="May"/>
    <s v="Tuesday"/>
    <n v="0"/>
    <s v="Evening"/>
  </r>
  <r>
    <d v="2026-05-27T00:00:00"/>
    <x v="17"/>
    <s v="Dallas"/>
    <s v="Atlanta"/>
    <s v="Boeing 737-800"/>
    <n v="0.4201388888888889"/>
    <n v="0.4152777777777778"/>
    <n v="-8"/>
    <s v="None"/>
    <x v="0"/>
    <n v="730"/>
    <n v="-7"/>
    <s v="May"/>
    <s v="Wednesday"/>
    <n v="1"/>
    <s v="Morning"/>
  </r>
  <r>
    <d v="2026-05-28T00:00:00"/>
    <x v="503"/>
    <s v="Chicago"/>
    <s v="New York"/>
    <s v="Airbus A320"/>
    <n v="0.77083333333333337"/>
    <n v="0.8354166666666667"/>
    <n v="98"/>
    <s v="Carrier"/>
    <x v="0"/>
    <n v="738"/>
    <n v="93"/>
    <s v="May"/>
    <s v="Thursday"/>
    <n v="0"/>
    <s v="Evening"/>
  </r>
  <r>
    <d v="2026-05-28T00:00:00"/>
    <x v="504"/>
    <s v="Seattle"/>
    <s v="Atlanta"/>
    <s v="Airbus A320"/>
    <n v="0.79861111111111116"/>
    <n v="0.83402777777777781"/>
    <n v="38"/>
    <s v="Weather"/>
    <x v="0"/>
    <n v="2178"/>
    <n v="51"/>
    <s v="May"/>
    <s v="Thursday"/>
    <n v="0"/>
    <s v="Evening"/>
  </r>
  <r>
    <d v="2026-05-29T00:00:00"/>
    <x v="505"/>
    <s v="Chicago"/>
    <s v="Phoenix"/>
    <s v="Embraer E175"/>
    <n v="0.34722222222222221"/>
    <n v="0.34652777777777782"/>
    <n v="4"/>
    <s v="None"/>
    <x v="0"/>
    <n v="1438"/>
    <n v="-1"/>
    <s v="May"/>
    <s v="Friday"/>
    <n v="1"/>
    <s v="Morning"/>
  </r>
  <r>
    <d v="2026-05-29T00:00:00"/>
    <x v="34"/>
    <s v="Atlanta"/>
    <s v="Dallas"/>
    <s v="Airbus A320"/>
    <n v="0.68402777777777779"/>
    <n v="0.73333333333333328"/>
    <n v="74"/>
    <s v="Late Aircraft"/>
    <x v="0"/>
    <n v="730"/>
    <n v="71"/>
    <s v="May"/>
    <s v="Friday"/>
    <n v="0"/>
    <s v="Afternoon"/>
  </r>
  <r>
    <d v="2026-05-30T00:00:00"/>
    <x v="495"/>
    <s v="Chicago"/>
    <s v="Los Angeles"/>
    <s v="Boeing 737-800"/>
    <n v="0.27083333333333331"/>
    <n v="0.28680555555555548"/>
    <n v="14"/>
    <s v="Late Aircraft"/>
    <x v="0"/>
    <n v="1742"/>
    <n v="23"/>
    <s v="May"/>
    <s v="Saturday"/>
    <n v="1"/>
    <s v="Morning"/>
  </r>
  <r>
    <d v="2026-05-30T00:00:00"/>
    <x v="392"/>
    <s v="Los Angeles"/>
    <s v="Atlanta"/>
    <s v="Airbus A320"/>
    <n v="0.66319444444444442"/>
    <n v="0.6645833333333333"/>
    <n v="-7"/>
    <s v="None"/>
    <x v="0"/>
    <n v="1942"/>
    <n v="2"/>
    <s v="May"/>
    <s v="Saturday"/>
    <n v="1"/>
    <s v="Afternoon"/>
  </r>
  <r>
    <d v="2026-05-30T00:00:00"/>
    <x v="506"/>
    <s v="Atlanta"/>
    <s v="Dallas"/>
    <s v="Airbus A320"/>
    <n v="0.78819444444444442"/>
    <n v="0.79652777777777772"/>
    <m/>
    <s v="None"/>
    <x v="0"/>
    <n v="730"/>
    <n v="12"/>
    <s v="May"/>
    <s v="Saturday"/>
    <m/>
    <s v="Evening"/>
  </r>
  <r>
    <d v="2026-05-31T00:00:00"/>
    <x v="507"/>
    <s v="Dallas"/>
    <s v="Chicago"/>
    <s v="Boeing 737-800"/>
    <n v="0.24652777777777779"/>
    <n v="0.27777777777777779"/>
    <n v="33"/>
    <s v="Late Aircraft"/>
    <x v="0"/>
    <n v="802"/>
    <n v="45"/>
    <s v="May"/>
    <s v="Sunday"/>
    <n v="0"/>
    <s v="Morning"/>
  </r>
  <r>
    <d v="2026-05-31T00:00:00"/>
    <x v="256"/>
    <s v="Chicago"/>
    <s v="Denver"/>
    <s v="Airbus A320"/>
    <n v="0.31944444444444442"/>
    <n v="0.35833333333333328"/>
    <n v="62"/>
    <s v="Weather"/>
    <x v="0"/>
    <n v="886"/>
    <n v="56"/>
    <s v="May"/>
    <s v="Sunday"/>
    <n v="0"/>
    <s v="Morning"/>
  </r>
  <r>
    <d v="2026-05-31T00:00:00"/>
    <x v="398"/>
    <s v="Los Angeles"/>
    <s v="Phoenix"/>
    <s v="CRJ900"/>
    <n v="0.53819444444444442"/>
    <n v="0.54236111111111107"/>
    <n v="11"/>
    <s v="None"/>
    <x v="0"/>
    <n v="370"/>
    <n v="6"/>
    <s v="May"/>
    <s v="Sunday"/>
    <n v="1"/>
    <s v="Afternoon"/>
  </r>
  <r>
    <d v="2026-05-31T00:00:00"/>
    <x v="508"/>
    <s v="San Francisco"/>
    <s v="Atlanta"/>
    <s v="Embraer E175"/>
    <n v="0.58680555555555558"/>
    <n v="0.59027777777777779"/>
    <n v="15"/>
    <s v="None"/>
    <x v="0"/>
    <n v="2134"/>
    <n v="5"/>
    <s v="May"/>
    <s v="Sunday"/>
    <n v="1"/>
    <s v="Afternoon"/>
  </r>
  <r>
    <d v="2026-06-01T00:00:00"/>
    <x v="509"/>
    <s v="Dallas"/>
    <s v="Las Vegas"/>
    <s v="Airbus A320"/>
    <n v="0.84722222222222221"/>
    <n v="0.875"/>
    <m/>
    <s v="Weather"/>
    <x v="0"/>
    <n v="1053"/>
    <n v="40"/>
    <s v="June"/>
    <s v="Monday"/>
    <m/>
    <s v="Evening"/>
  </r>
  <r>
    <d v="2026-06-01T00:00:00"/>
    <x v="510"/>
    <s v="San Francisco"/>
    <s v="New York"/>
    <s v="Airbus A320"/>
    <n v="0.88194444444444442"/>
    <n v="0.88958333333333328"/>
    <n v="20"/>
    <s v="None"/>
    <x v="0"/>
    <n v="2580"/>
    <n v="11"/>
    <s v="June"/>
    <s v="Monday"/>
    <n v="0"/>
    <s v="Night"/>
  </r>
  <r>
    <d v="2026-06-02T00:00:00"/>
    <x v="487"/>
    <s v="New York"/>
    <s v="Chicago"/>
    <s v="Airbus A320"/>
    <n v="0.55208333333333337"/>
    <n v="0.55555555555555558"/>
    <n v="13"/>
    <s v="None"/>
    <x v="0"/>
    <n v="738"/>
    <n v="5"/>
    <s v="June"/>
    <s v="Tuesday"/>
    <n v="1"/>
    <s v="Afternoon"/>
  </r>
  <r>
    <d v="2026-06-02T00:00:00"/>
    <x v="87"/>
    <s v="Denver"/>
    <s v="Chicago"/>
    <s v="Airbus A320"/>
    <n v="0.63888888888888884"/>
    <n v="0.63680555555555551"/>
    <n v="-6"/>
    <s v="None"/>
    <x v="0"/>
    <n v="886"/>
    <n v="-3"/>
    <s v="June"/>
    <s v="Tuesday"/>
    <n v="1"/>
    <s v="Afternoon"/>
  </r>
  <r>
    <d v="2026-06-02T00:00:00"/>
    <x v="511"/>
    <s v="Denver"/>
    <s v="Dallas"/>
    <s v="Embraer E175"/>
    <n v="0.72222222222222221"/>
    <n v="0.72083333333333333"/>
    <n v="3"/>
    <s v="None"/>
    <x v="0"/>
    <n v="641"/>
    <n v="-2"/>
    <s v="June"/>
    <s v="Tuesday"/>
    <n v="1"/>
    <s v="Evening"/>
  </r>
  <r>
    <d v="2026-06-02T00:00:00"/>
    <x v="512"/>
    <s v="Chicago"/>
    <s v="Atlanta"/>
    <s v="Embraer E175"/>
    <n v="0.79166666666666663"/>
    <n v="0.80347222222222225"/>
    <n v="13"/>
    <s v="Carrier"/>
    <x v="0"/>
    <n v="606"/>
    <n v="17"/>
    <s v="June"/>
    <s v="Tuesday"/>
    <n v="1"/>
    <s v="Evening"/>
  </r>
  <r>
    <d v="2026-06-03T00:00:00"/>
    <x v="513"/>
    <s v="Phoenix"/>
    <s v="Atlanta"/>
    <s v="Boeing 737-800"/>
    <n v="0.80208333333333337"/>
    <n v="0.80833333333333335"/>
    <n v="12"/>
    <s v="None"/>
    <x v="0"/>
    <n v="1584"/>
    <n v="9"/>
    <s v="June"/>
    <s v="Wednesday"/>
    <n v="1"/>
    <s v="Evening"/>
  </r>
  <r>
    <d v="2026-06-03T00:00:00"/>
    <x v="514"/>
    <s v="Phoenix"/>
    <s v="Atlanta"/>
    <s v="Airbus A320"/>
    <n v="0.86458333333333337"/>
    <n v="0.88958333333333328"/>
    <n v="44"/>
    <s v="Late Aircraft"/>
    <x v="0"/>
    <n v="1584"/>
    <n v="36"/>
    <s v="June"/>
    <s v="Wednesday"/>
    <n v="0"/>
    <s v="Evening"/>
  </r>
  <r>
    <d v="2026-06-04T00:00:00"/>
    <x v="190"/>
    <s v="Seattle"/>
    <s v="Chicago"/>
    <s v="Boeing 737-800"/>
    <n v="0.35416666666666669"/>
    <n v="0.34930555555555548"/>
    <n v="1"/>
    <s v="None"/>
    <x v="0"/>
    <n v="1717"/>
    <n v="-7"/>
    <s v="June"/>
    <s v="Thursday"/>
    <n v="1"/>
    <s v="Morning"/>
  </r>
  <r>
    <d v="2026-06-04T00:00:00"/>
    <x v="406"/>
    <s v="Atlanta"/>
    <s v="Chicago"/>
    <s v="Airbus A320"/>
    <n v="0.55902777777777779"/>
    <n v="0.58402777777777781"/>
    <n v="36"/>
    <s v="Late Aircraft"/>
    <x v="0"/>
    <n v="606"/>
    <n v="36"/>
    <s v="June"/>
    <s v="Thursday"/>
    <n v="0"/>
    <s v="Afternoon"/>
  </r>
  <r>
    <d v="2026-06-04T00:00:00"/>
    <x v="116"/>
    <s v="Atlanta"/>
    <s v="San Francisco"/>
    <s v="Airbus A320"/>
    <n v="0.71180555555555558"/>
    <n v="0.70833333333333337"/>
    <n v="-3"/>
    <s v="None"/>
    <x v="0"/>
    <n v="2134"/>
    <n v="-5"/>
    <s v="June"/>
    <s v="Thursday"/>
    <n v="1"/>
    <s v="Evening"/>
  </r>
  <r>
    <d v="2026-06-04T00:00:00"/>
    <x v="515"/>
    <s v="Seattle"/>
    <s v="Phoenix"/>
    <s v="Airbus A320"/>
    <n v="0.71180555555555558"/>
    <n v="0.7104166666666667"/>
    <n v="-2"/>
    <s v="None"/>
    <x v="0"/>
    <n v="1108"/>
    <n v="-2"/>
    <s v="June"/>
    <s v="Thursday"/>
    <n v="1"/>
    <s v="Evening"/>
  </r>
  <r>
    <d v="2026-06-04T00:00:00"/>
    <x v="271"/>
    <s v="Los Angeles"/>
    <s v="Miami"/>
    <s v="CRJ900"/>
    <n v="0.72916666666666663"/>
    <n v="0.72916666666666663"/>
    <n v="5"/>
    <s v="None"/>
    <x v="0"/>
    <n v="2338"/>
    <n v="0"/>
    <s v="June"/>
    <s v="Thursday"/>
    <n v="1"/>
    <s v="Evening"/>
  </r>
  <r>
    <d v="2026-06-05T00:00:00"/>
    <x v="516"/>
    <s v="Miami"/>
    <s v="Las Vegas"/>
    <s v="Boeing 737-800"/>
    <n v="0.3263888888888889"/>
    <n v="0.32361111111111113"/>
    <n v="-13"/>
    <s v="None"/>
    <x v="0"/>
    <n v="2171"/>
    <n v="-4"/>
    <s v="June"/>
    <s v="Friday"/>
    <n v="1"/>
    <s v="Morning"/>
  </r>
  <r>
    <d v="2026-06-05T00:00:00"/>
    <x v="517"/>
    <s v="Miami"/>
    <s v="Boston"/>
    <s v="Embraer E175"/>
    <n v="0.40625"/>
    <n v="0.40833333333333333"/>
    <n v="-5"/>
    <s v="None"/>
    <x v="0"/>
    <n v="1260"/>
    <n v="3"/>
    <s v="June"/>
    <s v="Friday"/>
    <n v="1"/>
    <s v="Morning"/>
  </r>
  <r>
    <d v="2026-06-05T00:00:00"/>
    <x v="518"/>
    <s v="Los Angeles"/>
    <s v="Atlanta"/>
    <s v="Embraer E175"/>
    <n v="0.69791666666666663"/>
    <n v="0.70208333333333328"/>
    <n v="7"/>
    <s v="None"/>
    <x v="0"/>
    <n v="1942"/>
    <n v="6"/>
    <s v="June"/>
    <s v="Friday"/>
    <n v="1"/>
    <s v="Afternoon"/>
  </r>
  <r>
    <d v="2026-06-06T00:00:00"/>
    <x v="519"/>
    <s v="Chicago"/>
    <s v="Dallas"/>
    <s v="Airbus A320"/>
    <n v="0.34027777777777779"/>
    <n v="0.34097222222222218"/>
    <n v="-5"/>
    <s v="None"/>
    <x v="0"/>
    <n v="802"/>
    <n v="1"/>
    <s v="June"/>
    <s v="Saturday"/>
    <n v="1"/>
    <s v="Morning"/>
  </r>
  <r>
    <d v="2026-06-06T00:00:00"/>
    <x v="384"/>
    <s v="Chicago"/>
    <s v="San Francisco"/>
    <s v="Embraer E175"/>
    <n v="0.63541666666666663"/>
    <n v="0.63680555555555551"/>
    <n v="10"/>
    <s v="None"/>
    <x v="0"/>
    <n v="1842"/>
    <n v="2"/>
    <s v="June"/>
    <s v="Saturday"/>
    <n v="1"/>
    <s v="Afternoon"/>
  </r>
  <r>
    <d v="2026-06-06T00:00:00"/>
    <x v="106"/>
    <s v="Los Angeles"/>
    <s v="New York"/>
    <s v="Boeing 737-800"/>
    <n v="0.77430555555555558"/>
    <n v="0.77986111111111112"/>
    <n v="15"/>
    <s v="None"/>
    <x v="0"/>
    <n v="2470"/>
    <n v="8"/>
    <s v="June"/>
    <s v="Saturday"/>
    <n v="1"/>
    <s v="Evening"/>
  </r>
  <r>
    <d v="2026-06-07T00:00:00"/>
    <x v="520"/>
    <s v="Atlanta"/>
    <s v="San Francisco"/>
    <s v="Airbus A320"/>
    <n v="0.40277777777777779"/>
    <n v="0.41805555555555562"/>
    <n v="19"/>
    <s v="Carrier"/>
    <x v="0"/>
    <n v="2134"/>
    <n v="22"/>
    <s v="June"/>
    <s v="Sunday"/>
    <n v="0"/>
    <s v="Morning"/>
  </r>
  <r>
    <d v="2026-06-07T00:00:00"/>
    <x v="410"/>
    <s v="New York"/>
    <s v="Las Vegas"/>
    <s v="Airbus A320"/>
    <n v="0.58333333333333337"/>
    <n v="0.58333333333333337"/>
    <n v="10"/>
    <s v="None"/>
    <x v="0"/>
    <n v="2243"/>
    <n v="0"/>
    <s v="June"/>
    <s v="Sunday"/>
    <n v="1"/>
    <s v="Afternoon"/>
  </r>
  <r>
    <d v="2026-06-07T00:00:00"/>
    <x v="94"/>
    <s v="Seattle"/>
    <s v="Boston"/>
    <s v="Boeing 737-800"/>
    <n v="0.79861111111111116"/>
    <n v="0.81944444444444442"/>
    <n v="25"/>
    <s v="Late Aircraft"/>
    <x v="0"/>
    <n v="2489"/>
    <n v="30"/>
    <s v="June"/>
    <s v="Sunday"/>
    <n v="0"/>
    <s v="Evening"/>
  </r>
  <r>
    <d v="2026-06-08T00:00:00"/>
    <x v="192"/>
    <s v="Phoenix"/>
    <s v="Chicago"/>
    <s v="Boeing 737-800"/>
    <n v="0.36805555555555558"/>
    <n v="0.37291666666666667"/>
    <n v="13"/>
    <s v="None"/>
    <x v="0"/>
    <n v="1438"/>
    <n v="7"/>
    <s v="June"/>
    <s v="Monday"/>
    <n v="1"/>
    <s v="Morning"/>
  </r>
  <r>
    <d v="2026-06-08T00:00:00"/>
    <x v="280"/>
    <s v="New York"/>
    <s v="Atlanta"/>
    <s v="Airbus A320"/>
    <n v="0.71875"/>
    <n v="0.71805555555555556"/>
    <n v="-11"/>
    <s v="None"/>
    <x v="0"/>
    <n v="759"/>
    <n v="-1"/>
    <s v="June"/>
    <s v="Monday"/>
    <n v="1"/>
    <s v="Evening"/>
  </r>
  <r>
    <d v="2026-06-09T00:00:00"/>
    <x v="521"/>
    <s v="San Francisco"/>
    <s v="Boston"/>
    <s v="CRJ900"/>
    <n v="0.71180555555555558"/>
    <n v="0.71388888888888891"/>
    <n v="-5"/>
    <s v="None"/>
    <x v="0"/>
    <n v="2698"/>
    <n v="3"/>
    <s v="June"/>
    <s v="Tuesday"/>
    <n v="1"/>
    <s v="Evening"/>
  </r>
  <r>
    <d v="2026-06-09T00:00:00"/>
    <x v="91"/>
    <s v="Atlanta"/>
    <s v="New York"/>
    <s v="Airbus A320"/>
    <n v="0.76736111111111116"/>
    <n v="0.80694444444444446"/>
    <n v="61"/>
    <s v="Late Aircraft"/>
    <x v="0"/>
    <n v="759"/>
    <n v="57"/>
    <s v="June"/>
    <s v="Tuesday"/>
    <n v="0"/>
    <s v="Evening"/>
  </r>
  <r>
    <d v="2026-06-10T00:00:00"/>
    <x v="116"/>
    <s v="Las Vegas"/>
    <s v="Atlanta"/>
    <s v="Boeing 737-800"/>
    <n v="0.24652777777777779"/>
    <n v="0.2416666666666667"/>
    <n v="-12"/>
    <s v="None"/>
    <x v="0"/>
    <n v="1743"/>
    <m/>
    <s v="June"/>
    <s v="Wednesday"/>
    <n v="1"/>
    <s v="Morning"/>
  </r>
  <r>
    <d v="2026-06-10T00:00:00"/>
    <x v="425"/>
    <s v="Chicago"/>
    <s v="New York"/>
    <s v="Embraer E175"/>
    <n v="0.73611111111111116"/>
    <n v="0.76388888888888884"/>
    <n v="27"/>
    <s v="Carrier"/>
    <x v="0"/>
    <n v="738"/>
    <n v="40"/>
    <s v="June"/>
    <s v="Wednesday"/>
    <n v="0"/>
    <s v="Evening"/>
  </r>
  <r>
    <d v="2026-06-10T00:00:00"/>
    <x v="187"/>
    <s v="New York"/>
    <s v="Miami"/>
    <s v="Boeing 737-800"/>
    <n v="0.82638888888888884"/>
    <n v="0.87847222222222221"/>
    <n v="62"/>
    <s v="Weather"/>
    <x v="0"/>
    <n v="1092"/>
    <n v="75"/>
    <s v="June"/>
    <s v="Wednesday"/>
    <n v="0"/>
    <s v="Evening"/>
  </r>
  <r>
    <d v="2026-06-11T00:00:00"/>
    <x v="395"/>
    <s v="New York"/>
    <s v="San Francisco"/>
    <s v="Boeing 737-800"/>
    <n v="0.71875"/>
    <n v="0.75"/>
    <n v="47"/>
    <s v="Late Aircraft"/>
    <x v="0"/>
    <n v="2580"/>
    <n v="45"/>
    <s v="June"/>
    <s v="Thursday"/>
    <n v="0"/>
    <s v="Evening"/>
  </r>
  <r>
    <d v="2026-06-12T00:00:00"/>
    <x v="381"/>
    <s v="Seattle"/>
    <s v="Denver"/>
    <s v="Boeing 737-800"/>
    <n v="0.56597222222222221"/>
    <n v="0.56805555555555554"/>
    <n v="11"/>
    <s v="None"/>
    <x v="0"/>
    <n v="1023"/>
    <n v="3"/>
    <s v="June"/>
    <s v="Friday"/>
    <n v="1"/>
    <s v="Afternoon"/>
  </r>
  <r>
    <d v="2026-06-12T00:00:00"/>
    <x v="246"/>
    <s v="Seattle"/>
    <s v="Chicago"/>
    <s v="Boeing 737-800"/>
    <n v="0.85069444444444442"/>
    <n v="0.85277777777777775"/>
    <n v="12"/>
    <s v="None"/>
    <x v="0"/>
    <n v="1717"/>
    <n v="3"/>
    <s v="June"/>
    <s v="Friday"/>
    <n v="1"/>
    <s v="Evening"/>
  </r>
  <r>
    <d v="2026-06-13T00:00:00"/>
    <x v="522"/>
    <s v="San Francisco"/>
    <s v="Phoenix"/>
    <s v="Boeing 737-800"/>
    <n v="0.53472222222222221"/>
    <n v="0.54305555555555551"/>
    <n v="18"/>
    <s v="None"/>
    <x v="0"/>
    <n v="651"/>
    <n v="12"/>
    <s v="June"/>
    <s v="Saturday"/>
    <n v="0"/>
    <s v="Afternoon"/>
  </r>
  <r>
    <d v="2026-06-14T00:00:00"/>
    <x v="342"/>
    <s v="Denver"/>
    <s v="Las Vegas"/>
    <s v="Boeing 737-800"/>
    <n v="0.33333333333333331"/>
    <n v="0.33124999999999999"/>
    <n v="4"/>
    <s v="None"/>
    <x v="0"/>
    <n v="627"/>
    <n v="-3"/>
    <s v="June"/>
    <s v="Sunday"/>
    <n v="1"/>
    <s v="Morning"/>
  </r>
  <r>
    <d v="2026-06-14T00:00:00"/>
    <x v="243"/>
    <s v="Chicago"/>
    <s v="Atlanta"/>
    <s v="Airbus A320"/>
    <n v="0.34027777777777779"/>
    <n v="0.34444444444444439"/>
    <n v="-6"/>
    <s v="None"/>
    <x v="0"/>
    <n v="606"/>
    <n v="6"/>
    <s v="June"/>
    <s v="Sunday"/>
    <n v="1"/>
    <s v="Morning"/>
  </r>
  <r>
    <d v="2026-06-14T00:00:00"/>
    <x v="114"/>
    <s v="Denver"/>
    <s v="New York"/>
    <s v="CRJ900"/>
    <n v="0.34722222222222221"/>
    <n v="0.35416666666666669"/>
    <n v="11"/>
    <s v="None"/>
    <x v="0"/>
    <n v="1622"/>
    <n v="10"/>
    <s v="June"/>
    <s v="Sunday"/>
    <n v="1"/>
    <s v="Morning"/>
  </r>
  <r>
    <d v="2026-06-14T00:00:00"/>
    <x v="523"/>
    <s v="Atlanta"/>
    <s v="Denver"/>
    <s v="Embraer E175"/>
    <n v="0.52430555555555558"/>
    <n v="0.54236111111111107"/>
    <n v="12"/>
    <s v="Security"/>
    <x v="0"/>
    <n v="1197"/>
    <n v="26"/>
    <s v="June"/>
    <s v="Sunday"/>
    <n v="1"/>
    <s v="Afternoon"/>
  </r>
  <r>
    <d v="2026-06-14T00:00:00"/>
    <x v="524"/>
    <s v="New York"/>
    <s v="Chicago"/>
    <s v="Boeing 737-800"/>
    <n v="0.62152777777777779"/>
    <n v="0.62430555555555556"/>
    <n v="7"/>
    <s v="None"/>
    <x v="0"/>
    <n v="738"/>
    <n v="4"/>
    <s v="June"/>
    <s v="Sunday"/>
    <n v="1"/>
    <s v="Afternoon"/>
  </r>
  <r>
    <d v="2026-06-14T00:00:00"/>
    <x v="83"/>
    <s v="Dallas"/>
    <s v="Miami"/>
    <s v="Embraer E175"/>
    <n v="0.69444444444444442"/>
    <n v="0.70763888888888893"/>
    <n v="4"/>
    <s v="Late Aircraft"/>
    <x v="0"/>
    <n v="1120"/>
    <n v="19"/>
    <s v="June"/>
    <s v="Sunday"/>
    <n v="1"/>
    <s v="Afternoon"/>
  </r>
  <r>
    <d v="2026-06-14T00:00:00"/>
    <x v="506"/>
    <s v="Seattle"/>
    <s v="Denver"/>
    <s v="Embraer E175"/>
    <n v="0.71180555555555558"/>
    <n v="0.71944444444444444"/>
    <n v="13"/>
    <s v="None"/>
    <x v="0"/>
    <n v="1023"/>
    <n v="11"/>
    <s v="June"/>
    <s v="Sunday"/>
    <n v="1"/>
    <s v="Evening"/>
  </r>
  <r>
    <d v="2026-06-14T00:00:00"/>
    <x v="293"/>
    <s v="Los Angeles"/>
    <s v="Denver"/>
    <s v="Embraer E175"/>
    <n v="0.74652777777777779"/>
    <m/>
    <m/>
    <s v="Carrier"/>
    <x v="1"/>
    <n v="861"/>
    <m/>
    <s v="June"/>
    <s v="Sunday"/>
    <m/>
    <s v="Evening"/>
  </r>
  <r>
    <d v="2026-06-14T00:00:00"/>
    <x v="171"/>
    <s v="Chicago"/>
    <s v="Denver"/>
    <s v="Boeing 737-800"/>
    <n v="0.81597222222222221"/>
    <n v="0.81041666666666667"/>
    <n v="-1"/>
    <s v="None"/>
    <x v="0"/>
    <n v="886"/>
    <n v="-8"/>
    <s v="June"/>
    <s v="Sunday"/>
    <n v="1"/>
    <s v="Evening"/>
  </r>
  <r>
    <d v="2026-06-15T00:00:00"/>
    <x v="224"/>
    <s v="Dallas"/>
    <s v="Las Vegas"/>
    <s v="CRJ900"/>
    <n v="0.58333333333333337"/>
    <n v="0.57986111111111116"/>
    <n v="-7"/>
    <s v="None"/>
    <x v="0"/>
    <n v="1053"/>
    <n v="-5"/>
    <s v="June"/>
    <s v="Monday"/>
    <n v="1"/>
    <s v="Afternoon"/>
  </r>
  <r>
    <d v="2026-06-16T00:00:00"/>
    <x v="214"/>
    <s v="Atlanta"/>
    <s v="Miami"/>
    <s v="CRJ900"/>
    <n v="0.78472222222222221"/>
    <n v="0.79166666666666663"/>
    <n v="18"/>
    <s v="None"/>
    <x v="0"/>
    <n v="596"/>
    <n v="10"/>
    <s v="June"/>
    <s v="Tuesday"/>
    <n v="0"/>
    <s v="Evening"/>
  </r>
  <r>
    <d v="2026-06-17T00:00:00"/>
    <x v="525"/>
    <s v="Miami"/>
    <s v="Los Angeles"/>
    <s v="Airbus A320"/>
    <n v="0.54513888888888884"/>
    <n v="0.54374999999999996"/>
    <n v="-5"/>
    <s v="None"/>
    <x v="0"/>
    <n v="2338"/>
    <n v="-2"/>
    <s v="June"/>
    <s v="Wednesday"/>
    <n v="1"/>
    <s v="Afternoon"/>
  </r>
  <r>
    <d v="2026-06-17T00:00:00"/>
    <x v="413"/>
    <s v="Atlanta"/>
    <s v="Los Angeles"/>
    <s v="Boeing 737-800"/>
    <n v="0.61111111111111116"/>
    <n v="0.61250000000000004"/>
    <n v="2"/>
    <s v="None"/>
    <x v="0"/>
    <n v="1942"/>
    <n v="2"/>
    <s v="June"/>
    <s v="Wednesday"/>
    <n v="1"/>
    <s v="Afternoon"/>
  </r>
  <r>
    <d v="2026-06-17T00:00:00"/>
    <x v="54"/>
    <s v="Atlanta"/>
    <s v="Denver"/>
    <s v="Embraer E175"/>
    <n v="0.69444444444444442"/>
    <n v="0.72499999999999998"/>
    <n v="52"/>
    <s v="Weather"/>
    <x v="0"/>
    <n v="1197"/>
    <n v="44"/>
    <s v="June"/>
    <s v="Wednesday"/>
    <n v="0"/>
    <s v="Afternoon"/>
  </r>
  <r>
    <d v="2026-06-18T00:00:00"/>
    <x v="465"/>
    <s v="Chicago"/>
    <s v="Las Vegas"/>
    <s v="Boeing 737-800"/>
    <n v="0.30555555555555558"/>
    <n v="0.30972222222222218"/>
    <n v="3"/>
    <s v="None"/>
    <x v="0"/>
    <n v="1511"/>
    <n v="6"/>
    <s v="June"/>
    <s v="Thursday"/>
    <n v="1"/>
    <s v="Morning"/>
  </r>
  <r>
    <d v="2026-06-18T00:00:00"/>
    <x v="193"/>
    <s v="Chicago"/>
    <s v="Atlanta"/>
    <s v="Embraer E175"/>
    <n v="0.41319444444444442"/>
    <n v="0.41736111111111113"/>
    <n v="16"/>
    <s v="None"/>
    <x v="0"/>
    <n v="606"/>
    <n v="6"/>
    <s v="June"/>
    <s v="Thursday"/>
    <n v="0"/>
    <s v="Morning"/>
  </r>
  <r>
    <d v="2026-06-18T00:00:00"/>
    <x v="244"/>
    <s v="Los Angeles"/>
    <s v="Las Vegas"/>
    <s v="CRJ900"/>
    <n v="0.65625"/>
    <n v="0.70763888888888893"/>
    <n v="73"/>
    <s v="Late Aircraft"/>
    <x v="0"/>
    <n v="236"/>
    <n v="74"/>
    <s v="June"/>
    <s v="Thursday"/>
    <n v="0"/>
    <s v="Afternoon"/>
  </r>
  <r>
    <d v="2026-06-19T00:00:00"/>
    <x v="88"/>
    <s v="Chicago"/>
    <s v="Dallas"/>
    <s v="Airbus A320"/>
    <n v="0.39930555555555558"/>
    <n v="0.39791666666666659"/>
    <m/>
    <s v="None"/>
    <x v="0"/>
    <n v="802"/>
    <n v="-2"/>
    <s v="June"/>
    <s v="Friday"/>
    <m/>
    <s v="Morning"/>
  </r>
  <r>
    <d v="2026-06-19T00:00:00"/>
    <x v="130"/>
    <s v="Chicago"/>
    <s v="Atlanta"/>
    <s v="Boeing 737-800"/>
    <n v="0.45833333333333331"/>
    <n v="0.46458333333333329"/>
    <n v="13"/>
    <s v="None"/>
    <x v="0"/>
    <n v="606"/>
    <n v="9"/>
    <s v="June"/>
    <s v="Friday"/>
    <n v="1"/>
    <s v="Morning"/>
  </r>
  <r>
    <d v="2026-06-19T00:00:00"/>
    <x v="437"/>
    <s v="Boston"/>
    <s v="Phoenix"/>
    <s v="Boeing 737-800"/>
    <n v="0.55208333333333337"/>
    <n v="0.59375"/>
    <n v="60"/>
    <s v="Carrier"/>
    <x v="0"/>
    <n v="2295"/>
    <n v="60"/>
    <s v="June"/>
    <s v="Friday"/>
    <n v="0"/>
    <s v="Afternoon"/>
  </r>
  <r>
    <d v="2026-06-19T00:00:00"/>
    <x v="526"/>
    <s v="Atlanta"/>
    <s v="Chicago"/>
    <s v="Embraer E175"/>
    <n v="0.61111111111111116"/>
    <n v="0.61111111111111116"/>
    <n v="-8"/>
    <s v="None"/>
    <x v="0"/>
    <n v="606"/>
    <n v="0"/>
    <s v="June"/>
    <s v="Friday"/>
    <n v="1"/>
    <s v="Afternoon"/>
  </r>
  <r>
    <d v="2026-06-19T00:00:00"/>
    <x v="524"/>
    <s v="New York"/>
    <s v="Denver"/>
    <s v="Boeing 737-800"/>
    <n v="0.75694444444444442"/>
    <n v="0.79791666666666672"/>
    <n v="54"/>
    <s v="Air Traffic Control"/>
    <x v="0"/>
    <n v="1622"/>
    <n v="59"/>
    <s v="June"/>
    <s v="Friday"/>
    <n v="0"/>
    <s v="Evening"/>
  </r>
  <r>
    <d v="2026-06-19T00:00:00"/>
    <x v="190"/>
    <s v="Chicago"/>
    <s v="Miami"/>
    <s v="Boeing 737-800"/>
    <n v="0.89930555555555558"/>
    <n v="0.93055555555555558"/>
    <n v="35"/>
    <s v="Air Traffic Control"/>
    <x v="0"/>
    <n v="1199"/>
    <n v="45"/>
    <s v="June"/>
    <s v="Friday"/>
    <n v="0"/>
    <s v="Night"/>
  </r>
  <r>
    <d v="2026-06-21T00:00:00"/>
    <x v="7"/>
    <s v="San Francisco"/>
    <s v="Los Angeles"/>
    <s v="CRJ900"/>
    <n v="0.75694444444444442"/>
    <n v="0.76111111111111107"/>
    <n v="2"/>
    <s v="None"/>
    <x v="0"/>
    <n v="338"/>
    <n v="6"/>
    <s v="June"/>
    <s v="Sunday"/>
    <n v="1"/>
    <s v="Evening"/>
  </r>
  <r>
    <d v="2026-06-21T00:00:00"/>
    <x v="474"/>
    <s v="Los Angeles"/>
    <s v="Denver"/>
    <s v="Airbus A320"/>
    <n v="0.80902777777777779"/>
    <n v="0.84166666666666667"/>
    <n v="54"/>
    <s v="Carrier"/>
    <x v="0"/>
    <n v="861"/>
    <n v="47"/>
    <s v="June"/>
    <s v="Sunday"/>
    <n v="0"/>
    <s v="Evening"/>
  </r>
  <r>
    <d v="2026-06-22T00:00:00"/>
    <x v="310"/>
    <s v="Atlanta"/>
    <s v="Chicago"/>
    <s v="Airbus A320"/>
    <n v="0.36458333333333331"/>
    <n v="0.37152777777777779"/>
    <n v="12"/>
    <s v="None"/>
    <x v="0"/>
    <n v="606"/>
    <n v="10"/>
    <s v="June"/>
    <s v="Monday"/>
    <n v="1"/>
    <s v="Morning"/>
  </r>
  <r>
    <d v="2026-06-22T00:00:00"/>
    <x v="527"/>
    <s v="New York"/>
    <s v="Chicago"/>
    <s v="Boeing 737-800"/>
    <n v="0.78125"/>
    <n v="0.80277777777777781"/>
    <n v="38"/>
    <s v="Late Aircraft"/>
    <x v="0"/>
    <n v="738"/>
    <n v="31"/>
    <s v="June"/>
    <s v="Monday"/>
    <n v="0"/>
    <s v="Evening"/>
  </r>
  <r>
    <d v="2026-06-22T00:00:00"/>
    <x v="226"/>
    <s v="Atlanta"/>
    <s v="New York"/>
    <s v="Boeing 737-800"/>
    <n v="0.79861111111111116"/>
    <n v="0.82777777777777772"/>
    <n v="40"/>
    <s v="Late Aircraft"/>
    <x v="0"/>
    <n v="759"/>
    <n v="42"/>
    <s v="June"/>
    <s v="Monday"/>
    <n v="0"/>
    <s v="Evening"/>
  </r>
  <r>
    <d v="2026-06-22T00:00:00"/>
    <x v="150"/>
    <s v="Chicago"/>
    <s v="Miami"/>
    <s v="CRJ900"/>
    <n v="0.82638888888888884"/>
    <n v="0.82916666666666672"/>
    <n v="-2"/>
    <s v="None"/>
    <x v="0"/>
    <n v="1199"/>
    <m/>
    <s v="June"/>
    <s v="Monday"/>
    <n v="1"/>
    <s v="Evening"/>
  </r>
  <r>
    <d v="2026-06-23T00:00:00"/>
    <x v="350"/>
    <s v="Dallas"/>
    <s v="Seattle"/>
    <s v="Boeing 737-800"/>
    <n v="0.40277777777777779"/>
    <n v="0.39861111111111108"/>
    <n v="-14"/>
    <s v="None"/>
    <x v="0"/>
    <n v="1658"/>
    <n v="-6"/>
    <s v="June"/>
    <s v="Tuesday"/>
    <n v="1"/>
    <s v="Morning"/>
  </r>
  <r>
    <d v="2026-06-23T00:00:00"/>
    <x v="412"/>
    <s v="Miami"/>
    <s v="New York"/>
    <s v="CRJ900"/>
    <n v="0.71875"/>
    <n v="0.78402777777777777"/>
    <n v="98"/>
    <s v="Air Traffic Control"/>
    <x v="0"/>
    <n v="1092"/>
    <n v="94"/>
    <s v="June"/>
    <s v="Tuesday"/>
    <n v="0"/>
    <s v="Evening"/>
  </r>
  <r>
    <d v="2026-06-23T00:00:00"/>
    <x v="486"/>
    <s v="Dallas"/>
    <s v="Boston"/>
    <s v="Boeing 737-800"/>
    <n v="0.72569444444444442"/>
    <n v="0.72638888888888886"/>
    <n v="-2"/>
    <s v="None"/>
    <x v="0"/>
    <n v="1559"/>
    <n v="1"/>
    <s v="June"/>
    <s v="Tuesday"/>
    <n v="1"/>
    <s v="Evening"/>
  </r>
  <r>
    <d v="2026-06-24T00:00:00"/>
    <x v="528"/>
    <s v="San Francisco"/>
    <s v="Los Angeles"/>
    <s v="Boeing 737-800"/>
    <n v="0.52083333333333337"/>
    <n v="0.52222222222222225"/>
    <n v="-7"/>
    <s v="None"/>
    <x v="0"/>
    <n v="338"/>
    <n v="2"/>
    <s v="June"/>
    <s v="Wednesday"/>
    <n v="1"/>
    <s v="Afternoon"/>
  </r>
  <r>
    <d v="2026-06-24T00:00:00"/>
    <x v="529"/>
    <s v="Las Vegas"/>
    <s v="Miami"/>
    <s v="Embraer E175"/>
    <n v="0.87152777777777779"/>
    <n v="0.86736111111111114"/>
    <n v="-3"/>
    <s v="None"/>
    <x v="0"/>
    <n v="2171"/>
    <n v="-6"/>
    <s v="June"/>
    <s v="Wednesday"/>
    <n v="1"/>
    <s v="Evening"/>
  </r>
  <r>
    <d v="2026-06-25T00:00:00"/>
    <x v="2"/>
    <s v="New York"/>
    <s v="Chicago"/>
    <s v="Airbus A320"/>
    <n v="0.54513888888888884"/>
    <n v="0.5444444444444444"/>
    <n v="-8"/>
    <s v="None"/>
    <x v="0"/>
    <n v="738"/>
    <n v="-1"/>
    <s v="June"/>
    <s v="Thursday"/>
    <n v="1"/>
    <s v="Afternoon"/>
  </r>
  <r>
    <d v="2026-06-25T00:00:00"/>
    <x v="530"/>
    <s v="Dallas"/>
    <s v="Los Angeles"/>
    <s v="Embraer E175"/>
    <n v="0.55555555555555558"/>
    <n v="0.56041666666666667"/>
    <n v="12"/>
    <s v="None"/>
    <x v="0"/>
    <n v="1232"/>
    <n v="7"/>
    <s v="June"/>
    <s v="Thursday"/>
    <n v="1"/>
    <s v="Afternoon"/>
  </r>
  <r>
    <d v="2026-06-25T00:00:00"/>
    <x v="427"/>
    <s v="Denver"/>
    <s v="Los Angeles"/>
    <s v="Boeing 737-800"/>
    <n v="0.62152777777777779"/>
    <n v="0.62083333333333335"/>
    <n v="8"/>
    <s v="None"/>
    <x v="0"/>
    <n v="861"/>
    <n v="-1"/>
    <s v="June"/>
    <s v="Thursday"/>
    <n v="1"/>
    <s v="Afternoon"/>
  </r>
  <r>
    <d v="2026-06-26T00:00:00"/>
    <x v="531"/>
    <s v="New York"/>
    <s v="Dallas"/>
    <s v="Embraer E175"/>
    <n v="0.72916666666666663"/>
    <n v="0.72569444444444442"/>
    <n v="3"/>
    <s v="None"/>
    <x v="0"/>
    <n v="1389"/>
    <n v="-5"/>
    <s v="June"/>
    <s v="Friday"/>
    <n v="1"/>
    <s v="Evening"/>
  </r>
  <r>
    <d v="2026-06-27T00:00:00"/>
    <x v="290"/>
    <s v="Miami"/>
    <s v="Phoenix"/>
    <s v="Boeing 737-800"/>
    <n v="0.58680555555555558"/>
    <n v="0.59236111111111112"/>
    <n v="-3"/>
    <s v="None"/>
    <x v="0"/>
    <n v="1969"/>
    <n v="8"/>
    <s v="June"/>
    <s v="Saturday"/>
    <n v="1"/>
    <s v="Afternoon"/>
  </r>
  <r>
    <d v="2026-06-27T00:00:00"/>
    <x v="328"/>
    <s v="Chicago"/>
    <s v="Dallas"/>
    <s v="Airbus A320"/>
    <n v="0.65625"/>
    <n v="0.65763888888888888"/>
    <n v="-2"/>
    <s v="None"/>
    <x v="0"/>
    <n v="802"/>
    <n v="2"/>
    <s v="June"/>
    <s v="Saturday"/>
    <n v="1"/>
    <s v="Afternoon"/>
  </r>
  <r>
    <d v="2026-06-28T00:00:00"/>
    <x v="478"/>
    <s v="Chicago"/>
    <s v="Dallas"/>
    <s v="Airbus A320"/>
    <n v="0.36458333333333331"/>
    <n v="0.39097222222222222"/>
    <n v="23"/>
    <s v="Late Aircraft"/>
    <x v="0"/>
    <n v="802"/>
    <n v="38"/>
    <s v="June"/>
    <s v="Sunday"/>
    <n v="0"/>
    <s v="Morning"/>
  </r>
  <r>
    <d v="2026-06-29T00:00:00"/>
    <x v="532"/>
    <s v="Phoenix"/>
    <s v="New York"/>
    <s v="Embraer E175"/>
    <n v="0.49652777777777779"/>
    <n v="0.49236111111111108"/>
    <n v="-11"/>
    <s v="None"/>
    <x v="0"/>
    <n v="2149"/>
    <n v="-6"/>
    <s v="June"/>
    <s v="Monday"/>
    <n v="1"/>
    <s v="Morning"/>
  </r>
  <r>
    <d v="2026-06-29T00:00:00"/>
    <x v="175"/>
    <s v="Denver"/>
    <s v="Chicago"/>
    <s v="Boeing 737-800"/>
    <n v="0.55902777777777779"/>
    <n v="0.56041666666666667"/>
    <n v="10"/>
    <s v="None"/>
    <x v="0"/>
    <n v="886"/>
    <n v="2"/>
    <s v="June"/>
    <s v="Monday"/>
    <n v="1"/>
    <s v="Afternoon"/>
  </r>
  <r>
    <d v="2026-06-30T00:00:00"/>
    <x v="326"/>
    <s v="Dallas"/>
    <s v="New York"/>
    <s v="Embraer E175"/>
    <n v="0.25347222222222221"/>
    <n v="0.30833333333333329"/>
    <n v="83"/>
    <s v="Carrier"/>
    <x v="0"/>
    <n v="1389"/>
    <n v="79"/>
    <s v="June"/>
    <s v="Tuesday"/>
    <n v="0"/>
    <s v="Morning"/>
  </r>
  <r>
    <d v="2026-06-30T00:00:00"/>
    <x v="533"/>
    <s v="Seattle"/>
    <s v="Atlanta"/>
    <s v="Boeing 737-800"/>
    <n v="0.4861111111111111"/>
    <n v="0.49236111111111108"/>
    <n v="12"/>
    <s v="None"/>
    <x v="0"/>
    <n v="2178"/>
    <n v="9"/>
    <s v="June"/>
    <s v="Tuesday"/>
    <n v="1"/>
    <s v="Morning"/>
  </r>
  <r>
    <d v="2026-07-01T00:00:00"/>
    <x v="216"/>
    <s v="Miami"/>
    <s v="Dallas"/>
    <s v="Airbus A320"/>
    <n v="0.33680555555555558"/>
    <n v="0.34375"/>
    <n v="16"/>
    <s v="None"/>
    <x v="0"/>
    <n v="1120"/>
    <n v="10"/>
    <s v="July"/>
    <s v="Wednesday"/>
    <n v="0"/>
    <s v="Morning"/>
  </r>
  <r>
    <d v="2026-07-01T00:00:00"/>
    <x v="534"/>
    <s v="Chicago"/>
    <s v="Atlanta"/>
    <s v="Airbus A320"/>
    <n v="0.40972222222222221"/>
    <n v="0.41666666666666669"/>
    <n v="4"/>
    <s v="None"/>
    <x v="0"/>
    <n v="606"/>
    <n v="10"/>
    <s v="July"/>
    <s v="Wednesday"/>
    <n v="1"/>
    <s v="Morning"/>
  </r>
  <r>
    <d v="2026-07-01T00:00:00"/>
    <x v="532"/>
    <s v="San Francisco"/>
    <s v="Atlanta"/>
    <s v="Airbus A320"/>
    <n v="0.5"/>
    <n v="0.49861111111111112"/>
    <n v="1"/>
    <s v="None"/>
    <x v="0"/>
    <n v="2134"/>
    <n v="-2"/>
    <s v="July"/>
    <s v="Wednesday"/>
    <n v="1"/>
    <s v="Afternoon"/>
  </r>
  <r>
    <d v="2026-07-01T00:00:00"/>
    <x v="535"/>
    <s v="Chicago"/>
    <s v="Atlanta"/>
    <s v="Airbus A320"/>
    <n v="0.63194444444444442"/>
    <n v="0.63472222222222219"/>
    <n v="-1"/>
    <s v="None"/>
    <x v="0"/>
    <n v="606"/>
    <n v="4"/>
    <s v="July"/>
    <s v="Wednesday"/>
    <n v="1"/>
    <s v="Afternoon"/>
  </r>
  <r>
    <d v="2026-07-01T00:00:00"/>
    <x v="408"/>
    <s v="Seattle"/>
    <s v="Denver"/>
    <s v="Airbus A320"/>
    <n v="0.77777777777777779"/>
    <n v="0.79236111111111107"/>
    <n v="13"/>
    <s v="Air Traffic Control"/>
    <x v="0"/>
    <n v="1023"/>
    <n v="21"/>
    <s v="July"/>
    <s v="Wednesday"/>
    <n v="1"/>
    <s v="Evening"/>
  </r>
  <r>
    <d v="2026-07-01T00:00:00"/>
    <x v="536"/>
    <s v="Phoenix"/>
    <s v="Chicago"/>
    <s v="Boeing 737-800"/>
    <n v="0.80555555555555558"/>
    <n v="0.80833333333333335"/>
    <n v="9"/>
    <s v="None"/>
    <x v="0"/>
    <n v="1438"/>
    <n v="4"/>
    <s v="July"/>
    <s v="Wednesday"/>
    <n v="1"/>
    <s v="Evening"/>
  </r>
  <r>
    <d v="2026-07-02T00:00:00"/>
    <x v="537"/>
    <s v="Boston"/>
    <s v="New York"/>
    <s v="Airbus A320"/>
    <n v="0.74305555555555558"/>
    <n v="0.74791666666666667"/>
    <n v="-3"/>
    <s v="None"/>
    <x v="0"/>
    <n v="186"/>
    <n v="7"/>
    <s v="July"/>
    <s v="Thursday"/>
    <n v="1"/>
    <s v="Evening"/>
  </r>
  <r>
    <d v="2026-07-02T00:00:00"/>
    <x v="361"/>
    <s v="Seattle"/>
    <s v="Dallas"/>
    <s v="Boeing 737-800"/>
    <n v="0.78819444444444442"/>
    <n v="0.78680555555555554"/>
    <n v="-1"/>
    <s v="None"/>
    <x v="0"/>
    <n v="1658"/>
    <n v="-2"/>
    <s v="July"/>
    <s v="Thursday"/>
    <n v="1"/>
    <s v="Evening"/>
  </r>
  <r>
    <d v="2026-07-03T00:00:00"/>
    <x v="446"/>
    <s v="Dallas"/>
    <s v="Boston"/>
    <s v="Airbus A320"/>
    <n v="0.3125"/>
    <n v="0.35"/>
    <n v="50"/>
    <s v="Carrier"/>
    <x v="0"/>
    <n v="1559"/>
    <n v="54"/>
    <s v="July"/>
    <s v="Friday"/>
    <n v="0"/>
    <s v="Morning"/>
  </r>
  <r>
    <d v="2026-07-03T00:00:00"/>
    <x v="368"/>
    <s v="Atlanta"/>
    <s v="Seattle"/>
    <s v="Boeing 737-800"/>
    <n v="0.93055555555555558"/>
    <n v="0.93263888888888891"/>
    <n v="1"/>
    <s v="None"/>
    <x v="0"/>
    <n v="2178"/>
    <n v="3"/>
    <s v="July"/>
    <s v="Friday"/>
    <n v="1"/>
    <s v="Night"/>
  </r>
  <r>
    <d v="2026-07-04T00:00:00"/>
    <x v="115"/>
    <s v="Dallas"/>
    <s v="Chicago"/>
    <s v="Embraer E175"/>
    <n v="0.2638888888888889"/>
    <n v="0.26458333333333328"/>
    <n v="6"/>
    <s v="None"/>
    <x v="0"/>
    <n v="802"/>
    <n v="1"/>
    <s v="July"/>
    <s v="Saturday"/>
    <n v="1"/>
    <s v="Morning"/>
  </r>
  <r>
    <d v="2026-07-04T00:00:00"/>
    <x v="538"/>
    <s v="Phoenix"/>
    <s v="New York"/>
    <s v="Embraer E175"/>
    <n v="0.46527777777777779"/>
    <n v="0.47222222222222221"/>
    <n v="3"/>
    <s v="None"/>
    <x v="0"/>
    <n v="2149"/>
    <n v="10"/>
    <s v="July"/>
    <s v="Saturday"/>
    <n v="1"/>
    <s v="Morning"/>
  </r>
  <r>
    <d v="2026-07-04T00:00:00"/>
    <x v="438"/>
    <s v="Atlanta"/>
    <s v="Phoenix"/>
    <s v="Boeing 737-800"/>
    <n v="0.46875"/>
    <m/>
    <n v="0"/>
    <s v="None"/>
    <x v="0"/>
    <n v="1584"/>
    <n v="-3"/>
    <s v="July"/>
    <s v="Saturday"/>
    <n v="1"/>
    <s v="Morning"/>
  </r>
  <r>
    <d v="2026-07-04T00:00:00"/>
    <x v="193"/>
    <s v="Atlanta"/>
    <s v="San Francisco"/>
    <s v="Airbus A320"/>
    <n v="0.69444444444444442"/>
    <n v="0.72013888888888888"/>
    <n v="38"/>
    <s v="Weather"/>
    <x v="0"/>
    <n v="2134"/>
    <n v="37"/>
    <s v="July"/>
    <s v="Saturday"/>
    <n v="0"/>
    <s v="Afternoon"/>
  </r>
  <r>
    <d v="2026-07-05T00:00:00"/>
    <x v="63"/>
    <s v="Seattle"/>
    <s v="Chicago"/>
    <s v="Airbus A320"/>
    <n v="0.35416666666666669"/>
    <n v="0.39930555555555558"/>
    <n v="61"/>
    <s v="Late Aircraft"/>
    <x v="0"/>
    <n v="1717"/>
    <n v="65"/>
    <s v="July"/>
    <s v="Sunday"/>
    <n v="0"/>
    <s v="Morning"/>
  </r>
  <r>
    <d v="2026-07-05T00:00:00"/>
    <x v="353"/>
    <s v="Chicago"/>
    <s v="Boston"/>
    <s v="Airbus A320"/>
    <n v="0.60763888888888884"/>
    <n v="0.68125000000000002"/>
    <n v="106"/>
    <s v="Carrier"/>
    <x v="0"/>
    <n v="864"/>
    <n v="106"/>
    <s v="July"/>
    <s v="Sunday"/>
    <n v="0"/>
    <s v="Afternoon"/>
  </r>
  <r>
    <d v="2026-07-05T00:00:00"/>
    <x v="327"/>
    <s v="Miami"/>
    <s v="Chicago"/>
    <s v="Airbus A320"/>
    <n v="0.66319444444444442"/>
    <n v="0.66874999999999996"/>
    <n v="-4"/>
    <s v="None"/>
    <x v="0"/>
    <n v="1199"/>
    <n v="8"/>
    <s v="July"/>
    <s v="Sunday"/>
    <n v="1"/>
    <s v="Afternoon"/>
  </r>
  <r>
    <d v="2026-07-05T00:00:00"/>
    <x v="521"/>
    <s v="New York"/>
    <s v="Chicago"/>
    <s v="Boeing 737-800"/>
    <n v="0.66666666666666663"/>
    <n v="0.67083333333333328"/>
    <n v="-3"/>
    <s v="None"/>
    <x v="0"/>
    <n v="738"/>
    <n v="6"/>
    <s v="July"/>
    <s v="Sunday"/>
    <n v="1"/>
    <s v="Afternoon"/>
  </r>
  <r>
    <d v="2026-07-05T00:00:00"/>
    <x v="66"/>
    <s v="Atlanta"/>
    <s v="Phoenix"/>
    <s v="Airbus A320"/>
    <n v="0.92708333333333337"/>
    <m/>
    <n v="7"/>
    <s v="None"/>
    <x v="0"/>
    <n v="1584"/>
    <n v="4"/>
    <s v="July"/>
    <s v="Sunday"/>
    <n v="1"/>
    <s v="Night"/>
  </r>
  <r>
    <d v="2026-07-06T00:00:00"/>
    <x v="539"/>
    <s v="Dallas"/>
    <s v="Los Angeles"/>
    <s v="Boeing 737-800"/>
    <n v="0.41666666666666669"/>
    <n v="0.41388888888888892"/>
    <n v="-7"/>
    <s v="None"/>
    <x v="0"/>
    <n v="1232"/>
    <n v="-4"/>
    <s v="July"/>
    <s v="Monday"/>
    <n v="1"/>
    <s v="Morning"/>
  </r>
  <r>
    <d v="2026-07-07T00:00:00"/>
    <x v="184"/>
    <s v="Seattle"/>
    <s v="New York"/>
    <s v="Embraer E175"/>
    <n v="0.25694444444444442"/>
    <n v="0.26250000000000001"/>
    <n v="-4"/>
    <s v="None"/>
    <x v="0"/>
    <n v="2415"/>
    <n v="8"/>
    <s v="July"/>
    <s v="Tuesday"/>
    <n v="1"/>
    <s v="Morning"/>
  </r>
  <r>
    <d v="2026-07-07T00:00:00"/>
    <x v="357"/>
    <s v="Dallas"/>
    <s v="Denver"/>
    <s v="CRJ900"/>
    <n v="0.26041666666666669"/>
    <n v="0.26041666666666669"/>
    <n v="8"/>
    <s v="None"/>
    <x v="0"/>
    <n v="641"/>
    <n v="0"/>
    <s v="July"/>
    <s v="Tuesday"/>
    <n v="1"/>
    <s v="Morning"/>
  </r>
  <r>
    <d v="2026-07-07T00:00:00"/>
    <x v="540"/>
    <s v="Chicago"/>
    <s v="New York"/>
    <s v="CRJ900"/>
    <n v="0.30208333333333331"/>
    <n v="0.33611111111111108"/>
    <n v="41"/>
    <s v="Late Aircraft"/>
    <x v="0"/>
    <n v="738"/>
    <n v="49"/>
    <s v="July"/>
    <s v="Tuesday"/>
    <n v="0"/>
    <s v="Morning"/>
  </r>
  <r>
    <d v="2026-07-07T00:00:00"/>
    <x v="541"/>
    <s v="Miami"/>
    <s v="Atlanta"/>
    <s v="Boeing 737-800"/>
    <n v="0.34027777777777779"/>
    <n v="0.33680555555555558"/>
    <n v="3"/>
    <s v="None"/>
    <x v="0"/>
    <n v="596"/>
    <n v="-5"/>
    <s v="July"/>
    <s v="Tuesday"/>
    <n v="1"/>
    <s v="Morning"/>
  </r>
  <r>
    <d v="2026-07-07T00:00:00"/>
    <x v="441"/>
    <s v="Dallas"/>
    <s v="Atlanta"/>
    <s v="Embraer E175"/>
    <n v="0.3576388888888889"/>
    <n v="0.3576388888888889"/>
    <n v="7"/>
    <s v="None"/>
    <x v="0"/>
    <n v="730"/>
    <n v="0"/>
    <s v="July"/>
    <s v="Tuesday"/>
    <n v="1"/>
    <s v="Morning"/>
  </r>
  <r>
    <d v="2026-07-07T00:00:00"/>
    <x v="451"/>
    <s v="Atlanta"/>
    <s v="Chicago"/>
    <s v="Airbus A320"/>
    <n v="0.3576388888888889"/>
    <n v="0.39652777777777781"/>
    <n v="42"/>
    <s v="Carrier"/>
    <x v="0"/>
    <n v="606"/>
    <n v="56"/>
    <s v="July"/>
    <s v="Tuesday"/>
    <n v="0"/>
    <s v="Morning"/>
  </r>
  <r>
    <d v="2026-07-07T00:00:00"/>
    <x v="542"/>
    <s v="Dallas"/>
    <s v="Las Vegas"/>
    <s v="Airbus A320"/>
    <n v="0.65972222222222221"/>
    <n v="0.7055555555555556"/>
    <n v="67"/>
    <s v="Weather"/>
    <x v="0"/>
    <n v="1053"/>
    <n v="66"/>
    <s v="July"/>
    <s v="Tuesday"/>
    <n v="0"/>
    <s v="Afternoon"/>
  </r>
  <r>
    <d v="2026-07-07T00:00:00"/>
    <x v="543"/>
    <s v="Chicago"/>
    <s v="New York"/>
    <s v="Airbus A320"/>
    <n v="0.78472222222222221"/>
    <n v="0.78055555555555556"/>
    <n v="-8"/>
    <s v="None"/>
    <x v="0"/>
    <n v="738"/>
    <n v="-6"/>
    <s v="July"/>
    <s v="Tuesday"/>
    <n v="1"/>
    <s v="Evening"/>
  </r>
  <r>
    <d v="2026-07-08T00:00:00"/>
    <x v="327"/>
    <s v="Seattle"/>
    <s v="Boston"/>
    <s v="Airbus A320"/>
    <n v="0.40277777777777779"/>
    <n v="0.40902777777777782"/>
    <n v="1"/>
    <s v="None"/>
    <x v="0"/>
    <n v="2489"/>
    <n v="9"/>
    <s v="July"/>
    <s v="Wednesday"/>
    <n v="1"/>
    <s v="Morning"/>
  </r>
  <r>
    <d v="2026-07-08T00:00:00"/>
    <x v="214"/>
    <s v="Chicago"/>
    <s v="Atlanta"/>
    <s v="Boeing 737-800"/>
    <n v="0.40277777777777779"/>
    <n v="0.39861111111111108"/>
    <n v="-12"/>
    <s v="None"/>
    <x v="0"/>
    <n v="606"/>
    <n v="-6"/>
    <s v="July"/>
    <s v="Wednesday"/>
    <n v="1"/>
    <s v="Morning"/>
  </r>
  <r>
    <d v="2026-07-08T00:00:00"/>
    <x v="449"/>
    <s v="Atlanta"/>
    <s v="Las Vegas"/>
    <s v="Boeing 737-800"/>
    <n v="0.72569444444444442"/>
    <n v="0.81736111111111109"/>
    <n v="134"/>
    <s v="Carrier"/>
    <x v="0"/>
    <n v="1743"/>
    <n v="132"/>
    <s v="July"/>
    <s v="Wednesday"/>
    <n v="0"/>
    <s v="Evening"/>
  </r>
  <r>
    <d v="2026-07-08T00:00:00"/>
    <x v="249"/>
    <s v="New York"/>
    <s v="Atlanta"/>
    <s v="Airbus A320"/>
    <n v="0.74305555555555558"/>
    <n v="0.73888888888888893"/>
    <n v="-8"/>
    <s v="None"/>
    <x v="0"/>
    <n v="759"/>
    <n v="-6"/>
    <s v="July"/>
    <s v="Wednesday"/>
    <n v="1"/>
    <s v="Evening"/>
  </r>
  <r>
    <d v="2026-07-08T00:00:00"/>
    <x v="341"/>
    <s v="Atlanta"/>
    <s v="Seattle"/>
    <s v="Airbus A320"/>
    <n v="0.80208333333333337"/>
    <n v="0.81388888888888888"/>
    <n v="17"/>
    <s v="Late Aircraft"/>
    <x v="0"/>
    <n v="2178"/>
    <n v="17"/>
    <s v="July"/>
    <s v="Wednesday"/>
    <n v="0"/>
    <s v="Evening"/>
  </r>
  <r>
    <d v="2026-07-09T00:00:00"/>
    <x v="277"/>
    <s v="Atlanta"/>
    <s v="Denver"/>
    <s v="Boeing 737-800"/>
    <n v="0.57638888888888884"/>
    <n v="0.57222222222222219"/>
    <n v="-15"/>
    <s v="None"/>
    <x v="0"/>
    <n v="1197"/>
    <n v="-6"/>
    <s v="July"/>
    <s v="Thursday"/>
    <n v="1"/>
    <s v="Afternoon"/>
  </r>
  <r>
    <d v="2026-07-09T00:00:00"/>
    <x v="173"/>
    <s v="Seattle"/>
    <s v="Denver"/>
    <s v="Airbus A320"/>
    <n v="0.61805555555555558"/>
    <n v="0.61319444444444449"/>
    <n v="-6"/>
    <s v="None"/>
    <x v="0"/>
    <n v="1023"/>
    <n v="-7"/>
    <s v="July"/>
    <s v="Thursday"/>
    <n v="1"/>
    <s v="Afternoon"/>
  </r>
  <r>
    <d v="2026-07-09T00:00:00"/>
    <x v="544"/>
    <s v="Atlanta"/>
    <s v="Los Angeles"/>
    <s v="Boeing 737-800"/>
    <n v="0.65625"/>
    <n v="0.65763888888888888"/>
    <n v="3"/>
    <s v="None"/>
    <x v="0"/>
    <n v="1942"/>
    <n v="2"/>
    <s v="July"/>
    <s v="Thursday"/>
    <n v="1"/>
    <s v="Afternoon"/>
  </r>
  <r>
    <d v="2026-07-10T00:00:00"/>
    <x v="107"/>
    <s v="Seattle"/>
    <s v="Las Vegas"/>
    <s v="Embraer E175"/>
    <n v="0.65972222222222221"/>
    <n v="0.68958333333333333"/>
    <n v="40"/>
    <s v="Weather"/>
    <x v="0"/>
    <n v="867"/>
    <n v="43"/>
    <s v="July"/>
    <s v="Friday"/>
    <n v="0"/>
    <s v="Afternoon"/>
  </r>
  <r>
    <d v="2026-07-11T00:00:00"/>
    <x v="9"/>
    <s v="Denver"/>
    <s v="Phoenix"/>
    <s v="Boeing 737-800"/>
    <n v="0.52083333333333337"/>
    <n v="0.52083333333333337"/>
    <n v="1"/>
    <s v="None"/>
    <x v="0"/>
    <n v="602"/>
    <n v="0"/>
    <s v="July"/>
    <s v="Saturday"/>
    <n v="1"/>
    <s v="Afternoon"/>
  </r>
  <r>
    <d v="2026-07-12T00:00:00"/>
    <x v="468"/>
    <s v="Phoenix"/>
    <s v="Chicago"/>
    <s v="CRJ900"/>
    <n v="0.38541666666666669"/>
    <n v="0.40069444444444452"/>
    <n v="7"/>
    <s v="Late Aircraft"/>
    <x v="0"/>
    <n v="1438"/>
    <n v="22"/>
    <s v="July"/>
    <s v="Sunday"/>
    <n v="1"/>
    <s v="Morning"/>
  </r>
  <r>
    <d v="2026-07-12T00:00:00"/>
    <x v="545"/>
    <s v="New York"/>
    <s v="Miami"/>
    <s v="Embraer E175"/>
    <n v="0.46875"/>
    <n v="0.48472222222222222"/>
    <n v="9"/>
    <s v="Air Traffic Control"/>
    <x v="0"/>
    <n v="1092"/>
    <n v="23"/>
    <s v="July"/>
    <s v="Sunday"/>
    <n v="1"/>
    <s v="Morning"/>
  </r>
  <r>
    <d v="2026-07-12T00:00:00"/>
    <x v="300"/>
    <s v="Chicago"/>
    <s v="Boston"/>
    <s v="Embraer E175"/>
    <n v="0.65625"/>
    <n v="0.65208333333333335"/>
    <n v="-6"/>
    <s v="None"/>
    <x v="0"/>
    <n v="864"/>
    <n v="-6"/>
    <s v="July"/>
    <s v="Sunday"/>
    <n v="1"/>
    <s v="Afternoon"/>
  </r>
  <r>
    <d v="2026-07-14T00:00:00"/>
    <x v="243"/>
    <s v="Denver"/>
    <s v="San Francisco"/>
    <s v="Boeing 737-800"/>
    <n v="0.27777777777777779"/>
    <n v="0.27986111111111112"/>
    <n v="-7"/>
    <s v="None"/>
    <x v="0"/>
    <n v="965"/>
    <n v="3"/>
    <s v="July"/>
    <s v="Tuesday"/>
    <n v="1"/>
    <s v="Morning"/>
  </r>
  <r>
    <d v="2026-07-14T00:00:00"/>
    <x v="542"/>
    <s v="Chicago"/>
    <s v="Miami"/>
    <s v="Boeing 737-800"/>
    <n v="0.3263888888888889"/>
    <n v="0.34236111111111112"/>
    <n v="26"/>
    <s v="Weather"/>
    <x v="0"/>
    <n v="1199"/>
    <n v="23"/>
    <s v="July"/>
    <s v="Tuesday"/>
    <n v="0"/>
    <s v="Morning"/>
  </r>
  <r>
    <d v="2026-07-14T00:00:00"/>
    <x v="102"/>
    <s v="Miami"/>
    <s v="Phoenix"/>
    <s v="Airbus A320"/>
    <n v="0.61458333333333337"/>
    <n v="0.61388888888888893"/>
    <n v="6"/>
    <s v="None"/>
    <x v="0"/>
    <n v="1969"/>
    <n v="-1"/>
    <s v="July"/>
    <s v="Tuesday"/>
    <n v="1"/>
    <s v="Afternoon"/>
  </r>
  <r>
    <d v="2026-07-14T00:00:00"/>
    <x v="250"/>
    <s v="Boston"/>
    <s v="Chicago"/>
    <s v="Boeing 737-800"/>
    <n v="0.74652777777777779"/>
    <n v="0.76041666666666663"/>
    <n v="20"/>
    <s v="Late Aircraft"/>
    <x v="0"/>
    <n v="864"/>
    <n v="20"/>
    <s v="July"/>
    <s v="Tuesday"/>
    <n v="0"/>
    <s v="Evening"/>
  </r>
  <r>
    <d v="2026-07-15T00:00:00"/>
    <x v="201"/>
    <s v="Los Angeles"/>
    <s v="Chicago"/>
    <s v="Boeing 737-800"/>
    <n v="0.65972222222222221"/>
    <n v="0.6645833333333333"/>
    <n v="17"/>
    <s v="None"/>
    <x v="0"/>
    <n v="1742"/>
    <n v="7"/>
    <s v="July"/>
    <s v="Wednesday"/>
    <n v="0"/>
    <s v="Afternoon"/>
  </r>
  <r>
    <d v="2026-07-16T00:00:00"/>
    <x v="203"/>
    <s v="Los Angeles"/>
    <s v="Atlanta"/>
    <s v="Boeing 737-800"/>
    <n v="0.40277777777777779"/>
    <n v="0.42777777777777781"/>
    <n v="41"/>
    <s v="Weather"/>
    <x v="0"/>
    <n v="1942"/>
    <n v="36"/>
    <s v="July"/>
    <s v="Thursday"/>
    <n v="0"/>
    <s v="Morning"/>
  </r>
  <r>
    <d v="2026-07-16T00:00:00"/>
    <x v="541"/>
    <s v="Boston"/>
    <s v="Denver"/>
    <s v="CRJ900"/>
    <n v="0.59722222222222221"/>
    <n v="0.60486111111111107"/>
    <n v="5"/>
    <s v="None"/>
    <x v="0"/>
    <n v="1749"/>
    <n v="11"/>
    <s v="July"/>
    <s v="Thursday"/>
    <n v="1"/>
    <s v="Afternoon"/>
  </r>
  <r>
    <d v="2026-07-18T00:00:00"/>
    <x v="338"/>
    <s v="Phoenix"/>
    <s v="Dallas"/>
    <s v="Boeing 737-800"/>
    <n v="0.78819444444444442"/>
    <n v="0.79305555555555551"/>
    <m/>
    <s v="None"/>
    <x v="0"/>
    <n v="866"/>
    <n v="7"/>
    <s v="July"/>
    <s v="Saturday"/>
    <m/>
    <s v="Evening"/>
  </r>
  <r>
    <d v="2026-07-18T00:00:00"/>
    <x v="171"/>
    <s v="Atlanta"/>
    <s v="San Francisco"/>
    <s v="Boeing 737-800"/>
    <n v="0.79861111111111116"/>
    <n v="0.87430555555555556"/>
    <n v="116"/>
    <s v="Weather"/>
    <x v="0"/>
    <n v="2134"/>
    <n v="109"/>
    <s v="July"/>
    <s v="Saturday"/>
    <n v="0"/>
    <s v="Evening"/>
  </r>
  <r>
    <d v="2026-07-20T00:00:00"/>
    <x v="466"/>
    <s v="Atlanta"/>
    <s v="Phoenix"/>
    <s v="Embraer E175"/>
    <n v="0.25"/>
    <n v="0.24444444444444441"/>
    <n v="-5"/>
    <s v="None"/>
    <x v="0"/>
    <n v="1584"/>
    <n v="-8"/>
    <s v="July"/>
    <s v="Monday"/>
    <n v="1"/>
    <s v="Morning"/>
  </r>
  <r>
    <d v="2026-07-20T00:00:00"/>
    <x v="248"/>
    <s v="Boston"/>
    <s v="Atlanta"/>
    <s v="Airbus A320"/>
    <n v="0.2638888888888889"/>
    <n v="0.26597222222222222"/>
    <n v="-5"/>
    <s v="None"/>
    <x v="0"/>
    <n v="945"/>
    <n v="3"/>
    <s v="July"/>
    <s v="Monday"/>
    <n v="1"/>
    <s v="Morning"/>
  </r>
  <r>
    <d v="2026-07-20T00:00:00"/>
    <x v="431"/>
    <s v="Chicago"/>
    <s v="Los Angeles"/>
    <s v="CRJ900"/>
    <n v="0.47569444444444442"/>
    <n v="0.48333333333333328"/>
    <n v="11"/>
    <s v="None"/>
    <x v="0"/>
    <n v="1742"/>
    <n v="11"/>
    <s v="July"/>
    <s v="Monday"/>
    <n v="1"/>
    <s v="Morning"/>
  </r>
  <r>
    <d v="2026-07-20T00:00:00"/>
    <x v="546"/>
    <s v="Chicago"/>
    <s v="Las Vegas"/>
    <s v="Boeing 737-800"/>
    <n v="0.54513888888888884"/>
    <n v="0.56805555555555554"/>
    <n v="31"/>
    <s v="Security"/>
    <x v="0"/>
    <n v="1511"/>
    <n v="33"/>
    <s v="July"/>
    <s v="Monday"/>
    <n v="0"/>
    <s v="Afternoon"/>
  </r>
  <r>
    <d v="2026-07-20T00:00:00"/>
    <x v="321"/>
    <s v="Atlanta"/>
    <s v="Denver"/>
    <s v="Boeing 737-800"/>
    <n v="0.69791666666666663"/>
    <n v="0.7006944444444444"/>
    <n v="6"/>
    <s v="None"/>
    <x v="0"/>
    <n v="1197"/>
    <n v="4"/>
    <s v="July"/>
    <s v="Monday"/>
    <n v="1"/>
    <s v="Afternoon"/>
  </r>
  <r>
    <d v="2026-07-21T00:00:00"/>
    <x v="547"/>
    <s v="Chicago"/>
    <s v="Los Angeles"/>
    <s v="Boeing 737-800"/>
    <n v="0.69444444444444442"/>
    <n v="0.69236111111111109"/>
    <n v="7"/>
    <s v="None"/>
    <x v="0"/>
    <n v="1742"/>
    <n v="-3"/>
    <s v="July"/>
    <s v="Tuesday"/>
    <n v="1"/>
    <s v="Afternoon"/>
  </r>
  <r>
    <d v="2026-07-22T00:00:00"/>
    <x v="268"/>
    <s v="Atlanta"/>
    <s v="Los Angeles"/>
    <s v="Boeing 737-800"/>
    <n v="0.24305555555555561"/>
    <n v="0.24236111111111111"/>
    <n v="1"/>
    <s v="None"/>
    <x v="0"/>
    <n v="1942"/>
    <n v="-1"/>
    <s v="July"/>
    <s v="Wednesday"/>
    <n v="1"/>
    <s v="Morning"/>
  </r>
  <r>
    <d v="2026-07-22T00:00:00"/>
    <x v="548"/>
    <s v="New York"/>
    <s v="Phoenix"/>
    <s v="Embraer E175"/>
    <n v="0.28819444444444442"/>
    <n v="0.28472222222222221"/>
    <n v="-13"/>
    <s v="None"/>
    <x v="0"/>
    <n v="2149"/>
    <n v="-5"/>
    <s v="July"/>
    <s v="Wednesday"/>
    <n v="1"/>
    <s v="Morning"/>
  </r>
  <r>
    <d v="2026-07-22T00:00:00"/>
    <x v="549"/>
    <s v="Los Angeles"/>
    <s v="Atlanta"/>
    <s v="CRJ900"/>
    <n v="0.375"/>
    <n v="0.45347222222222222"/>
    <n v="105"/>
    <s v="Carrier"/>
    <x v="0"/>
    <n v="1942"/>
    <n v="113"/>
    <s v="July"/>
    <s v="Wednesday"/>
    <n v="0"/>
    <s v="Morning"/>
  </r>
  <r>
    <d v="2026-07-22T00:00:00"/>
    <x v="545"/>
    <s v="Boston"/>
    <s v="Atlanta"/>
    <s v="Boeing 737-800"/>
    <n v="0.47916666666666669"/>
    <m/>
    <n v="149"/>
    <s v="Air Traffic Control"/>
    <x v="0"/>
    <n v="945"/>
    <n v="158"/>
    <s v="July"/>
    <s v="Wednesday"/>
    <n v="0"/>
    <s v="Morning"/>
  </r>
  <r>
    <d v="2026-07-22T00:00:00"/>
    <x v="155"/>
    <s v="Atlanta"/>
    <s v="New York"/>
    <s v="CRJ900"/>
    <n v="0.625"/>
    <m/>
    <m/>
    <s v="Weather"/>
    <x v="1"/>
    <n v="759"/>
    <m/>
    <s v="July"/>
    <s v="Wednesday"/>
    <m/>
    <s v="Afternoon"/>
  </r>
  <r>
    <d v="2026-07-24T00:00:00"/>
    <x v="157"/>
    <s v="Atlanta"/>
    <s v="New York"/>
    <s v="Airbus A320"/>
    <n v="0.5625"/>
    <n v="0.57361111111111107"/>
    <n v="20"/>
    <s v="Late Aircraft"/>
    <x v="0"/>
    <n v="759"/>
    <n v="16"/>
    <s v="July"/>
    <s v="Friday"/>
    <n v="0"/>
    <s v="Afternoon"/>
  </r>
  <r>
    <d v="2026-07-24T00:00:00"/>
    <x v="550"/>
    <s v="Boston"/>
    <s v="Chicago"/>
    <s v="Boeing 737-800"/>
    <n v="0.67708333333333337"/>
    <n v="0.67847222222222225"/>
    <n v="4"/>
    <s v="None"/>
    <x v="0"/>
    <n v="864"/>
    <n v="2"/>
    <s v="July"/>
    <s v="Friday"/>
    <n v="1"/>
    <s v="Afternoon"/>
  </r>
  <r>
    <d v="2026-07-25T00:00:00"/>
    <x v="28"/>
    <s v="New York"/>
    <s v="Miami"/>
    <s v="Airbus A320"/>
    <n v="0.2361111111111111"/>
    <n v="0.25972222222222219"/>
    <n v="28"/>
    <s v="Carrier"/>
    <x v="0"/>
    <n v="1092"/>
    <n v="34"/>
    <s v="July"/>
    <s v="Saturday"/>
    <n v="0"/>
    <s v="Morning"/>
  </r>
  <r>
    <d v="2026-07-25T00:00:00"/>
    <x v="344"/>
    <s v="Atlanta"/>
    <s v="Chicago"/>
    <s v="Boeing 737-800"/>
    <n v="0.46875"/>
    <n v="0.46666666666666667"/>
    <n v="-4"/>
    <s v="None"/>
    <x v="0"/>
    <n v="606"/>
    <n v="-3"/>
    <s v="July"/>
    <s v="Saturday"/>
    <n v="1"/>
    <s v="Morning"/>
  </r>
  <r>
    <d v="2026-07-25T00:00:00"/>
    <x v="339"/>
    <s v="Phoenix"/>
    <s v="Chicago"/>
    <s v="CRJ900"/>
    <n v="0.53125"/>
    <n v="0.56805555555555554"/>
    <n v="38"/>
    <s v="Late Aircraft"/>
    <x v="0"/>
    <n v="1438"/>
    <n v="53"/>
    <s v="July"/>
    <s v="Saturday"/>
    <n v="0"/>
    <s v="Afternoon"/>
  </r>
  <r>
    <d v="2026-07-26T00:00:00"/>
    <x v="551"/>
    <s v="Chicago"/>
    <s v="Las Vegas"/>
    <s v="Airbus A320"/>
    <n v="0.42708333333333331"/>
    <n v="0.4465277777777778"/>
    <m/>
    <s v="Carrier"/>
    <x v="0"/>
    <n v="1511"/>
    <n v="28"/>
    <s v="July"/>
    <s v="Sunday"/>
    <m/>
    <s v="Morning"/>
  </r>
  <r>
    <d v="2026-07-26T00:00:00"/>
    <x v="383"/>
    <s v="New York"/>
    <s v="Dallas"/>
    <s v="Boeing 737-800"/>
    <n v="0.70138888888888884"/>
    <n v="0.70694444444444449"/>
    <n v="9"/>
    <s v="None"/>
    <x v="0"/>
    <n v="1389"/>
    <n v="8"/>
    <s v="July"/>
    <s v="Sunday"/>
    <n v="1"/>
    <s v="Afternoon"/>
  </r>
  <r>
    <d v="2026-07-26T00:00:00"/>
    <x v="440"/>
    <s v="Atlanta"/>
    <s v="Las Vegas"/>
    <s v="Boeing 737-800"/>
    <n v="0.77777777777777779"/>
    <n v="0.77847222222222223"/>
    <n v="5"/>
    <s v="None"/>
    <x v="0"/>
    <n v="1743"/>
    <n v="1"/>
    <s v="July"/>
    <s v="Sunday"/>
    <n v="1"/>
    <s v="Evening"/>
  </r>
  <r>
    <d v="2026-07-27T00:00:00"/>
    <x v="1"/>
    <s v="Atlanta"/>
    <s v="Miami"/>
    <s v="Airbus A320"/>
    <n v="0.52083333333333337"/>
    <n v="0.53194444444444444"/>
    <n v="8"/>
    <s v="Late Aircraft"/>
    <x v="0"/>
    <n v="596"/>
    <n v="16"/>
    <s v="July"/>
    <s v="Monday"/>
    <n v="1"/>
    <s v="Afternoon"/>
  </r>
  <r>
    <d v="2026-07-27T00:00:00"/>
    <x v="507"/>
    <s v="Atlanta"/>
    <s v="Dallas"/>
    <s v="Embraer E175"/>
    <n v="0.53125"/>
    <n v="0.52638888888888891"/>
    <m/>
    <s v="None"/>
    <x v="0"/>
    <n v="730"/>
    <n v="-7"/>
    <s v="July"/>
    <s v="Monday"/>
    <m/>
    <s v="Afternoon"/>
  </r>
  <r>
    <d v="2026-07-27T00:00:00"/>
    <x v="25"/>
    <s v="Dallas"/>
    <s v="Las Vegas"/>
    <s v="Boeing 737-800"/>
    <n v="0.68402777777777779"/>
    <n v="0.67986111111111114"/>
    <n v="-14"/>
    <s v="None"/>
    <x v="0"/>
    <n v="1053"/>
    <m/>
    <s v="July"/>
    <s v="Monday"/>
    <n v="1"/>
    <s v="Afternoon"/>
  </r>
  <r>
    <d v="2026-07-27T00:00:00"/>
    <x v="552"/>
    <s v="Atlanta"/>
    <s v="New York"/>
    <s v="Embraer E175"/>
    <n v="0.90972222222222221"/>
    <n v="0.90486111111111112"/>
    <n v="-3"/>
    <s v="None"/>
    <x v="0"/>
    <n v="759"/>
    <n v="-7"/>
    <s v="July"/>
    <s v="Monday"/>
    <n v="1"/>
    <s v="Night"/>
  </r>
  <r>
    <d v="2026-07-28T00:00:00"/>
    <x v="553"/>
    <s v="Boston"/>
    <s v="Miami"/>
    <s v="CRJ900"/>
    <n v="0.28125"/>
    <n v="0.28333333333333333"/>
    <n v="0"/>
    <s v="None"/>
    <x v="0"/>
    <n v="1260"/>
    <n v="3"/>
    <s v="July"/>
    <s v="Tuesday"/>
    <n v="1"/>
    <s v="Morning"/>
  </r>
  <r>
    <d v="2026-07-28T00:00:00"/>
    <x v="554"/>
    <s v="Los Angeles"/>
    <s v="Denver"/>
    <s v="Embraer E175"/>
    <n v="0.34375"/>
    <n v="0.35"/>
    <n v="-2"/>
    <s v="None"/>
    <x v="0"/>
    <n v="861"/>
    <n v="9"/>
    <s v="July"/>
    <s v="Tuesday"/>
    <n v="1"/>
    <s v="Morning"/>
  </r>
  <r>
    <d v="2026-07-28T00:00:00"/>
    <x v="15"/>
    <s v="Boston"/>
    <s v="Miami"/>
    <s v="CRJ900"/>
    <n v="0.53819444444444442"/>
    <n v="0.53611111111111109"/>
    <n v="6"/>
    <s v="None"/>
    <x v="0"/>
    <n v="1260"/>
    <n v="-3"/>
    <s v="July"/>
    <s v="Tuesday"/>
    <n v="1"/>
    <s v="Afternoon"/>
  </r>
  <r>
    <d v="2026-07-28T00:00:00"/>
    <x v="555"/>
    <s v="Las Vegas"/>
    <s v="Los Angeles"/>
    <s v="Airbus A320"/>
    <n v="0.85069444444444442"/>
    <n v="0.85"/>
    <n v="-11"/>
    <s v="None"/>
    <x v="0"/>
    <n v="236"/>
    <n v="-1"/>
    <s v="July"/>
    <s v="Tuesday"/>
    <n v="1"/>
    <s v="Evening"/>
  </r>
  <r>
    <d v="2026-07-28T00:00:00"/>
    <x v="166"/>
    <s v="Denver"/>
    <s v="Los Angeles"/>
    <s v="Boeing 737-800"/>
    <n v="0.91319444444444442"/>
    <n v="0.96458333333333335"/>
    <n v="72"/>
    <s v="Late Aircraft"/>
    <x v="0"/>
    <n v="861"/>
    <n v="74"/>
    <s v="July"/>
    <s v="Tuesday"/>
    <n v="0"/>
    <s v="Night"/>
  </r>
  <r>
    <d v="2026-07-29T00:00:00"/>
    <x v="556"/>
    <s v="New York"/>
    <s v="Los Angeles"/>
    <s v="CRJ900"/>
    <n v="0.71527777777777779"/>
    <n v="0.71319444444444446"/>
    <n v="-8"/>
    <s v="None"/>
    <x v="0"/>
    <n v="2470"/>
    <n v="-3"/>
    <s v="July"/>
    <s v="Wednesday"/>
    <n v="1"/>
    <s v="Evening"/>
  </r>
  <r>
    <d v="2026-07-29T00:00:00"/>
    <x v="234"/>
    <s v="Miami"/>
    <s v="Chicago"/>
    <s v="Embraer E175"/>
    <n v="0.91319444444444442"/>
    <n v="0.91180555555555554"/>
    <n v="-6"/>
    <s v="None"/>
    <x v="0"/>
    <n v="1199"/>
    <n v="-2"/>
    <s v="July"/>
    <s v="Wednesday"/>
    <n v="1"/>
    <s v="Night"/>
  </r>
  <r>
    <d v="2026-07-29T00:00:00"/>
    <x v="557"/>
    <s v="New York"/>
    <s v="Denver"/>
    <s v="Embraer E175"/>
    <n v="0.93402777777777779"/>
    <n v="0.93680555555555556"/>
    <n v="-4"/>
    <s v="None"/>
    <x v="0"/>
    <n v="1622"/>
    <n v="4"/>
    <s v="July"/>
    <s v="Wednesday"/>
    <n v="1"/>
    <s v="Night"/>
  </r>
  <r>
    <d v="2026-07-30T00:00:00"/>
    <x v="161"/>
    <s v="Miami"/>
    <s v="Chicago"/>
    <s v="Boeing 737-800"/>
    <n v="0.32291666666666669"/>
    <n v="0.32500000000000001"/>
    <n v="-7"/>
    <s v="None"/>
    <x v="0"/>
    <n v="1199"/>
    <n v="3"/>
    <s v="July"/>
    <s v="Thursday"/>
    <n v="1"/>
    <s v="Morning"/>
  </r>
  <r>
    <d v="2026-07-30T00:00:00"/>
    <x v="558"/>
    <s v="Boston"/>
    <s v="Miami"/>
    <s v="Embraer E175"/>
    <n v="0.67708333333333337"/>
    <n v="0.69236111111111109"/>
    <n v="16"/>
    <s v="Late Aircraft"/>
    <x v="0"/>
    <n v="1260"/>
    <n v="22"/>
    <s v="July"/>
    <s v="Thursday"/>
    <n v="0"/>
    <s v="Afternoon"/>
  </r>
  <r>
    <d v="2026-07-31T00:00:00"/>
    <x v="559"/>
    <s v="New York"/>
    <s v="Chicago"/>
    <s v="Embraer E175"/>
    <n v="0.27083333333333331"/>
    <n v="0.2673611111111111"/>
    <n v="-3"/>
    <s v="None"/>
    <x v="0"/>
    <n v="738"/>
    <n v="-5"/>
    <s v="July"/>
    <s v="Friday"/>
    <n v="1"/>
    <s v="Morning"/>
  </r>
  <r>
    <d v="2026-07-31T00:00:00"/>
    <x v="127"/>
    <s v="Chicago"/>
    <s v="Boston"/>
    <s v="Boeing 737-800"/>
    <n v="0.69791666666666663"/>
    <n v="0.75277777777777777"/>
    <n v="84"/>
    <s v="Late Aircraft"/>
    <x v="0"/>
    <n v="864"/>
    <n v="79"/>
    <s v="July"/>
    <s v="Friday"/>
    <n v="0"/>
    <s v="Afternoon"/>
  </r>
  <r>
    <d v="2026-08-01T00:00:00"/>
    <x v="278"/>
    <s v="Boston"/>
    <s v="Dallas"/>
    <s v="CRJ900"/>
    <n v="0.5"/>
    <n v="0.50208333333333333"/>
    <n v="8"/>
    <s v="None"/>
    <x v="0"/>
    <n v="1559"/>
    <n v="3"/>
    <s v="August"/>
    <s v="Saturday"/>
    <n v="1"/>
    <s v="Afternoon"/>
  </r>
  <r>
    <d v="2026-08-01T00:00:00"/>
    <x v="214"/>
    <s v="Atlanta"/>
    <s v="Chicago"/>
    <s v="Airbus A320"/>
    <n v="0.64930555555555558"/>
    <n v="0.65069444444444446"/>
    <n v="-2"/>
    <s v="None"/>
    <x v="0"/>
    <n v="606"/>
    <n v="2"/>
    <s v="August"/>
    <s v="Saturday"/>
    <n v="1"/>
    <s v="Afternoon"/>
  </r>
  <r>
    <d v="2026-08-01T00:00:00"/>
    <x v="389"/>
    <s v="Atlanta"/>
    <s v="Chicago"/>
    <s v="Airbus A320"/>
    <n v="0.71527777777777779"/>
    <n v="0.73472222222222228"/>
    <n v="34"/>
    <s v="Late Aircraft"/>
    <x v="0"/>
    <n v="606"/>
    <n v="28"/>
    <s v="August"/>
    <s v="Saturday"/>
    <n v="0"/>
    <s v="Evening"/>
  </r>
  <r>
    <d v="2026-08-01T00:00:00"/>
    <x v="31"/>
    <s v="San Francisco"/>
    <s v="Los Angeles"/>
    <s v="Airbus A320"/>
    <n v="0.72569444444444442"/>
    <n v="0.72430555555555554"/>
    <n v="-10"/>
    <s v="None"/>
    <x v="0"/>
    <n v="338"/>
    <n v="-2"/>
    <s v="August"/>
    <s v="Saturday"/>
    <n v="1"/>
    <s v="Evening"/>
  </r>
  <r>
    <d v="2026-08-02T00:00:00"/>
    <x v="560"/>
    <s v="Las Vegas"/>
    <s v="Atlanta"/>
    <s v="Embraer E175"/>
    <n v="0.4513888888888889"/>
    <n v="0.44930555555555562"/>
    <n v="-12"/>
    <s v="None"/>
    <x v="0"/>
    <n v="1743"/>
    <n v="-3"/>
    <s v="August"/>
    <s v="Sunday"/>
    <n v="1"/>
    <s v="Morning"/>
  </r>
  <r>
    <d v="2026-08-02T00:00:00"/>
    <x v="309"/>
    <s v="Phoenix"/>
    <s v="Los Angeles"/>
    <s v="Airbus A320"/>
    <n v="0.66319444444444442"/>
    <n v="0.66319444444444442"/>
    <n v="8"/>
    <s v="None"/>
    <x v="0"/>
    <n v="370"/>
    <n v="0"/>
    <s v="August"/>
    <s v="Sunday"/>
    <n v="1"/>
    <s v="Afternoon"/>
  </r>
  <r>
    <d v="2026-08-02T00:00:00"/>
    <x v="203"/>
    <s v="Las Vegas"/>
    <s v="Los Angeles"/>
    <s v="CRJ900"/>
    <n v="0.875"/>
    <n v="0.87708333333333333"/>
    <n v="6"/>
    <s v="None"/>
    <x v="0"/>
    <n v="236"/>
    <n v="3"/>
    <s v="August"/>
    <s v="Sunday"/>
    <n v="1"/>
    <s v="Night"/>
  </r>
  <r>
    <d v="2026-08-03T00:00:00"/>
    <x v="316"/>
    <s v="Boston"/>
    <s v="Atlanta"/>
    <s v="Airbus A320"/>
    <n v="0.55555555555555558"/>
    <n v="0.56874999999999998"/>
    <n v="17"/>
    <s v="Carrier"/>
    <x v="0"/>
    <n v="945"/>
    <n v="19"/>
    <s v="August"/>
    <s v="Monday"/>
    <n v="0"/>
    <s v="Afternoon"/>
  </r>
  <r>
    <d v="2026-08-04T00:00:00"/>
    <x v="419"/>
    <s v="Chicago"/>
    <s v="Phoenix"/>
    <s v="Airbus A320"/>
    <n v="0.38194444444444442"/>
    <n v="0.37847222222222221"/>
    <n v="-11"/>
    <s v="None"/>
    <x v="0"/>
    <n v="1438"/>
    <n v="-5"/>
    <s v="August"/>
    <s v="Tuesday"/>
    <n v="1"/>
    <s v="Morning"/>
  </r>
  <r>
    <d v="2026-08-04T00:00:00"/>
    <x v="561"/>
    <s v="Los Angeles"/>
    <s v="New York"/>
    <s v="Embraer E175"/>
    <n v="0.51388888888888884"/>
    <n v="0.53472222222222221"/>
    <n v="37"/>
    <s v="Carrier"/>
    <x v="0"/>
    <n v="2470"/>
    <n v="30"/>
    <s v="August"/>
    <s v="Tuesday"/>
    <n v="0"/>
    <s v="Afternoon"/>
  </r>
  <r>
    <d v="2026-08-04T00:00:00"/>
    <x v="291"/>
    <s v="Seattle"/>
    <s v="Chicago"/>
    <s v="CRJ900"/>
    <n v="0.65972222222222221"/>
    <n v="0.66527777777777775"/>
    <n v="5"/>
    <s v="None"/>
    <x v="0"/>
    <n v="1717"/>
    <n v="8"/>
    <s v="August"/>
    <s v="Tuesday"/>
    <n v="1"/>
    <s v="Afternoon"/>
  </r>
  <r>
    <d v="2026-08-04T00:00:00"/>
    <x v="182"/>
    <s v="Atlanta"/>
    <s v="Miami"/>
    <s v="CRJ900"/>
    <n v="0.82291666666666663"/>
    <n v="0.8256944444444444"/>
    <n v="3"/>
    <s v="None"/>
    <x v="0"/>
    <n v="596"/>
    <n v="4"/>
    <s v="August"/>
    <s v="Tuesday"/>
    <n v="1"/>
    <s v="Evening"/>
  </r>
  <r>
    <d v="2026-08-06T00:00:00"/>
    <x v="161"/>
    <s v="Dallas"/>
    <s v="Phoenix"/>
    <s v="Boeing 737-800"/>
    <n v="0.3923611111111111"/>
    <n v="0.43194444444444452"/>
    <n v="45"/>
    <s v="Late Aircraft"/>
    <x v="0"/>
    <n v="866"/>
    <n v="57"/>
    <s v="August"/>
    <s v="Thursday"/>
    <n v="0"/>
    <s v="Morning"/>
  </r>
  <r>
    <d v="2026-08-06T00:00:00"/>
    <x v="562"/>
    <s v="Chicago"/>
    <s v="New York"/>
    <s v="Airbus A320"/>
    <n v="0.92013888888888884"/>
    <n v="0.92152777777777772"/>
    <n v="5"/>
    <s v="None"/>
    <x v="0"/>
    <n v="738"/>
    <n v="2"/>
    <s v="August"/>
    <s v="Thursday"/>
    <n v="1"/>
    <s v="Night"/>
  </r>
  <r>
    <d v="2026-08-07T00:00:00"/>
    <x v="516"/>
    <s v="Denver"/>
    <s v="Seattle"/>
    <s v="Boeing 737-800"/>
    <n v="0.55902777777777779"/>
    <n v="0.58680555555555558"/>
    <n v="29"/>
    <s v="Late Aircraft"/>
    <x v="0"/>
    <n v="1023"/>
    <n v="40"/>
    <s v="August"/>
    <s v="Friday"/>
    <n v="0"/>
    <s v="Afternoon"/>
  </r>
  <r>
    <d v="2026-08-08T00:00:00"/>
    <x v="476"/>
    <s v="Atlanta"/>
    <s v="Las Vegas"/>
    <s v="Embraer E175"/>
    <n v="0.57986111111111116"/>
    <n v="0.59305555555555556"/>
    <n v="13"/>
    <s v="Weather"/>
    <x v="0"/>
    <n v="1743"/>
    <n v="19"/>
    <s v="August"/>
    <s v="Saturday"/>
    <n v="1"/>
    <s v="Afternoon"/>
  </r>
  <r>
    <d v="2026-08-08T00:00:00"/>
    <x v="561"/>
    <s v="Denver"/>
    <s v="Dallas"/>
    <s v="Boeing 737-800"/>
    <n v="0.77083333333333337"/>
    <n v="0.77847222222222223"/>
    <n v="9"/>
    <s v="None"/>
    <x v="0"/>
    <n v="641"/>
    <n v="11"/>
    <s v="August"/>
    <s v="Saturday"/>
    <n v="1"/>
    <s v="Evening"/>
  </r>
  <r>
    <d v="2026-08-09T00:00:00"/>
    <x v="563"/>
    <s v="Boston"/>
    <s v="Atlanta"/>
    <s v="Boeing 737-800"/>
    <n v="0.27083333333333331"/>
    <n v="0.26874999999999999"/>
    <n v="-14"/>
    <s v="None"/>
    <x v="0"/>
    <n v="945"/>
    <n v="-3"/>
    <s v="August"/>
    <s v="Sunday"/>
    <n v="1"/>
    <s v="Morning"/>
  </r>
  <r>
    <d v="2026-08-09T00:00:00"/>
    <x v="432"/>
    <s v="Atlanta"/>
    <s v="Denver"/>
    <s v="Embraer E175"/>
    <n v="0.52083333333333337"/>
    <n v="0.54583333333333328"/>
    <n v="35"/>
    <s v="Weather"/>
    <x v="0"/>
    <n v="1197"/>
    <n v="36"/>
    <s v="August"/>
    <s v="Sunday"/>
    <n v="0"/>
    <s v="Afternoon"/>
  </r>
  <r>
    <d v="2026-08-09T00:00:00"/>
    <x v="254"/>
    <s v="New York"/>
    <s v="Phoenix"/>
    <s v="CRJ900"/>
    <n v="0.58333333333333337"/>
    <m/>
    <n v="-19"/>
    <s v="None"/>
    <x v="0"/>
    <n v="2149"/>
    <n v="-8"/>
    <s v="August"/>
    <s v="Sunday"/>
    <n v="1"/>
    <s v="Afternoon"/>
  </r>
  <r>
    <d v="2026-08-09T00:00:00"/>
    <x v="564"/>
    <s v="Las Vegas"/>
    <s v="Atlanta"/>
    <s v="Boeing 737-800"/>
    <n v="0.69097222222222221"/>
    <n v="0.69236111111111109"/>
    <n v="-3"/>
    <s v="None"/>
    <x v="0"/>
    <n v="1743"/>
    <n v="2"/>
    <s v="August"/>
    <s v="Sunday"/>
    <n v="1"/>
    <s v="Afternoon"/>
  </r>
  <r>
    <d v="2026-08-09T00:00:00"/>
    <x v="565"/>
    <s v="Atlanta"/>
    <s v="Seattle"/>
    <s v="Boeing 737-800"/>
    <n v="0.77430555555555558"/>
    <n v="0.78749999999999998"/>
    <n v="16"/>
    <s v="Late Aircraft"/>
    <x v="0"/>
    <n v="2178"/>
    <n v="19"/>
    <s v="August"/>
    <s v="Sunday"/>
    <n v="0"/>
    <s v="Evening"/>
  </r>
  <r>
    <d v="2026-08-09T00:00:00"/>
    <x v="533"/>
    <s v="Chicago"/>
    <s v="Denver"/>
    <s v="Airbus A320"/>
    <n v="0.85763888888888884"/>
    <n v="0.92083333333333328"/>
    <n v="89"/>
    <s v="Carrier"/>
    <x v="0"/>
    <n v="886"/>
    <n v="91"/>
    <s v="August"/>
    <s v="Sunday"/>
    <n v="0"/>
    <s v="Evening"/>
  </r>
  <r>
    <d v="2026-08-10T00:00:00"/>
    <x v="99"/>
    <s v="Phoenix"/>
    <s v="Atlanta"/>
    <s v="Boeing 737-800"/>
    <n v="0.25694444444444442"/>
    <n v="0.25347222222222221"/>
    <n v="-10"/>
    <s v="None"/>
    <x v="0"/>
    <n v="1584"/>
    <n v="-5"/>
    <s v="August"/>
    <s v="Monday"/>
    <n v="1"/>
    <s v="Morning"/>
  </r>
  <r>
    <d v="2026-08-11T00:00:00"/>
    <x v="225"/>
    <s v="Seattle"/>
    <s v="Atlanta"/>
    <s v="Airbus A320"/>
    <n v="0.22569444444444439"/>
    <n v="0.22847222222222219"/>
    <n v="11"/>
    <s v="None"/>
    <x v="0"/>
    <n v="2178"/>
    <n v="4"/>
    <s v="August"/>
    <s v="Tuesday"/>
    <n v="1"/>
    <s v="Morning"/>
  </r>
  <r>
    <d v="2026-08-11T00:00:00"/>
    <x v="444"/>
    <s v="Chicago"/>
    <s v="Atlanta"/>
    <s v="Embraer E175"/>
    <n v="0.30208333333333331"/>
    <n v="0.31041666666666667"/>
    <n v="2"/>
    <s v="None"/>
    <x v="0"/>
    <n v="606"/>
    <n v="12"/>
    <s v="August"/>
    <s v="Tuesday"/>
    <n v="1"/>
    <s v="Morning"/>
  </r>
  <r>
    <d v="2026-08-11T00:00:00"/>
    <x v="200"/>
    <s v="Denver"/>
    <s v="Atlanta"/>
    <s v="Airbus A320"/>
    <n v="0.33680555555555558"/>
    <n v="0.34375"/>
    <n v="19"/>
    <s v="None"/>
    <x v="0"/>
    <n v="1197"/>
    <n v="10"/>
    <s v="August"/>
    <s v="Tuesday"/>
    <n v="0"/>
    <s v="Morning"/>
  </r>
  <r>
    <d v="2026-08-12T00:00:00"/>
    <x v="566"/>
    <s v="Dallas"/>
    <s v="Atlanta"/>
    <s v="CRJ900"/>
    <n v="0.35416666666666669"/>
    <n v="0.37569444444444439"/>
    <n v="39"/>
    <s v="Security"/>
    <x v="0"/>
    <n v="730"/>
    <n v="31"/>
    <s v="August"/>
    <s v="Wednesday"/>
    <n v="0"/>
    <s v="Morning"/>
  </r>
  <r>
    <d v="2026-08-12T00:00:00"/>
    <x v="24"/>
    <s v="Las Vegas"/>
    <s v="Dallas"/>
    <s v="Embraer E175"/>
    <n v="0.37847222222222221"/>
    <n v="0.37777777777777782"/>
    <n v="-13"/>
    <s v="None"/>
    <x v="0"/>
    <n v="1053"/>
    <n v="-1"/>
    <s v="August"/>
    <s v="Wednesday"/>
    <n v="1"/>
    <s v="Morning"/>
  </r>
  <r>
    <d v="2026-08-13T00:00:00"/>
    <x v="567"/>
    <s v="Dallas"/>
    <s v="Las Vegas"/>
    <s v="Airbus A320"/>
    <n v="0.51041666666666663"/>
    <n v="0.5444444444444444"/>
    <n v="41"/>
    <s v="Carrier"/>
    <x v="0"/>
    <n v="1053"/>
    <n v="49"/>
    <s v="August"/>
    <s v="Thursday"/>
    <n v="0"/>
    <s v="Afternoon"/>
  </r>
  <r>
    <d v="2026-08-13T00:00:00"/>
    <x v="144"/>
    <s v="Atlanta"/>
    <s v="Los Angeles"/>
    <s v="Boeing 737-800"/>
    <n v="0.625"/>
    <n v="0.62430555555555556"/>
    <m/>
    <s v="None"/>
    <x v="0"/>
    <n v="1942"/>
    <n v="-1"/>
    <s v="August"/>
    <s v="Thursday"/>
    <m/>
    <s v="Afternoon"/>
  </r>
  <r>
    <d v="2026-08-13T00:00:00"/>
    <x v="398"/>
    <s v="San Francisco"/>
    <s v="Seattle"/>
    <s v="CRJ900"/>
    <n v="0.72916666666666663"/>
    <n v="0.73402777777777772"/>
    <n v="-1"/>
    <s v="None"/>
    <x v="0"/>
    <n v="679"/>
    <n v="7"/>
    <s v="August"/>
    <s v="Thursday"/>
    <n v="1"/>
    <s v="Evening"/>
  </r>
  <r>
    <d v="2026-08-13T00:00:00"/>
    <x v="568"/>
    <s v="Boston"/>
    <s v="Phoenix"/>
    <s v="CRJ900"/>
    <n v="0.83680555555555558"/>
    <n v="0.83888888888888891"/>
    <n v="1"/>
    <s v="None"/>
    <x v="0"/>
    <n v="2295"/>
    <n v="3"/>
    <s v="August"/>
    <s v="Thursday"/>
    <n v="1"/>
    <s v="Evening"/>
  </r>
  <r>
    <d v="2026-08-14T00:00:00"/>
    <x v="401"/>
    <s v="Dallas"/>
    <s v="San Francisco"/>
    <s v="Boeing 737-800"/>
    <n v="0.28125"/>
    <n v="0.27986111111111112"/>
    <n v="5"/>
    <s v="None"/>
    <x v="0"/>
    <n v="1462"/>
    <n v="-2"/>
    <s v="August"/>
    <s v="Friday"/>
    <n v="1"/>
    <s v="Morning"/>
  </r>
  <r>
    <d v="2026-08-14T00:00:00"/>
    <x v="440"/>
    <s v="Atlanta"/>
    <s v="Phoenix"/>
    <s v="CRJ900"/>
    <n v="0.36458333333333331"/>
    <n v="0.36736111111111108"/>
    <m/>
    <s v="None"/>
    <x v="0"/>
    <n v="1584"/>
    <n v="4"/>
    <s v="August"/>
    <s v="Friday"/>
    <m/>
    <s v="Morning"/>
  </r>
  <r>
    <d v="2026-08-14T00:00:00"/>
    <x v="569"/>
    <s v="Denver"/>
    <s v="Dallas"/>
    <s v="Boeing 737-800"/>
    <n v="0.40972222222222221"/>
    <n v="0.41388888888888892"/>
    <n v="-6"/>
    <s v="None"/>
    <x v="0"/>
    <n v="641"/>
    <n v="6"/>
    <s v="August"/>
    <s v="Friday"/>
    <n v="1"/>
    <s v="Morning"/>
  </r>
  <r>
    <d v="2026-08-14T00:00:00"/>
    <x v="248"/>
    <s v="Phoenix"/>
    <s v="Seattle"/>
    <s v="Airbus A320"/>
    <n v="0.82291666666666663"/>
    <n v="0.81874999999999998"/>
    <n v="-7"/>
    <s v="None"/>
    <x v="0"/>
    <n v="1108"/>
    <n v="-6"/>
    <s v="August"/>
    <s v="Friday"/>
    <n v="1"/>
    <s v="Evening"/>
  </r>
  <r>
    <d v="2026-08-14T00:00:00"/>
    <x v="570"/>
    <s v="Atlanta"/>
    <s v="Seattle"/>
    <s v="Boeing 737-800"/>
    <n v="0.85416666666666663"/>
    <n v="0.86527777777777781"/>
    <n v="2"/>
    <s v="Carrier"/>
    <x v="0"/>
    <n v="2178"/>
    <n v="16"/>
    <s v="August"/>
    <s v="Friday"/>
    <n v="1"/>
    <s v="Evening"/>
  </r>
  <r>
    <d v="2026-08-15T00:00:00"/>
    <x v="354"/>
    <s v="Los Angeles"/>
    <s v="Seattle"/>
    <s v="Boeing 737-800"/>
    <n v="0.3888888888888889"/>
    <n v="0.38611111111111113"/>
    <n v="-1"/>
    <s v="None"/>
    <x v="0"/>
    <n v="955"/>
    <n v="-4"/>
    <s v="August"/>
    <s v="Saturday"/>
    <n v="1"/>
    <s v="Morning"/>
  </r>
  <r>
    <d v="2026-08-15T00:00:00"/>
    <x v="571"/>
    <s v="Chicago"/>
    <s v="Boston"/>
    <s v="Boeing 737-800"/>
    <n v="0.74652777777777779"/>
    <n v="0.74513888888888891"/>
    <n v="7"/>
    <s v="None"/>
    <x v="0"/>
    <n v="864"/>
    <n v="-2"/>
    <s v="August"/>
    <s v="Saturday"/>
    <n v="1"/>
    <s v="Evening"/>
  </r>
  <r>
    <d v="2026-08-16T00:00:00"/>
    <x v="174"/>
    <s v="Miami"/>
    <s v="Atlanta"/>
    <s v="Airbus A320"/>
    <n v="0.28125"/>
    <n v="0.27569444444444452"/>
    <n v="-6"/>
    <s v="None"/>
    <x v="0"/>
    <n v="596"/>
    <n v="-8"/>
    <s v="August"/>
    <s v="Sunday"/>
    <n v="1"/>
    <s v="Morning"/>
  </r>
  <r>
    <d v="2026-08-16T00:00:00"/>
    <x v="346"/>
    <s v="Phoenix"/>
    <s v="Chicago"/>
    <s v="Boeing 737-800"/>
    <n v="0.67708333333333337"/>
    <n v="0.69444444444444442"/>
    <n v="27"/>
    <s v="Air Traffic Control"/>
    <x v="0"/>
    <n v="1438"/>
    <n v="25"/>
    <s v="August"/>
    <s v="Sunday"/>
    <n v="0"/>
    <s v="Afternoon"/>
  </r>
  <r>
    <d v="2026-08-16T00:00:00"/>
    <x v="280"/>
    <s v="New York"/>
    <s v="San Francisco"/>
    <s v="Boeing 737-800"/>
    <n v="0.68402777777777779"/>
    <n v="0.6875"/>
    <n v="-1"/>
    <s v="None"/>
    <x v="0"/>
    <n v="2580"/>
    <n v="5"/>
    <s v="August"/>
    <s v="Sunday"/>
    <n v="1"/>
    <s v="Afternoon"/>
  </r>
  <r>
    <d v="2026-08-17T00:00:00"/>
    <x v="309"/>
    <s v="Las Vegas"/>
    <s v="Chicago"/>
    <s v="Airbus A320"/>
    <n v="0.71527777777777779"/>
    <n v="0.72013888888888888"/>
    <n v="0"/>
    <s v="None"/>
    <x v="0"/>
    <n v="1511"/>
    <n v="7"/>
    <s v="August"/>
    <s v="Monday"/>
    <n v="1"/>
    <s v="Evening"/>
  </r>
  <r>
    <d v="2026-08-17T00:00:00"/>
    <x v="410"/>
    <s v="New York"/>
    <s v="Seattle"/>
    <s v="Boeing 737-800"/>
    <n v="0.81944444444444442"/>
    <n v="0.8208333333333333"/>
    <n v="8"/>
    <s v="None"/>
    <x v="0"/>
    <n v="2415"/>
    <n v="2"/>
    <s v="August"/>
    <s v="Monday"/>
    <n v="1"/>
    <s v="Evening"/>
  </r>
  <r>
    <d v="2026-08-17T00:00:00"/>
    <x v="106"/>
    <s v="Denver"/>
    <s v="Phoenix"/>
    <s v="Airbus A320"/>
    <n v="0.875"/>
    <n v="0.87847222222222221"/>
    <n v="5"/>
    <s v="None"/>
    <x v="0"/>
    <n v="602"/>
    <n v="5"/>
    <s v="August"/>
    <s v="Monday"/>
    <n v="1"/>
    <s v="Night"/>
  </r>
  <r>
    <d v="2026-08-18T00:00:00"/>
    <x v="556"/>
    <s v="Dallas"/>
    <s v="New York"/>
    <s v="Boeing 737-800"/>
    <n v="0.2986111111111111"/>
    <n v="0.29791666666666672"/>
    <n v="-8"/>
    <s v="None"/>
    <x v="0"/>
    <n v="1389"/>
    <n v="-1"/>
    <s v="August"/>
    <s v="Tuesday"/>
    <n v="1"/>
    <s v="Morning"/>
  </r>
  <r>
    <d v="2026-08-18T00:00:00"/>
    <x v="46"/>
    <s v="New York"/>
    <s v="Los Angeles"/>
    <s v="Boeing 737-800"/>
    <n v="0.71180555555555558"/>
    <n v="0.70625000000000004"/>
    <n v="-7"/>
    <s v="None"/>
    <x v="0"/>
    <n v="2470"/>
    <n v="-8"/>
    <s v="August"/>
    <s v="Tuesday"/>
    <n v="1"/>
    <s v="Evening"/>
  </r>
  <r>
    <d v="2026-08-19T00:00:00"/>
    <x v="129"/>
    <s v="Boston"/>
    <s v="Miami"/>
    <s v="Boeing 737-800"/>
    <n v="0.74652777777777779"/>
    <n v="0.75763888888888886"/>
    <n v="10"/>
    <s v="Weather"/>
    <x v="0"/>
    <n v="1260"/>
    <n v="16"/>
    <s v="August"/>
    <s v="Wednesday"/>
    <n v="1"/>
    <s v="Evening"/>
  </r>
  <r>
    <d v="2026-08-20T00:00:00"/>
    <x v="563"/>
    <s v="Atlanta"/>
    <s v="Phoenix"/>
    <s v="Boeing 737-800"/>
    <n v="0.63541666666666663"/>
    <n v="0.63958333333333328"/>
    <n v="6"/>
    <s v="None"/>
    <x v="0"/>
    <n v="1584"/>
    <n v="6"/>
    <s v="August"/>
    <s v="Thursday"/>
    <n v="1"/>
    <s v="Afternoon"/>
  </r>
  <r>
    <d v="2026-08-21T00:00:00"/>
    <x v="271"/>
    <s v="Denver"/>
    <s v="Atlanta"/>
    <s v="Airbus A320"/>
    <n v="0.35416666666666669"/>
    <n v="0.35555555555555562"/>
    <n v="10"/>
    <s v="None"/>
    <x v="0"/>
    <n v="1197"/>
    <n v="2"/>
    <s v="August"/>
    <s v="Friday"/>
    <n v="1"/>
    <s v="Morning"/>
  </r>
  <r>
    <d v="2026-08-21T00:00:00"/>
    <x v="265"/>
    <s v="Los Angeles"/>
    <s v="Chicago"/>
    <s v="Boeing 737-800"/>
    <n v="0.53819444444444442"/>
    <n v="0.53819444444444442"/>
    <n v="-4"/>
    <s v="None"/>
    <x v="0"/>
    <n v="1742"/>
    <n v="0"/>
    <s v="August"/>
    <s v="Friday"/>
    <n v="1"/>
    <s v="Afternoon"/>
  </r>
  <r>
    <d v="2026-08-21T00:00:00"/>
    <x v="145"/>
    <s v="Phoenix"/>
    <s v="Los Angeles"/>
    <s v="Airbus A320"/>
    <n v="0.57986111111111116"/>
    <n v="0.64375000000000004"/>
    <n v="85"/>
    <s v="Carrier"/>
    <x v="0"/>
    <n v="370"/>
    <n v="92"/>
    <s v="August"/>
    <s v="Friday"/>
    <n v="0"/>
    <s v="Afternoon"/>
  </r>
  <r>
    <d v="2026-08-21T00:00:00"/>
    <x v="181"/>
    <s v="Dallas"/>
    <s v="Denver"/>
    <s v="Airbus A320"/>
    <n v="0.70486111111111116"/>
    <n v="0.74236111111111114"/>
    <n v="42"/>
    <s v="Air Traffic Control"/>
    <x v="0"/>
    <n v="641"/>
    <n v="54"/>
    <s v="August"/>
    <s v="Friday"/>
    <n v="0"/>
    <s v="Afternoon"/>
  </r>
  <r>
    <d v="2026-08-22T00:00:00"/>
    <x v="207"/>
    <s v="Atlanta"/>
    <s v="Miami"/>
    <s v="CRJ900"/>
    <n v="0.46875"/>
    <n v="0.47499999999999998"/>
    <m/>
    <s v="None"/>
    <x v="0"/>
    <n v="596"/>
    <n v="9"/>
    <s v="August"/>
    <s v="Saturday"/>
    <m/>
    <s v="Morning"/>
  </r>
  <r>
    <d v="2026-08-22T00:00:00"/>
    <x v="174"/>
    <s v="Los Angeles"/>
    <s v="Chicago"/>
    <s v="Embraer E175"/>
    <n v="0.60763888888888884"/>
    <n v="0.60416666666666663"/>
    <n v="-10"/>
    <s v="None"/>
    <x v="0"/>
    <n v="1742"/>
    <n v="-5"/>
    <s v="August"/>
    <s v="Saturday"/>
    <n v="1"/>
    <s v="Afternoon"/>
  </r>
  <r>
    <d v="2026-08-22T00:00:00"/>
    <x v="55"/>
    <s v="Atlanta"/>
    <s v="Denver"/>
    <s v="Embraer E175"/>
    <n v="0.87847222222222221"/>
    <n v="0.87430555555555556"/>
    <n v="-2"/>
    <s v="None"/>
    <x v="0"/>
    <n v="1197"/>
    <n v="-6"/>
    <s v="August"/>
    <s v="Saturday"/>
    <n v="1"/>
    <s v="Night"/>
  </r>
  <r>
    <d v="2026-08-23T00:00:00"/>
    <x v="469"/>
    <s v="Atlanta"/>
    <s v="Las Vegas"/>
    <s v="Boeing 737-800"/>
    <n v="0.37847222222222221"/>
    <n v="0.37708333333333333"/>
    <n v="-8"/>
    <s v="None"/>
    <x v="0"/>
    <n v="1743"/>
    <n v="-2"/>
    <s v="August"/>
    <s v="Sunday"/>
    <n v="1"/>
    <s v="Morning"/>
  </r>
  <r>
    <d v="2026-08-23T00:00:00"/>
    <x v="430"/>
    <s v="Denver"/>
    <s v="Miami"/>
    <s v="Boeing 737-800"/>
    <n v="0.94791666666666663"/>
    <n v="0.95347222222222228"/>
    <n v="16"/>
    <s v="None"/>
    <x v="0"/>
    <n v="1708"/>
    <n v="8"/>
    <s v="August"/>
    <s v="Sunday"/>
    <n v="0"/>
    <s v="Night"/>
  </r>
  <r>
    <d v="2026-08-24T00:00:00"/>
    <x v="39"/>
    <s v="Los Angeles"/>
    <s v="Denver"/>
    <s v="Airbus A320"/>
    <n v="0.25694444444444442"/>
    <n v="0.25138888888888888"/>
    <n v="-9"/>
    <s v="None"/>
    <x v="0"/>
    <n v="861"/>
    <n v="-8"/>
    <s v="August"/>
    <s v="Monday"/>
    <n v="1"/>
    <s v="Morning"/>
  </r>
  <r>
    <d v="2026-08-24T00:00:00"/>
    <x v="572"/>
    <s v="Dallas"/>
    <s v="Seattle"/>
    <s v="Boeing 737-800"/>
    <n v="0.34722222222222221"/>
    <n v="0.37986111111111109"/>
    <n v="35"/>
    <s v="Late Aircraft"/>
    <x v="0"/>
    <n v="1658"/>
    <n v="47"/>
    <s v="August"/>
    <s v="Monday"/>
    <n v="0"/>
    <s v="Morning"/>
  </r>
  <r>
    <d v="2026-08-24T00:00:00"/>
    <x v="199"/>
    <s v="New York"/>
    <s v="Seattle"/>
    <s v="Boeing 737-800"/>
    <n v="0.86458333333333337"/>
    <n v="0.87222222222222223"/>
    <n v="4"/>
    <s v="None"/>
    <x v="0"/>
    <n v="2415"/>
    <n v="11"/>
    <s v="August"/>
    <s v="Monday"/>
    <n v="1"/>
    <s v="Evening"/>
  </r>
  <r>
    <d v="2026-08-25T00:00:00"/>
    <x v="77"/>
    <s v="New York"/>
    <s v="Dallas"/>
    <s v="Boeing 737-800"/>
    <n v="0.32291666666666669"/>
    <n v="0.32222222222222219"/>
    <n v="-4"/>
    <s v="None"/>
    <x v="0"/>
    <n v="1389"/>
    <n v="-1"/>
    <s v="August"/>
    <s v="Tuesday"/>
    <n v="1"/>
    <s v="Morning"/>
  </r>
  <r>
    <d v="2026-08-25T00:00:00"/>
    <x v="293"/>
    <s v="Los Angeles"/>
    <s v="Miami"/>
    <s v="Boeing 737-800"/>
    <n v="0.64930555555555558"/>
    <n v="0.65069444444444446"/>
    <n v="-9"/>
    <s v="None"/>
    <x v="0"/>
    <n v="2338"/>
    <n v="2"/>
    <s v="August"/>
    <s v="Tuesday"/>
    <n v="1"/>
    <s v="Afternoon"/>
  </r>
  <r>
    <d v="2026-08-27T00:00:00"/>
    <x v="430"/>
    <s v="Miami"/>
    <s v="Chicago"/>
    <s v="Airbus A320"/>
    <n v="0.3125"/>
    <n v="0.31319444444444439"/>
    <n v="7"/>
    <s v="None"/>
    <x v="0"/>
    <n v="1199"/>
    <n v="1"/>
    <s v="August"/>
    <s v="Thursday"/>
    <n v="1"/>
    <s v="Morning"/>
  </r>
  <r>
    <d v="2026-08-27T00:00:00"/>
    <x v="206"/>
    <s v="Las Vegas"/>
    <s v="New York"/>
    <s v="CRJ900"/>
    <n v="0.61805555555555558"/>
    <n v="0.61527777777777781"/>
    <n v="-8"/>
    <s v="None"/>
    <x v="0"/>
    <n v="2243"/>
    <n v="-4"/>
    <s v="August"/>
    <s v="Thursday"/>
    <n v="1"/>
    <s v="Afternoon"/>
  </r>
  <r>
    <d v="2026-08-27T00:00:00"/>
    <x v="63"/>
    <s v="Seattle"/>
    <s v="New York"/>
    <s v="Embraer E175"/>
    <n v="0.62847222222222221"/>
    <n v="0.62777777777777777"/>
    <n v="-8"/>
    <s v="None"/>
    <x v="0"/>
    <n v="2415"/>
    <n v="-1"/>
    <s v="August"/>
    <s v="Thursday"/>
    <n v="1"/>
    <s v="Afternoon"/>
  </r>
  <r>
    <d v="2026-08-28T00:00:00"/>
    <x v="37"/>
    <s v="Chicago"/>
    <s v="Boston"/>
    <s v="Boeing 737-800"/>
    <n v="0.51388888888888884"/>
    <n v="0.6118055555555556"/>
    <n v="126"/>
    <s v="Carrier"/>
    <x v="0"/>
    <n v="864"/>
    <n v="141"/>
    <s v="August"/>
    <s v="Friday"/>
    <n v="0"/>
    <s v="Afternoon"/>
  </r>
  <r>
    <d v="2026-08-28T00:00:00"/>
    <x v="246"/>
    <s v="Atlanta"/>
    <s v="Chicago"/>
    <s v="Embraer E175"/>
    <n v="0.68055555555555558"/>
    <m/>
    <n v="57"/>
    <s v="Late Aircraft"/>
    <x v="0"/>
    <n v="606"/>
    <n v="57"/>
    <s v="August"/>
    <s v="Friday"/>
    <n v="0"/>
    <s v="Afternoon"/>
  </r>
  <r>
    <d v="2026-08-29T00:00:00"/>
    <x v="241"/>
    <s v="Atlanta"/>
    <s v="Miami"/>
    <s v="Boeing 737-800"/>
    <n v="0.32291666666666669"/>
    <n v="0.43472222222222218"/>
    <n v="165"/>
    <s v="Carrier"/>
    <x v="0"/>
    <n v="596"/>
    <n v="161"/>
    <s v="August"/>
    <s v="Saturday"/>
    <n v="0"/>
    <s v="Morning"/>
  </r>
  <r>
    <d v="2026-08-30T00:00:00"/>
    <x v="0"/>
    <s v="Las Vegas"/>
    <s v="Chicago"/>
    <s v="Boeing 737-800"/>
    <n v="0.43055555555555558"/>
    <m/>
    <n v="0"/>
    <s v="None"/>
    <x v="0"/>
    <n v="1511"/>
    <n v="3"/>
    <s v="August"/>
    <s v="Sunday"/>
    <n v="1"/>
    <s v="Morning"/>
  </r>
  <r>
    <d v="2026-08-30T00:00:00"/>
    <x v="82"/>
    <s v="Dallas"/>
    <s v="Chicago"/>
    <s v="Embraer E175"/>
    <n v="0.78125"/>
    <n v="0.77986111111111112"/>
    <n v="-4"/>
    <s v="None"/>
    <x v="0"/>
    <n v="802"/>
    <n v="-2"/>
    <s v="August"/>
    <s v="Sunday"/>
    <n v="1"/>
    <s v="Evening"/>
  </r>
  <r>
    <d v="2026-08-30T00:00:00"/>
    <x v="120"/>
    <s v="Phoenix"/>
    <s v="Atlanta"/>
    <s v="Airbus A320"/>
    <n v="0.82291666666666663"/>
    <n v="0.82777777777777772"/>
    <n v="2"/>
    <s v="None"/>
    <x v="0"/>
    <n v="1584"/>
    <n v="7"/>
    <s v="August"/>
    <s v="Sunday"/>
    <n v="1"/>
    <s v="Evening"/>
  </r>
  <r>
    <d v="2026-08-31T00:00:00"/>
    <x v="435"/>
    <s v="Dallas"/>
    <s v="Seattle"/>
    <s v="Airbus A320"/>
    <n v="0.70833333333333337"/>
    <n v="0.73541666666666672"/>
    <n v="36"/>
    <s v="Weather"/>
    <x v="0"/>
    <n v="1658"/>
    <n v="39"/>
    <s v="August"/>
    <s v="Monday"/>
    <n v="0"/>
    <s v="Evening"/>
  </r>
  <r>
    <d v="2026-08-31T00:00:00"/>
    <x v="105"/>
    <s v="Atlanta"/>
    <s v="Chicago"/>
    <s v="CRJ900"/>
    <n v="0.78125"/>
    <n v="0.80555555555555558"/>
    <n v="26"/>
    <s v="Carrier"/>
    <x v="0"/>
    <n v="606"/>
    <n v="35"/>
    <s v="August"/>
    <s v="Monday"/>
    <n v="0"/>
    <s v="Even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K-00001"/>
    <x v="0"/>
    <x v="0"/>
    <x v="0"/>
    <s v="Chicago"/>
    <x v="0"/>
    <n v="0.28819444444444442"/>
    <n v="0.28680555555555548"/>
    <n v="-12"/>
    <x v="0"/>
    <x v="0"/>
    <n v="1742"/>
    <n v="-2"/>
    <s v="September"/>
    <x v="0"/>
    <x v="0"/>
    <x v="0"/>
    <x v="0"/>
  </r>
  <r>
    <s v="SK-00002"/>
    <x v="0"/>
    <x v="1"/>
    <x v="1"/>
    <s v="Denver"/>
    <x v="1"/>
    <n v="0.375"/>
    <n v="0.38333333333333341"/>
    <n v="22"/>
    <x v="0"/>
    <x v="0"/>
    <n v="1622"/>
    <n v="12"/>
    <s v="September"/>
    <x v="0"/>
    <x v="1"/>
    <x v="0"/>
    <x v="0"/>
  </r>
  <r>
    <s v="SK-00003"/>
    <x v="0"/>
    <x v="2"/>
    <x v="2"/>
    <s v="Los Angeles"/>
    <x v="2"/>
    <n v="0.40625"/>
    <n v="0.40486111111111112"/>
    <n v="-3"/>
    <x v="0"/>
    <x v="0"/>
    <n v="1232"/>
    <n v="-2"/>
    <s v="September"/>
    <x v="0"/>
    <x v="0"/>
    <x v="0"/>
    <x v="0"/>
  </r>
  <r>
    <s v="SK-00004"/>
    <x v="1"/>
    <x v="3"/>
    <x v="3"/>
    <s v="New York"/>
    <x v="0"/>
    <n v="0.44444444444444442"/>
    <n v="0.44166666666666671"/>
    <n v="4"/>
    <x v="0"/>
    <x v="0"/>
    <n v="2243"/>
    <n v="-4"/>
    <s v="September"/>
    <x v="1"/>
    <x v="0"/>
    <x v="0"/>
    <x v="0"/>
  </r>
  <r>
    <s v="SK-00005"/>
    <x v="2"/>
    <x v="4"/>
    <x v="1"/>
    <s v="Denver"/>
    <x v="0"/>
    <n v="0.26041666666666669"/>
    <n v="0.26180555555555562"/>
    <n v="-1"/>
    <x v="0"/>
    <x v="0"/>
    <n v="1622"/>
    <n v="2"/>
    <s v="September"/>
    <x v="2"/>
    <x v="0"/>
    <x v="0"/>
    <x v="0"/>
  </r>
  <r>
    <s v="SK-00006"/>
    <x v="2"/>
    <x v="5"/>
    <x v="4"/>
    <s v="New York"/>
    <x v="3"/>
    <n v="0.41319444444444442"/>
    <n v="0.41944444444444451"/>
    <n v="-2"/>
    <x v="0"/>
    <x v="0"/>
    <n v="2415"/>
    <n v="9"/>
    <s v="September"/>
    <x v="2"/>
    <x v="0"/>
    <x v="0"/>
    <x v="0"/>
  </r>
  <r>
    <s v="SK-00007"/>
    <x v="2"/>
    <x v="6"/>
    <x v="5"/>
    <s v="Miami"/>
    <x v="3"/>
    <n v="0.44791666666666669"/>
    <n v="0.45624999999999999"/>
    <n v="2"/>
    <x v="0"/>
    <x v="0"/>
    <n v="1199"/>
    <n v="12"/>
    <s v="September"/>
    <x v="2"/>
    <x v="0"/>
    <x v="0"/>
    <x v="0"/>
  </r>
  <r>
    <s v="SK-00008"/>
    <x v="2"/>
    <x v="7"/>
    <x v="3"/>
    <s v="Boston"/>
    <x v="2"/>
    <n v="0.51736111111111116"/>
    <n v="0.51597222222222228"/>
    <n v="1"/>
    <x v="0"/>
    <x v="0"/>
    <n v="2375"/>
    <n v="-2"/>
    <s v="September"/>
    <x v="2"/>
    <x v="0"/>
    <x v="1"/>
    <x v="0"/>
  </r>
  <r>
    <s v="SK-00009"/>
    <x v="3"/>
    <x v="8"/>
    <x v="6"/>
    <s v="Denver"/>
    <x v="2"/>
    <n v="0.27430555555555558"/>
    <n v="0.27152777777777781"/>
    <n v="-10"/>
    <x v="0"/>
    <x v="0"/>
    <n v="965"/>
    <n v="-4"/>
    <s v="September"/>
    <x v="3"/>
    <x v="0"/>
    <x v="0"/>
    <x v="0"/>
  </r>
  <r>
    <s v="SK-00010"/>
    <x v="3"/>
    <x v="9"/>
    <x v="7"/>
    <s v="Dallas"/>
    <x v="3"/>
    <n v="0.34722222222222221"/>
    <n v="0.35555555555555562"/>
    <n v="21"/>
    <x v="0"/>
    <x v="0"/>
    <n v="730"/>
    <n v="12"/>
    <s v="September"/>
    <x v="3"/>
    <x v="1"/>
    <x v="0"/>
    <x v="0"/>
  </r>
  <r>
    <s v="SK-00011"/>
    <x v="3"/>
    <x v="10"/>
    <x v="0"/>
    <s v="New York"/>
    <x v="0"/>
    <n v="0.55555555555555558"/>
    <n v="0.60972222222222228"/>
    <n v="76"/>
    <x v="1"/>
    <x v="0"/>
    <n v="2470"/>
    <n v="78"/>
    <s v="September"/>
    <x v="3"/>
    <x v="1"/>
    <x v="1"/>
    <x v="1"/>
  </r>
  <r>
    <s v="SK-00012"/>
    <x v="3"/>
    <x v="11"/>
    <x v="0"/>
    <s v="Dallas"/>
    <x v="0"/>
    <n v="0.57291666666666663"/>
    <n v="0.56944444444444442"/>
    <n v="0"/>
    <x v="0"/>
    <x v="0"/>
    <n v="1232"/>
    <n v="-5"/>
    <s v="September"/>
    <x v="3"/>
    <x v="0"/>
    <x v="1"/>
    <x v="0"/>
  </r>
  <r>
    <s v="SK-00013"/>
    <x v="3"/>
    <x v="12"/>
    <x v="7"/>
    <s v="Boston"/>
    <x v="1"/>
    <n v="0.80555555555555558"/>
    <n v="0.81736111111111109"/>
    <n v="23"/>
    <x v="2"/>
    <x v="0"/>
    <n v="945"/>
    <n v="17"/>
    <s v="September"/>
    <x v="3"/>
    <x v="1"/>
    <x v="2"/>
    <x v="1"/>
  </r>
  <r>
    <s v="SK-00014"/>
    <x v="3"/>
    <x v="13"/>
    <x v="1"/>
    <s v="Los Angeles"/>
    <x v="2"/>
    <n v="0.82638888888888884"/>
    <n v="0.83472222222222225"/>
    <n v="13"/>
    <x v="0"/>
    <x v="0"/>
    <n v="2470"/>
    <n v="12"/>
    <s v="September"/>
    <x v="3"/>
    <x v="0"/>
    <x v="2"/>
    <x v="0"/>
  </r>
  <r>
    <s v="SK-00015"/>
    <x v="4"/>
    <x v="14"/>
    <x v="1"/>
    <s v="Atlanta"/>
    <x v="1"/>
    <n v="0.58680555555555558"/>
    <n v="0.59444444444444444"/>
    <n v="2"/>
    <x v="0"/>
    <x v="0"/>
    <n v="759"/>
    <n v="11"/>
    <s v="September"/>
    <x v="4"/>
    <x v="0"/>
    <x v="1"/>
    <x v="0"/>
  </r>
  <r>
    <s v="SK-00016"/>
    <x v="4"/>
    <x v="15"/>
    <x v="6"/>
    <s v="Atlanta"/>
    <x v="3"/>
    <n v="0.69097222222222221"/>
    <m/>
    <n v="10"/>
    <x v="0"/>
    <x v="0"/>
    <n v="2134"/>
    <n v="6"/>
    <s v="September"/>
    <x v="4"/>
    <x v="0"/>
    <x v="1"/>
    <x v="0"/>
  </r>
  <r>
    <s v="SK-00017"/>
    <x v="5"/>
    <x v="16"/>
    <x v="8"/>
    <s v="Los Angeles"/>
    <x v="2"/>
    <n v="0.52777777777777779"/>
    <n v="0.52222222222222225"/>
    <n v="-13"/>
    <x v="0"/>
    <x v="0"/>
    <n v="2606"/>
    <n v="-8"/>
    <s v="September"/>
    <x v="5"/>
    <x v="0"/>
    <x v="1"/>
    <x v="0"/>
  </r>
  <r>
    <s v="SK-00018"/>
    <x v="5"/>
    <x v="17"/>
    <x v="9"/>
    <s v="Chicago"/>
    <x v="3"/>
    <n v="0.56944444444444442"/>
    <n v="0.56527777777777777"/>
    <n v="-13"/>
    <x v="0"/>
    <x v="0"/>
    <n v="886"/>
    <n v="-6"/>
    <s v="September"/>
    <x v="5"/>
    <x v="0"/>
    <x v="1"/>
    <x v="0"/>
  </r>
  <r>
    <s v="SK-00019"/>
    <x v="5"/>
    <x v="18"/>
    <x v="9"/>
    <s v="Chicago"/>
    <x v="0"/>
    <n v="0.72569444444444442"/>
    <n v="0.73055555555555551"/>
    <n v="-2"/>
    <x v="0"/>
    <x v="0"/>
    <n v="886"/>
    <n v="7"/>
    <s v="September"/>
    <x v="5"/>
    <x v="0"/>
    <x v="2"/>
    <x v="0"/>
  </r>
  <r>
    <s v="SK-00020"/>
    <x v="6"/>
    <x v="19"/>
    <x v="3"/>
    <s v="New York"/>
    <x v="2"/>
    <n v="0.375"/>
    <n v="0.38055555555555548"/>
    <n v="-1"/>
    <x v="0"/>
    <x v="0"/>
    <n v="2243"/>
    <n v="8"/>
    <s v="September"/>
    <x v="6"/>
    <x v="0"/>
    <x v="0"/>
    <x v="0"/>
  </r>
  <r>
    <s v="SK-00021"/>
    <x v="7"/>
    <x v="20"/>
    <x v="10"/>
    <s v="Atlanta"/>
    <x v="0"/>
    <n v="0.47569444444444442"/>
    <n v="0.47152777777777782"/>
    <n v="-9"/>
    <x v="0"/>
    <x v="0"/>
    <n v="1584"/>
    <n v="-6"/>
    <s v="September"/>
    <x v="0"/>
    <x v="0"/>
    <x v="0"/>
    <x v="0"/>
  </r>
  <r>
    <s v="SK-00022"/>
    <x v="7"/>
    <x v="21"/>
    <x v="2"/>
    <s v="Denver"/>
    <x v="3"/>
    <n v="0.63541666666666663"/>
    <m/>
    <n v="-9"/>
    <x v="0"/>
    <x v="0"/>
    <n v="641"/>
    <n v="0"/>
    <s v="September"/>
    <x v="0"/>
    <x v="0"/>
    <x v="1"/>
    <x v="0"/>
  </r>
  <r>
    <s v="SK-00023"/>
    <x v="7"/>
    <x v="22"/>
    <x v="4"/>
    <s v="Chicago"/>
    <x v="1"/>
    <n v="0.81597222222222221"/>
    <n v="0.81874999999999998"/>
    <m/>
    <x v="0"/>
    <x v="0"/>
    <n v="1717"/>
    <n v="4"/>
    <s v="September"/>
    <x v="0"/>
    <x v="2"/>
    <x v="2"/>
    <x v="0"/>
  </r>
  <r>
    <s v="SK-00024"/>
    <x v="8"/>
    <x v="23"/>
    <x v="10"/>
    <s v="Boston"/>
    <x v="2"/>
    <n v="0.40972222222222221"/>
    <n v="0.5229166666666667"/>
    <n v="160"/>
    <x v="2"/>
    <x v="0"/>
    <n v="2295"/>
    <n v="163"/>
    <s v="September"/>
    <x v="1"/>
    <x v="1"/>
    <x v="0"/>
    <x v="1"/>
  </r>
  <r>
    <s v="SK-00025"/>
    <x v="8"/>
    <x v="24"/>
    <x v="5"/>
    <s v="Miami"/>
    <x v="1"/>
    <n v="0.56944444444444442"/>
    <n v="0.56388888888888888"/>
    <n v="-2"/>
    <x v="0"/>
    <x v="0"/>
    <n v="1199"/>
    <n v="-8"/>
    <s v="September"/>
    <x v="1"/>
    <x v="0"/>
    <x v="1"/>
    <x v="0"/>
  </r>
  <r>
    <s v="SK-00026"/>
    <x v="8"/>
    <x v="25"/>
    <x v="6"/>
    <s v="Boston"/>
    <x v="2"/>
    <n v="0.59375"/>
    <n v="0.59097222222222223"/>
    <n v="-5"/>
    <x v="0"/>
    <x v="0"/>
    <n v="2698"/>
    <n v="-4"/>
    <s v="September"/>
    <x v="1"/>
    <x v="0"/>
    <x v="1"/>
    <x v="0"/>
  </r>
  <r>
    <s v="SK-00027"/>
    <x v="8"/>
    <x v="26"/>
    <x v="5"/>
    <s v="Dallas"/>
    <x v="1"/>
    <n v="0.70486111111111116"/>
    <n v="0.7"/>
    <n v="-15"/>
    <x v="0"/>
    <x v="0"/>
    <n v="802"/>
    <n v="-7"/>
    <s v="September"/>
    <x v="1"/>
    <x v="0"/>
    <x v="1"/>
    <x v="0"/>
  </r>
  <r>
    <s v="SK-00028"/>
    <x v="9"/>
    <x v="27"/>
    <x v="9"/>
    <s v="Phoenix"/>
    <x v="0"/>
    <n v="0.3576388888888889"/>
    <n v="0.3611111111111111"/>
    <n v="-3"/>
    <x v="0"/>
    <x v="0"/>
    <n v="602"/>
    <n v="5"/>
    <s v="September"/>
    <x v="2"/>
    <x v="0"/>
    <x v="0"/>
    <x v="0"/>
  </r>
  <r>
    <s v="SK-00029"/>
    <x v="9"/>
    <x v="4"/>
    <x v="9"/>
    <s v="Seattle"/>
    <x v="1"/>
    <n v="0.64236111111111116"/>
    <n v="0.65902777777777777"/>
    <n v="13"/>
    <x v="1"/>
    <x v="0"/>
    <n v="1023"/>
    <n v="24"/>
    <s v="September"/>
    <x v="2"/>
    <x v="0"/>
    <x v="1"/>
    <x v="1"/>
  </r>
  <r>
    <s v="SK-00030"/>
    <x v="9"/>
    <x v="28"/>
    <x v="9"/>
    <s v="Atlanta"/>
    <x v="2"/>
    <n v="0.67361111111111116"/>
    <n v="0.67638888888888893"/>
    <n v="5"/>
    <x v="0"/>
    <x v="0"/>
    <n v="1197"/>
    <n v="4"/>
    <s v="September"/>
    <x v="2"/>
    <x v="0"/>
    <x v="1"/>
    <x v="0"/>
  </r>
  <r>
    <s v="SK-00031"/>
    <x v="9"/>
    <x v="29"/>
    <x v="2"/>
    <s v="Chicago"/>
    <x v="2"/>
    <n v="0.67708333333333337"/>
    <n v="0.67638888888888893"/>
    <n v="-7"/>
    <x v="0"/>
    <x v="0"/>
    <n v="802"/>
    <n v="-1"/>
    <s v="September"/>
    <x v="2"/>
    <x v="0"/>
    <x v="1"/>
    <x v="0"/>
  </r>
  <r>
    <s v="SK-00032"/>
    <x v="9"/>
    <x v="30"/>
    <x v="5"/>
    <s v="Denver"/>
    <x v="2"/>
    <n v="0.70486111111111116"/>
    <n v="0.70833333333333337"/>
    <n v="4"/>
    <x v="0"/>
    <x v="0"/>
    <n v="886"/>
    <n v="5"/>
    <s v="September"/>
    <x v="2"/>
    <x v="0"/>
    <x v="1"/>
    <x v="0"/>
  </r>
  <r>
    <s v="SK-00033"/>
    <x v="9"/>
    <x v="31"/>
    <x v="10"/>
    <s v="New York"/>
    <x v="0"/>
    <n v="0.86111111111111116"/>
    <n v="0.88194444444444442"/>
    <n v="36"/>
    <x v="1"/>
    <x v="0"/>
    <n v="2149"/>
    <n v="30"/>
    <s v="September"/>
    <x v="2"/>
    <x v="1"/>
    <x v="2"/>
    <x v="1"/>
  </r>
  <r>
    <s v="SK-00034"/>
    <x v="10"/>
    <x v="32"/>
    <x v="8"/>
    <s v="Chicago"/>
    <x v="3"/>
    <n v="0.24305555555555561"/>
    <n v="0.2472222222222222"/>
    <n v="15"/>
    <x v="0"/>
    <x v="0"/>
    <n v="864"/>
    <n v="6"/>
    <s v="September"/>
    <x v="3"/>
    <x v="0"/>
    <x v="0"/>
    <x v="0"/>
  </r>
  <r>
    <s v="SK-00035"/>
    <x v="10"/>
    <x v="33"/>
    <x v="5"/>
    <s v="Seattle"/>
    <x v="2"/>
    <n v="0.3263888888888889"/>
    <n v="0.32777777777777778"/>
    <n v="-10"/>
    <x v="0"/>
    <x v="0"/>
    <n v="1717"/>
    <n v="2"/>
    <s v="September"/>
    <x v="3"/>
    <x v="0"/>
    <x v="0"/>
    <x v="0"/>
  </r>
  <r>
    <s v="SK-00036"/>
    <x v="10"/>
    <x v="34"/>
    <x v="1"/>
    <s v="Miami"/>
    <x v="3"/>
    <n v="0.375"/>
    <n v="0.36944444444444452"/>
    <n v="-18"/>
    <x v="0"/>
    <x v="0"/>
    <n v="1092"/>
    <n v="-8"/>
    <s v="September"/>
    <x v="3"/>
    <x v="0"/>
    <x v="0"/>
    <x v="0"/>
  </r>
  <r>
    <s v="SK-00037"/>
    <x v="10"/>
    <x v="35"/>
    <x v="9"/>
    <s v="Atlanta"/>
    <x v="0"/>
    <n v="0.6875"/>
    <n v="0.68680555555555556"/>
    <n v="-7"/>
    <x v="0"/>
    <x v="0"/>
    <n v="1197"/>
    <n v="-1"/>
    <s v="September"/>
    <x v="3"/>
    <x v="0"/>
    <x v="1"/>
    <x v="0"/>
  </r>
  <r>
    <s v="SK-00038"/>
    <x v="11"/>
    <x v="36"/>
    <x v="6"/>
    <s v="Dallas"/>
    <x v="1"/>
    <n v="0.67361111111111116"/>
    <n v="0.68194444444444446"/>
    <n v="5"/>
    <x v="0"/>
    <x v="0"/>
    <n v="1462"/>
    <n v="12"/>
    <s v="September"/>
    <x v="4"/>
    <x v="0"/>
    <x v="1"/>
    <x v="0"/>
  </r>
  <r>
    <s v="SK-00039"/>
    <x v="11"/>
    <x v="37"/>
    <x v="9"/>
    <s v="New York"/>
    <x v="0"/>
    <n v="0.90972222222222221"/>
    <n v="0.91736111111111107"/>
    <n v="11"/>
    <x v="0"/>
    <x v="0"/>
    <n v="1622"/>
    <n v="11"/>
    <s v="September"/>
    <x v="4"/>
    <x v="0"/>
    <x v="3"/>
    <x v="0"/>
  </r>
  <r>
    <s v="SK-00040"/>
    <x v="12"/>
    <x v="38"/>
    <x v="9"/>
    <s v="Los Angeles"/>
    <x v="3"/>
    <n v="0.36805555555555558"/>
    <n v="0.37361111111111112"/>
    <n v="17"/>
    <x v="0"/>
    <x v="0"/>
    <n v="861"/>
    <n v="8"/>
    <s v="September"/>
    <x v="5"/>
    <x v="1"/>
    <x v="0"/>
    <x v="0"/>
  </r>
  <r>
    <s v="SK-00041"/>
    <x v="12"/>
    <x v="39"/>
    <x v="11"/>
    <s v="Atlanta"/>
    <x v="0"/>
    <n v="0.66319444444444442"/>
    <n v="0.66527777777777775"/>
    <n v="10"/>
    <x v="0"/>
    <x v="0"/>
    <n v="596"/>
    <n v="3"/>
    <s v="September"/>
    <x v="5"/>
    <x v="0"/>
    <x v="1"/>
    <x v="0"/>
  </r>
  <r>
    <s v="SK-00042"/>
    <x v="13"/>
    <x v="40"/>
    <x v="3"/>
    <s v="Chicago"/>
    <x v="0"/>
    <n v="0.79861111111111116"/>
    <n v="0.80625000000000002"/>
    <n v="13"/>
    <x v="0"/>
    <x v="0"/>
    <n v="1511"/>
    <n v="11"/>
    <s v="September"/>
    <x v="6"/>
    <x v="0"/>
    <x v="2"/>
    <x v="0"/>
  </r>
  <r>
    <s v="SK-00043"/>
    <x v="14"/>
    <x v="41"/>
    <x v="1"/>
    <s v="Las Vegas"/>
    <x v="1"/>
    <n v="0.47916666666666669"/>
    <n v="0.50416666666666665"/>
    <n v="22"/>
    <x v="3"/>
    <x v="0"/>
    <n v="2243"/>
    <n v="36"/>
    <s v="September"/>
    <x v="1"/>
    <x v="1"/>
    <x v="0"/>
    <x v="2"/>
  </r>
  <r>
    <s v="SK-00044"/>
    <x v="14"/>
    <x v="42"/>
    <x v="5"/>
    <s v="Miami"/>
    <x v="2"/>
    <n v="0.85416666666666663"/>
    <n v="0.85347222222222219"/>
    <n v="-7"/>
    <x v="0"/>
    <x v="0"/>
    <n v="1199"/>
    <n v="-1"/>
    <s v="September"/>
    <x v="1"/>
    <x v="0"/>
    <x v="2"/>
    <x v="0"/>
  </r>
  <r>
    <s v="SK-00045"/>
    <x v="15"/>
    <x v="43"/>
    <x v="1"/>
    <s v="Atlanta"/>
    <x v="0"/>
    <n v="0.67013888888888884"/>
    <n v="0.67500000000000004"/>
    <n v="17"/>
    <x v="0"/>
    <x v="0"/>
    <n v="759"/>
    <n v="7"/>
    <s v="September"/>
    <x v="2"/>
    <x v="1"/>
    <x v="1"/>
    <x v="0"/>
  </r>
  <r>
    <s v="SK-00046"/>
    <x v="15"/>
    <x v="44"/>
    <x v="0"/>
    <s v="Chicago"/>
    <x v="1"/>
    <n v="0.78819444444444442"/>
    <n v="0.83402777777777781"/>
    <n v="65"/>
    <x v="1"/>
    <x v="0"/>
    <n v="1742"/>
    <n v="66"/>
    <s v="September"/>
    <x v="2"/>
    <x v="1"/>
    <x v="2"/>
    <x v="1"/>
  </r>
  <r>
    <s v="SK-00047"/>
    <x v="15"/>
    <x v="45"/>
    <x v="9"/>
    <s v="San Francisco"/>
    <x v="0"/>
    <n v="0.80555555555555558"/>
    <m/>
    <n v="-16"/>
    <x v="0"/>
    <x v="0"/>
    <n v="965"/>
    <n v="-7"/>
    <s v="September"/>
    <x v="2"/>
    <x v="0"/>
    <x v="2"/>
    <x v="0"/>
  </r>
  <r>
    <s v="SK-00048"/>
    <x v="16"/>
    <x v="46"/>
    <x v="7"/>
    <s v="Phoenix"/>
    <x v="1"/>
    <n v="0.35416666666666669"/>
    <n v="0.3576388888888889"/>
    <n v="10"/>
    <x v="0"/>
    <x v="0"/>
    <n v="1584"/>
    <n v="5"/>
    <s v="September"/>
    <x v="3"/>
    <x v="0"/>
    <x v="0"/>
    <x v="0"/>
  </r>
  <r>
    <s v="SK-00049"/>
    <x v="16"/>
    <x v="42"/>
    <x v="10"/>
    <s v="Los Angeles"/>
    <x v="3"/>
    <n v="0.56944444444444442"/>
    <n v="0.56874999999999998"/>
    <n v="1"/>
    <x v="0"/>
    <x v="0"/>
    <n v="370"/>
    <n v="-1"/>
    <s v="September"/>
    <x v="3"/>
    <x v="0"/>
    <x v="1"/>
    <x v="0"/>
  </r>
  <r>
    <s v="SK-00050"/>
    <x v="16"/>
    <x v="47"/>
    <x v="0"/>
    <s v="New York"/>
    <x v="2"/>
    <n v="0.73958333333333337"/>
    <m/>
    <n v="4"/>
    <x v="0"/>
    <x v="0"/>
    <n v="2470"/>
    <n v="2"/>
    <s v="September"/>
    <x v="3"/>
    <x v="0"/>
    <x v="2"/>
    <x v="0"/>
  </r>
  <r>
    <s v="SK-00051"/>
    <x v="17"/>
    <x v="48"/>
    <x v="0"/>
    <s v="Chicago"/>
    <x v="0"/>
    <n v="0.34722222222222221"/>
    <n v="0.35069444444444442"/>
    <n v="14"/>
    <x v="0"/>
    <x v="0"/>
    <n v="1742"/>
    <n v="5"/>
    <s v="September"/>
    <x v="4"/>
    <x v="0"/>
    <x v="0"/>
    <x v="0"/>
  </r>
  <r>
    <s v="SK-00052"/>
    <x v="17"/>
    <x v="49"/>
    <x v="11"/>
    <s v="Atlanta"/>
    <x v="0"/>
    <n v="0.51736111111111116"/>
    <n v="0.51736111111111116"/>
    <n v="-8"/>
    <x v="0"/>
    <x v="0"/>
    <n v="596"/>
    <n v="0"/>
    <s v="September"/>
    <x v="4"/>
    <x v="0"/>
    <x v="1"/>
    <x v="0"/>
  </r>
  <r>
    <s v="SK-00053"/>
    <x v="17"/>
    <x v="50"/>
    <x v="8"/>
    <s v="Los Angeles"/>
    <x v="0"/>
    <n v="0.63541666666666663"/>
    <n v="0.66180555555555554"/>
    <n v="24"/>
    <x v="2"/>
    <x v="0"/>
    <n v="2606"/>
    <n v="38"/>
    <s v="September"/>
    <x v="4"/>
    <x v="1"/>
    <x v="1"/>
    <x v="1"/>
  </r>
  <r>
    <s v="SK-00054"/>
    <x v="18"/>
    <x v="51"/>
    <x v="0"/>
    <s v="Dallas"/>
    <x v="1"/>
    <n v="0.60416666666666663"/>
    <n v="0.59861111111111109"/>
    <n v="-10"/>
    <x v="0"/>
    <x v="0"/>
    <n v="1232"/>
    <n v="-8"/>
    <s v="September"/>
    <x v="5"/>
    <x v="0"/>
    <x v="1"/>
    <x v="0"/>
  </r>
  <r>
    <s v="SK-00055"/>
    <x v="18"/>
    <x v="52"/>
    <x v="3"/>
    <s v="San Francisco"/>
    <x v="1"/>
    <n v="0.63194444444444442"/>
    <n v="0.63611111111111107"/>
    <n v="7"/>
    <x v="0"/>
    <x v="0"/>
    <n v="414"/>
    <n v="6"/>
    <s v="September"/>
    <x v="5"/>
    <x v="0"/>
    <x v="1"/>
    <x v="0"/>
  </r>
  <r>
    <s v="SK-00056"/>
    <x v="18"/>
    <x v="53"/>
    <x v="5"/>
    <s v="Denver"/>
    <x v="1"/>
    <n v="0.87152777777777779"/>
    <n v="0.89513888888888893"/>
    <n v="38"/>
    <x v="1"/>
    <x v="0"/>
    <n v="886"/>
    <n v="34"/>
    <s v="September"/>
    <x v="5"/>
    <x v="1"/>
    <x v="2"/>
    <x v="1"/>
  </r>
  <r>
    <s v="SK-00057"/>
    <x v="19"/>
    <x v="54"/>
    <x v="7"/>
    <s v="Denver"/>
    <x v="2"/>
    <n v="0.70486111111111116"/>
    <n v="0.70486111111111116"/>
    <n v="10"/>
    <x v="0"/>
    <x v="0"/>
    <n v="1197"/>
    <n v="0"/>
    <s v="September"/>
    <x v="6"/>
    <x v="0"/>
    <x v="1"/>
    <x v="0"/>
  </r>
  <r>
    <s v="SK-00058"/>
    <x v="20"/>
    <x v="55"/>
    <x v="7"/>
    <s v="Los Angeles"/>
    <x v="0"/>
    <n v="0.67013888888888884"/>
    <n v="0.67708333333333337"/>
    <n v="9"/>
    <x v="0"/>
    <x v="0"/>
    <n v="1942"/>
    <n v="10"/>
    <s v="September"/>
    <x v="1"/>
    <x v="0"/>
    <x v="1"/>
    <x v="0"/>
  </r>
  <r>
    <s v="SK-00059"/>
    <x v="21"/>
    <x v="56"/>
    <x v="2"/>
    <s v="New York"/>
    <x v="0"/>
    <n v="0.30555555555555558"/>
    <n v="0.39097222222222222"/>
    <n v="117"/>
    <x v="1"/>
    <x v="0"/>
    <n v="1389"/>
    <n v="123"/>
    <s v="September"/>
    <x v="2"/>
    <x v="1"/>
    <x v="0"/>
    <x v="1"/>
  </r>
  <r>
    <s v="SK-00060"/>
    <x v="22"/>
    <x v="57"/>
    <x v="9"/>
    <s v="Phoenix"/>
    <x v="0"/>
    <n v="0.33680555555555558"/>
    <m/>
    <n v="0"/>
    <x v="0"/>
    <x v="0"/>
    <n v="602"/>
    <n v="12"/>
    <s v="September"/>
    <x v="3"/>
    <x v="0"/>
    <x v="0"/>
    <x v="0"/>
  </r>
  <r>
    <s v="SK-00061"/>
    <x v="22"/>
    <x v="58"/>
    <x v="6"/>
    <s v="Atlanta"/>
    <x v="2"/>
    <n v="0.61458333333333337"/>
    <n v="0.63611111111111107"/>
    <n v="29"/>
    <x v="2"/>
    <x v="0"/>
    <n v="2134"/>
    <n v="31"/>
    <s v="September"/>
    <x v="3"/>
    <x v="1"/>
    <x v="1"/>
    <x v="1"/>
  </r>
  <r>
    <s v="SK-00062"/>
    <x v="22"/>
    <x v="59"/>
    <x v="2"/>
    <s v="Las Vegas"/>
    <x v="0"/>
    <n v="0.70486111111111116"/>
    <n v="0.70347222222222228"/>
    <n v="-8"/>
    <x v="0"/>
    <x v="0"/>
    <m/>
    <n v="-2"/>
    <s v="September"/>
    <x v="3"/>
    <x v="0"/>
    <x v="1"/>
    <x v="0"/>
  </r>
  <r>
    <s v="SK-00063"/>
    <x v="23"/>
    <x v="60"/>
    <x v="0"/>
    <s v="Chicago"/>
    <x v="2"/>
    <n v="0.31597222222222221"/>
    <n v="0.32083333333333341"/>
    <n v="7"/>
    <x v="0"/>
    <x v="0"/>
    <n v="1742"/>
    <n v="7"/>
    <s v="September"/>
    <x v="4"/>
    <x v="0"/>
    <x v="0"/>
    <x v="0"/>
  </r>
  <r>
    <s v="SK-00064"/>
    <x v="23"/>
    <x v="61"/>
    <x v="7"/>
    <s v="Boston"/>
    <x v="0"/>
    <n v="0.46875"/>
    <n v="0.47499999999999998"/>
    <n v="14"/>
    <x v="0"/>
    <x v="0"/>
    <n v="945"/>
    <n v="9"/>
    <s v="September"/>
    <x v="4"/>
    <x v="0"/>
    <x v="0"/>
    <x v="0"/>
  </r>
  <r>
    <s v="SK-00065"/>
    <x v="23"/>
    <x v="62"/>
    <x v="2"/>
    <s v="Los Angeles"/>
    <x v="2"/>
    <n v="0.82291666666666663"/>
    <n v="0.83472222222222225"/>
    <n v="12"/>
    <x v="1"/>
    <x v="0"/>
    <n v="1232"/>
    <n v="17"/>
    <s v="September"/>
    <x v="4"/>
    <x v="0"/>
    <x v="2"/>
    <x v="1"/>
  </r>
  <r>
    <s v="SK-00066"/>
    <x v="24"/>
    <x v="63"/>
    <x v="1"/>
    <s v="Miami"/>
    <x v="2"/>
    <n v="0.49305555555555558"/>
    <n v="0.49722222222222218"/>
    <n v="10"/>
    <x v="0"/>
    <x v="0"/>
    <n v="1092"/>
    <n v="6"/>
    <s v="September"/>
    <x v="5"/>
    <x v="0"/>
    <x v="0"/>
    <x v="0"/>
  </r>
  <r>
    <s v="SK-00067"/>
    <x v="24"/>
    <x v="64"/>
    <x v="10"/>
    <s v="Chicago"/>
    <x v="0"/>
    <n v="0.61805555555555558"/>
    <n v="0.61527777777777781"/>
    <n v="-9"/>
    <x v="0"/>
    <x v="0"/>
    <n v="1438"/>
    <n v="-4"/>
    <s v="September"/>
    <x v="5"/>
    <x v="0"/>
    <x v="1"/>
    <x v="0"/>
  </r>
  <r>
    <s v="SK-00068"/>
    <x v="25"/>
    <x v="65"/>
    <x v="1"/>
    <s v="Atlanta"/>
    <x v="0"/>
    <n v="0.40277777777777779"/>
    <n v="0.40347222222222218"/>
    <n v="8"/>
    <x v="0"/>
    <x v="0"/>
    <n v="759"/>
    <n v="1"/>
    <s v="September"/>
    <x v="6"/>
    <x v="0"/>
    <x v="0"/>
    <x v="0"/>
  </r>
  <r>
    <s v="SK-00069"/>
    <x v="25"/>
    <x v="66"/>
    <x v="2"/>
    <s v="Chicago"/>
    <x v="0"/>
    <n v="0.47916666666666669"/>
    <n v="0.47916666666666669"/>
    <n v="-8"/>
    <x v="0"/>
    <x v="0"/>
    <n v="802"/>
    <n v="0"/>
    <s v="September"/>
    <x v="6"/>
    <x v="0"/>
    <x v="0"/>
    <x v="0"/>
  </r>
  <r>
    <s v="SK-00070"/>
    <x v="25"/>
    <x v="67"/>
    <x v="5"/>
    <s v="Boston"/>
    <x v="2"/>
    <n v="0.53472222222222221"/>
    <n v="0.53611111111111109"/>
    <n v="6"/>
    <x v="0"/>
    <x v="0"/>
    <n v="864"/>
    <n v="2"/>
    <s v="September"/>
    <x v="6"/>
    <x v="0"/>
    <x v="1"/>
    <x v="0"/>
  </r>
  <r>
    <s v="SK-00071"/>
    <x v="25"/>
    <x v="68"/>
    <x v="2"/>
    <s v="Boston"/>
    <x v="1"/>
    <n v="0.72222222222222221"/>
    <n v="0.74652777777777779"/>
    <n v="41"/>
    <x v="2"/>
    <x v="0"/>
    <n v="1559"/>
    <n v="35"/>
    <s v="September"/>
    <x v="6"/>
    <x v="1"/>
    <x v="2"/>
    <x v="1"/>
  </r>
  <r>
    <s v="SK-00072"/>
    <x v="25"/>
    <x v="69"/>
    <x v="1"/>
    <s v="Dallas"/>
    <x v="0"/>
    <n v="0.88541666666666663"/>
    <n v="0.8930555555555556"/>
    <n v="-1"/>
    <x v="0"/>
    <x v="0"/>
    <n v="1389"/>
    <n v="11"/>
    <s v="September"/>
    <x v="6"/>
    <x v="0"/>
    <x v="3"/>
    <x v="0"/>
  </r>
  <r>
    <s v="SK-00073"/>
    <x v="26"/>
    <x v="70"/>
    <x v="9"/>
    <s v="Atlanta"/>
    <x v="0"/>
    <n v="0.72569444444444442"/>
    <n v="0.74097222222222225"/>
    <n v="25"/>
    <x v="1"/>
    <x v="0"/>
    <n v="1197"/>
    <n v="22"/>
    <s v="September"/>
    <x v="0"/>
    <x v="1"/>
    <x v="2"/>
    <x v="1"/>
  </r>
  <r>
    <s v="SK-00074"/>
    <x v="26"/>
    <x v="71"/>
    <x v="0"/>
    <s v="Atlanta"/>
    <x v="2"/>
    <n v="0.78472222222222221"/>
    <n v="0.78819444444444442"/>
    <m/>
    <x v="0"/>
    <x v="0"/>
    <n v="1942"/>
    <n v="5"/>
    <s v="September"/>
    <x v="0"/>
    <x v="2"/>
    <x v="2"/>
    <x v="0"/>
  </r>
  <r>
    <s v="SK-00075"/>
    <x v="26"/>
    <x v="72"/>
    <x v="9"/>
    <s v="Los Angeles"/>
    <x v="0"/>
    <n v="0.84375"/>
    <n v="0.84305555555555556"/>
    <n v="2"/>
    <x v="0"/>
    <x v="0"/>
    <n v="861"/>
    <n v="-1"/>
    <s v="September"/>
    <x v="0"/>
    <x v="0"/>
    <x v="2"/>
    <x v="0"/>
  </r>
  <r>
    <s v="SK-00076"/>
    <x v="27"/>
    <x v="73"/>
    <x v="1"/>
    <s v="Seattle"/>
    <x v="1"/>
    <n v="0.2986111111111111"/>
    <n v="0.2986111111111111"/>
    <n v="-6"/>
    <x v="0"/>
    <x v="0"/>
    <n v="2415"/>
    <n v="0"/>
    <s v="September"/>
    <x v="1"/>
    <x v="0"/>
    <x v="0"/>
    <x v="0"/>
  </r>
  <r>
    <s v="SK-00077"/>
    <x v="27"/>
    <x v="74"/>
    <x v="3"/>
    <s v="Seattle"/>
    <x v="0"/>
    <n v="0.3888888888888889"/>
    <n v="0.38680555555555562"/>
    <n v="-5"/>
    <x v="0"/>
    <x v="0"/>
    <n v="867"/>
    <n v="-3"/>
    <s v="September"/>
    <x v="1"/>
    <x v="0"/>
    <x v="0"/>
    <x v="0"/>
  </r>
  <r>
    <s v="SK-00078"/>
    <x v="27"/>
    <x v="75"/>
    <x v="10"/>
    <s v="Miami"/>
    <x v="0"/>
    <n v="0.42708333333333331"/>
    <n v="0.42986111111111108"/>
    <m/>
    <x v="0"/>
    <x v="0"/>
    <n v="1969"/>
    <n v="4"/>
    <s v="September"/>
    <x v="1"/>
    <x v="2"/>
    <x v="0"/>
    <x v="0"/>
  </r>
  <r>
    <s v="SK-00079"/>
    <x v="28"/>
    <x v="39"/>
    <x v="2"/>
    <s v="Las Vegas"/>
    <x v="0"/>
    <n v="0.2986111111111111"/>
    <n v="0.30416666666666659"/>
    <n v="8"/>
    <x v="0"/>
    <x v="0"/>
    <n v="1053"/>
    <n v="8"/>
    <s v="October"/>
    <x v="2"/>
    <x v="0"/>
    <x v="0"/>
    <x v="0"/>
  </r>
  <r>
    <s v="SK-00080"/>
    <x v="28"/>
    <x v="76"/>
    <x v="7"/>
    <s v="Miami"/>
    <x v="0"/>
    <n v="0.31597222222222221"/>
    <n v="0.31527777777777782"/>
    <n v="8"/>
    <x v="0"/>
    <x v="0"/>
    <n v="596"/>
    <n v="-1"/>
    <s v="October"/>
    <x v="2"/>
    <x v="0"/>
    <x v="0"/>
    <x v="0"/>
  </r>
  <r>
    <s v="SK-00081"/>
    <x v="28"/>
    <x v="77"/>
    <x v="3"/>
    <s v="Chicago"/>
    <x v="1"/>
    <n v="0.34375"/>
    <n v="0.34930555555555548"/>
    <n v="10"/>
    <x v="0"/>
    <x v="0"/>
    <n v="1511"/>
    <n v="8"/>
    <s v="October"/>
    <x v="2"/>
    <x v="0"/>
    <x v="0"/>
    <x v="0"/>
  </r>
  <r>
    <s v="SK-00082"/>
    <x v="28"/>
    <x v="78"/>
    <x v="10"/>
    <s v="San Francisco"/>
    <x v="0"/>
    <n v="0.5625"/>
    <n v="0.56319444444444444"/>
    <n v="0"/>
    <x v="0"/>
    <x v="0"/>
    <m/>
    <n v="1"/>
    <s v="October"/>
    <x v="2"/>
    <x v="0"/>
    <x v="1"/>
    <x v="0"/>
  </r>
  <r>
    <s v="SK-00083"/>
    <x v="28"/>
    <x v="79"/>
    <x v="7"/>
    <s v="Denver"/>
    <x v="2"/>
    <n v="0.58333333333333337"/>
    <n v="0.58750000000000002"/>
    <n v="7"/>
    <x v="0"/>
    <x v="0"/>
    <n v="1197"/>
    <n v="6"/>
    <s v="October"/>
    <x v="2"/>
    <x v="0"/>
    <x v="1"/>
    <x v="0"/>
  </r>
  <r>
    <s v="SK-00084"/>
    <x v="28"/>
    <x v="80"/>
    <x v="5"/>
    <s v="Denver"/>
    <x v="1"/>
    <n v="0.60416666666666663"/>
    <n v="0.60277777777777775"/>
    <n v="-6"/>
    <x v="0"/>
    <x v="0"/>
    <n v="886"/>
    <n v="-2"/>
    <s v="October"/>
    <x v="2"/>
    <x v="0"/>
    <x v="1"/>
    <x v="0"/>
  </r>
  <r>
    <s v="SK-00085"/>
    <x v="28"/>
    <x v="81"/>
    <x v="4"/>
    <s v="Miami"/>
    <x v="0"/>
    <n v="0.74652777777777779"/>
    <n v="0.80208333333333337"/>
    <n v="85"/>
    <x v="3"/>
    <x v="0"/>
    <n v="2722"/>
    <n v="80"/>
    <s v="October"/>
    <x v="2"/>
    <x v="1"/>
    <x v="2"/>
    <x v="2"/>
  </r>
  <r>
    <s v="SK-00086"/>
    <x v="29"/>
    <x v="82"/>
    <x v="8"/>
    <s v="Atlanta"/>
    <x v="1"/>
    <n v="0.28125"/>
    <n v="0.28125"/>
    <n v="-9"/>
    <x v="0"/>
    <x v="0"/>
    <n v="945"/>
    <n v="0"/>
    <s v="October"/>
    <x v="3"/>
    <x v="0"/>
    <x v="0"/>
    <x v="0"/>
  </r>
  <r>
    <s v="SK-00087"/>
    <x v="29"/>
    <x v="83"/>
    <x v="5"/>
    <s v="Los Angeles"/>
    <x v="1"/>
    <n v="0.60416666666666663"/>
    <n v="0.60972222222222228"/>
    <n v="5"/>
    <x v="0"/>
    <x v="0"/>
    <n v="1742"/>
    <n v="8"/>
    <s v="October"/>
    <x v="3"/>
    <x v="0"/>
    <x v="1"/>
    <x v="0"/>
  </r>
  <r>
    <s v="SK-00088"/>
    <x v="29"/>
    <x v="84"/>
    <x v="11"/>
    <s v="Seattle"/>
    <x v="3"/>
    <n v="0.76041666666666663"/>
    <n v="0.76041666666666663"/>
    <n v="1"/>
    <x v="0"/>
    <x v="0"/>
    <n v="2722"/>
    <n v="0"/>
    <s v="October"/>
    <x v="3"/>
    <x v="0"/>
    <x v="2"/>
    <x v="0"/>
  </r>
  <r>
    <s v="SK-00089"/>
    <x v="29"/>
    <x v="85"/>
    <x v="9"/>
    <s v="Las Vegas"/>
    <x v="0"/>
    <n v="0.92708333333333337"/>
    <n v="0.93541666666666667"/>
    <n v="6"/>
    <x v="0"/>
    <x v="0"/>
    <n v="627"/>
    <n v="12"/>
    <s v="October"/>
    <x v="3"/>
    <x v="0"/>
    <x v="3"/>
    <x v="0"/>
  </r>
  <r>
    <s v="SK-00090"/>
    <x v="30"/>
    <x v="86"/>
    <x v="0"/>
    <s v="Denver"/>
    <x v="2"/>
    <n v="0.82986111111111116"/>
    <n v="0.83611111111111114"/>
    <n v="17"/>
    <x v="0"/>
    <x v="0"/>
    <n v="861"/>
    <n v="9"/>
    <s v="October"/>
    <x v="4"/>
    <x v="1"/>
    <x v="2"/>
    <x v="0"/>
  </r>
  <r>
    <s v="SK-00091"/>
    <x v="31"/>
    <x v="87"/>
    <x v="0"/>
    <s v="Chicago"/>
    <x v="1"/>
    <n v="0.49652777777777779"/>
    <n v="0.49305555555555558"/>
    <n v="-8"/>
    <x v="0"/>
    <x v="0"/>
    <n v="1742"/>
    <n v="-5"/>
    <s v="October"/>
    <x v="5"/>
    <x v="0"/>
    <x v="0"/>
    <x v="0"/>
  </r>
  <r>
    <s v="SK-00092"/>
    <x v="31"/>
    <x v="88"/>
    <x v="0"/>
    <s v="Denver"/>
    <x v="3"/>
    <n v="0.70138888888888884"/>
    <n v="0.70208333333333328"/>
    <n v="3"/>
    <x v="0"/>
    <x v="0"/>
    <n v="861"/>
    <n v="1"/>
    <s v="October"/>
    <x v="5"/>
    <x v="0"/>
    <x v="1"/>
    <x v="0"/>
  </r>
  <r>
    <s v="SK-00093"/>
    <x v="31"/>
    <x v="89"/>
    <x v="4"/>
    <s v="San Francisco"/>
    <x v="2"/>
    <n v="0.73263888888888884"/>
    <n v="0.73124999999999996"/>
    <n v="-7"/>
    <x v="0"/>
    <x v="0"/>
    <n v="679"/>
    <n v="-2"/>
    <s v="October"/>
    <x v="5"/>
    <x v="0"/>
    <x v="2"/>
    <x v="0"/>
  </r>
  <r>
    <s v="SK-00094"/>
    <x v="32"/>
    <x v="90"/>
    <x v="9"/>
    <s v="Boston"/>
    <x v="2"/>
    <n v="0.75"/>
    <n v="0.74652777777777779"/>
    <n v="-13"/>
    <x v="0"/>
    <x v="0"/>
    <n v="1749"/>
    <n v="-5"/>
    <s v="October"/>
    <x v="6"/>
    <x v="0"/>
    <x v="2"/>
    <x v="0"/>
  </r>
  <r>
    <s v="SK-00095"/>
    <x v="32"/>
    <x v="84"/>
    <x v="2"/>
    <s v="San Francisco"/>
    <x v="3"/>
    <n v="0.85763888888888884"/>
    <n v="0.8569444444444444"/>
    <n v="4"/>
    <x v="0"/>
    <x v="0"/>
    <n v="1462"/>
    <n v="-1"/>
    <s v="October"/>
    <x v="6"/>
    <x v="0"/>
    <x v="2"/>
    <x v="0"/>
  </r>
  <r>
    <s v="SK-00096"/>
    <x v="33"/>
    <x v="91"/>
    <x v="1"/>
    <s v="Boston"/>
    <x v="0"/>
    <n v="0.33680555555555558"/>
    <n v="0.34166666666666667"/>
    <n v="-2"/>
    <x v="0"/>
    <x v="0"/>
    <n v="186"/>
    <n v="7"/>
    <s v="October"/>
    <x v="0"/>
    <x v="0"/>
    <x v="0"/>
    <x v="0"/>
  </r>
  <r>
    <s v="SK-00097"/>
    <x v="33"/>
    <x v="92"/>
    <x v="1"/>
    <s v="Denver"/>
    <x v="0"/>
    <n v="0.47222222222222221"/>
    <n v="0.48055555555555562"/>
    <n v="19"/>
    <x v="0"/>
    <x v="0"/>
    <n v="1622"/>
    <n v="12"/>
    <s v="October"/>
    <x v="0"/>
    <x v="1"/>
    <x v="0"/>
    <x v="0"/>
  </r>
  <r>
    <s v="SK-00098"/>
    <x v="33"/>
    <x v="93"/>
    <x v="9"/>
    <s v="San Francisco"/>
    <x v="1"/>
    <n v="0.75694444444444442"/>
    <n v="0.75416666666666665"/>
    <n v="-3"/>
    <x v="0"/>
    <x v="0"/>
    <n v="965"/>
    <n v="-4"/>
    <s v="October"/>
    <x v="0"/>
    <x v="0"/>
    <x v="2"/>
    <x v="0"/>
  </r>
  <r>
    <s v="SK-00099"/>
    <x v="33"/>
    <x v="94"/>
    <x v="2"/>
    <s v="Las Vegas"/>
    <x v="0"/>
    <n v="0.86111111111111116"/>
    <n v="0.86736111111111114"/>
    <n v="5"/>
    <x v="0"/>
    <x v="0"/>
    <n v="1053"/>
    <n v="9"/>
    <s v="October"/>
    <x v="0"/>
    <x v="0"/>
    <x v="2"/>
    <x v="0"/>
  </r>
  <r>
    <s v="SK-00100"/>
    <x v="34"/>
    <x v="95"/>
    <x v="7"/>
    <s v="Chicago"/>
    <x v="2"/>
    <n v="0.4513888888888889"/>
    <n v="0.45694444444444438"/>
    <n v="9"/>
    <x v="0"/>
    <x v="0"/>
    <n v="606"/>
    <n v="8"/>
    <s v="October"/>
    <x v="1"/>
    <x v="0"/>
    <x v="0"/>
    <x v="0"/>
  </r>
  <r>
    <s v="SK-00101"/>
    <x v="34"/>
    <x v="96"/>
    <x v="11"/>
    <s v="Chicago"/>
    <x v="1"/>
    <n v="0.60763888888888884"/>
    <n v="0.60486111111111107"/>
    <n v="-16"/>
    <x v="0"/>
    <x v="0"/>
    <n v="1199"/>
    <n v="-4"/>
    <s v="October"/>
    <x v="1"/>
    <x v="0"/>
    <x v="1"/>
    <x v="0"/>
  </r>
  <r>
    <s v="SK-00102"/>
    <x v="34"/>
    <x v="97"/>
    <x v="7"/>
    <s v="New York"/>
    <x v="0"/>
    <n v="0.64583333333333337"/>
    <n v="0.6791666666666667"/>
    <n v="34"/>
    <x v="2"/>
    <x v="0"/>
    <n v="759"/>
    <n v="48"/>
    <s v="October"/>
    <x v="1"/>
    <x v="1"/>
    <x v="1"/>
    <x v="1"/>
  </r>
  <r>
    <s v="SK-00103"/>
    <x v="34"/>
    <x v="98"/>
    <x v="9"/>
    <s v="Los Angeles"/>
    <x v="2"/>
    <n v="0.82986111111111116"/>
    <m/>
    <m/>
    <x v="3"/>
    <x v="1"/>
    <n v="861"/>
    <m/>
    <s v="October"/>
    <x v="1"/>
    <x v="2"/>
    <x v="2"/>
    <x v="2"/>
  </r>
  <r>
    <s v="SK-00104"/>
    <x v="34"/>
    <x v="99"/>
    <x v="4"/>
    <s v="Atlanta"/>
    <x v="2"/>
    <n v="0.94791666666666663"/>
    <n v="0.95486111111111116"/>
    <n v="6"/>
    <x v="0"/>
    <x v="0"/>
    <n v="2178"/>
    <n v="10"/>
    <s v="October"/>
    <x v="1"/>
    <x v="0"/>
    <x v="3"/>
    <x v="0"/>
  </r>
  <r>
    <s v="SK-00105"/>
    <x v="35"/>
    <x v="100"/>
    <x v="2"/>
    <s v="Miami"/>
    <x v="2"/>
    <n v="0.44097222222222221"/>
    <n v="0.44583333333333341"/>
    <n v="-1"/>
    <x v="0"/>
    <x v="0"/>
    <n v="1120"/>
    <n v="7"/>
    <s v="October"/>
    <x v="2"/>
    <x v="0"/>
    <x v="0"/>
    <x v="0"/>
  </r>
  <r>
    <s v="SK-00106"/>
    <x v="35"/>
    <x v="101"/>
    <x v="1"/>
    <s v="Miami"/>
    <x v="1"/>
    <n v="0.77430555555555558"/>
    <n v="0.78055555555555556"/>
    <n v="11"/>
    <x v="0"/>
    <x v="0"/>
    <n v="1092"/>
    <n v="9"/>
    <s v="October"/>
    <x v="2"/>
    <x v="0"/>
    <x v="2"/>
    <x v="0"/>
  </r>
  <r>
    <s v="SK-00107"/>
    <x v="36"/>
    <x v="102"/>
    <x v="1"/>
    <s v="Atlanta"/>
    <x v="1"/>
    <n v="0.21180555555555561"/>
    <n v="0.23958333333333329"/>
    <n v="30"/>
    <x v="4"/>
    <x v="0"/>
    <n v="759"/>
    <n v="40"/>
    <s v="October"/>
    <x v="3"/>
    <x v="1"/>
    <x v="0"/>
    <x v="2"/>
  </r>
  <r>
    <s v="SK-00108"/>
    <x v="36"/>
    <x v="103"/>
    <x v="8"/>
    <s v="Atlanta"/>
    <x v="2"/>
    <n v="0.40625"/>
    <n v="0.40069444444444452"/>
    <n v="-13"/>
    <x v="0"/>
    <x v="0"/>
    <n v="945"/>
    <n v="-8"/>
    <s v="October"/>
    <x v="3"/>
    <x v="0"/>
    <x v="0"/>
    <x v="0"/>
  </r>
  <r>
    <s v="SK-00109"/>
    <x v="36"/>
    <x v="104"/>
    <x v="5"/>
    <s v="Dallas"/>
    <x v="1"/>
    <n v="0.42708333333333331"/>
    <n v="0.42777777777777781"/>
    <n v="-8"/>
    <x v="0"/>
    <x v="0"/>
    <n v="802"/>
    <n v="1"/>
    <s v="October"/>
    <x v="3"/>
    <x v="0"/>
    <x v="0"/>
    <x v="0"/>
  </r>
  <r>
    <s v="SK-00110"/>
    <x v="36"/>
    <x v="105"/>
    <x v="1"/>
    <s v="Chicago"/>
    <x v="0"/>
    <n v="0.66666666666666663"/>
    <n v="0.67222222222222228"/>
    <n v="10"/>
    <x v="0"/>
    <x v="0"/>
    <n v="738"/>
    <n v="8"/>
    <s v="October"/>
    <x v="3"/>
    <x v="0"/>
    <x v="1"/>
    <x v="0"/>
  </r>
  <r>
    <s v="SK-00111"/>
    <x v="37"/>
    <x v="106"/>
    <x v="5"/>
    <s v="Dallas"/>
    <x v="2"/>
    <n v="0.53819444444444442"/>
    <m/>
    <n v="-14"/>
    <x v="0"/>
    <x v="0"/>
    <n v="802"/>
    <n v="-8"/>
    <s v="October"/>
    <x v="4"/>
    <x v="0"/>
    <x v="1"/>
    <x v="0"/>
  </r>
  <r>
    <s v="SK-00112"/>
    <x v="37"/>
    <x v="107"/>
    <x v="9"/>
    <s v="Los Angeles"/>
    <x v="0"/>
    <n v="0.875"/>
    <n v="0.87430555555555556"/>
    <n v="7"/>
    <x v="0"/>
    <x v="0"/>
    <n v="861"/>
    <n v="-1"/>
    <s v="October"/>
    <x v="4"/>
    <x v="0"/>
    <x v="3"/>
    <x v="0"/>
  </r>
  <r>
    <s v="SK-00113"/>
    <x v="37"/>
    <x v="108"/>
    <x v="8"/>
    <s v="Dallas"/>
    <x v="3"/>
    <n v="0.91319444444444442"/>
    <n v="0.97361111111111109"/>
    <n v="95"/>
    <x v="3"/>
    <x v="0"/>
    <n v="1559"/>
    <n v="87"/>
    <s v="October"/>
    <x v="4"/>
    <x v="1"/>
    <x v="3"/>
    <x v="2"/>
  </r>
  <r>
    <s v="SK-00114"/>
    <x v="38"/>
    <x v="109"/>
    <x v="5"/>
    <s v="Dallas"/>
    <x v="1"/>
    <n v="0.41319444444444442"/>
    <n v="0.41319444444444442"/>
    <n v="-4"/>
    <x v="0"/>
    <x v="0"/>
    <n v="802"/>
    <n v="0"/>
    <s v="October"/>
    <x v="5"/>
    <x v="0"/>
    <x v="0"/>
    <x v="0"/>
  </r>
  <r>
    <s v="SK-00115"/>
    <x v="38"/>
    <x v="110"/>
    <x v="5"/>
    <s v="Los Angeles"/>
    <x v="0"/>
    <n v="0.44444444444444442"/>
    <n v="0.44444444444444442"/>
    <n v="2"/>
    <x v="0"/>
    <x v="0"/>
    <n v="1742"/>
    <n v="0"/>
    <s v="October"/>
    <x v="5"/>
    <x v="0"/>
    <x v="0"/>
    <x v="0"/>
  </r>
  <r>
    <s v="SK-00116"/>
    <x v="38"/>
    <x v="111"/>
    <x v="7"/>
    <s v="Las Vegas"/>
    <x v="1"/>
    <n v="0.57638888888888884"/>
    <n v="0.63472222222222219"/>
    <n v="84"/>
    <x v="3"/>
    <x v="0"/>
    <n v="1743"/>
    <n v="84"/>
    <s v="October"/>
    <x v="5"/>
    <x v="1"/>
    <x v="1"/>
    <x v="2"/>
  </r>
  <r>
    <s v="SK-00117"/>
    <x v="38"/>
    <x v="112"/>
    <x v="8"/>
    <s v="Atlanta"/>
    <x v="2"/>
    <n v="0.70486111111111116"/>
    <n v="0.70694444444444449"/>
    <n v="-6"/>
    <x v="0"/>
    <x v="0"/>
    <n v="945"/>
    <n v="3"/>
    <s v="October"/>
    <x v="5"/>
    <x v="0"/>
    <x v="1"/>
    <x v="0"/>
  </r>
  <r>
    <s v="SK-00118"/>
    <x v="39"/>
    <x v="113"/>
    <x v="4"/>
    <s v="Miami"/>
    <x v="0"/>
    <n v="0.31597222222222221"/>
    <n v="0.31388888888888888"/>
    <n v="-2"/>
    <x v="0"/>
    <x v="0"/>
    <n v="2722"/>
    <n v="-3"/>
    <s v="October"/>
    <x v="6"/>
    <x v="0"/>
    <x v="0"/>
    <x v="0"/>
  </r>
  <r>
    <s v="SK-00119"/>
    <x v="39"/>
    <x v="114"/>
    <x v="1"/>
    <s v="Chicago"/>
    <x v="0"/>
    <n v="0.38541666666666669"/>
    <n v="0.3923611111111111"/>
    <n v="6"/>
    <x v="0"/>
    <x v="0"/>
    <n v="738"/>
    <n v="10"/>
    <s v="October"/>
    <x v="6"/>
    <x v="0"/>
    <x v="0"/>
    <x v="0"/>
  </r>
  <r>
    <s v="SK-00120"/>
    <x v="39"/>
    <x v="115"/>
    <x v="11"/>
    <s v="Boston"/>
    <x v="1"/>
    <n v="0.59375"/>
    <n v="0.59722222222222221"/>
    <n v="-4"/>
    <x v="0"/>
    <x v="0"/>
    <n v="1260"/>
    <n v="5"/>
    <s v="October"/>
    <x v="6"/>
    <x v="0"/>
    <x v="1"/>
    <x v="0"/>
  </r>
  <r>
    <s v="SK-00121"/>
    <x v="39"/>
    <x v="116"/>
    <x v="5"/>
    <s v="Denver"/>
    <x v="1"/>
    <n v="0.61111111111111116"/>
    <n v="0.61805555555555558"/>
    <n v="-2"/>
    <x v="0"/>
    <x v="0"/>
    <n v="886"/>
    <n v="10"/>
    <s v="October"/>
    <x v="6"/>
    <x v="0"/>
    <x v="1"/>
    <x v="0"/>
  </r>
  <r>
    <s v="SK-00122"/>
    <x v="39"/>
    <x v="117"/>
    <x v="2"/>
    <s v="Denver"/>
    <x v="3"/>
    <n v="0.80555555555555558"/>
    <n v="0.80347222222222225"/>
    <n v="0"/>
    <x v="0"/>
    <x v="0"/>
    <n v="641"/>
    <n v="-3"/>
    <s v="October"/>
    <x v="6"/>
    <x v="0"/>
    <x v="2"/>
    <x v="0"/>
  </r>
  <r>
    <s v="SK-00123"/>
    <x v="39"/>
    <x v="118"/>
    <x v="0"/>
    <s v="Denver"/>
    <x v="0"/>
    <n v="0.88541666666666663"/>
    <n v="0.88402777777777775"/>
    <n v="-10"/>
    <x v="0"/>
    <x v="0"/>
    <n v="861"/>
    <n v="-2"/>
    <s v="October"/>
    <x v="6"/>
    <x v="0"/>
    <x v="3"/>
    <x v="0"/>
  </r>
  <r>
    <s v="SK-00124"/>
    <x v="40"/>
    <x v="119"/>
    <x v="0"/>
    <s v="Dallas"/>
    <x v="0"/>
    <n v="0.2638888888888889"/>
    <n v="0.27013888888888887"/>
    <n v="4"/>
    <x v="0"/>
    <x v="0"/>
    <n v="1232"/>
    <n v="9"/>
    <s v="October"/>
    <x v="0"/>
    <x v="0"/>
    <x v="0"/>
    <x v="0"/>
  </r>
  <r>
    <s v="SK-00125"/>
    <x v="40"/>
    <x v="120"/>
    <x v="6"/>
    <s v="Atlanta"/>
    <x v="2"/>
    <n v="0.35069444444444442"/>
    <n v="0.37083333333333329"/>
    <n v="14"/>
    <x v="2"/>
    <x v="0"/>
    <n v="2134"/>
    <n v="29"/>
    <s v="October"/>
    <x v="0"/>
    <x v="0"/>
    <x v="0"/>
    <x v="1"/>
  </r>
  <r>
    <s v="SK-00126"/>
    <x v="40"/>
    <x v="121"/>
    <x v="7"/>
    <s v="New York"/>
    <x v="2"/>
    <n v="0.41319444444444442"/>
    <n v="0.42986111111111108"/>
    <n v="24"/>
    <x v="3"/>
    <x v="0"/>
    <n v="759"/>
    <n v="24"/>
    <s v="October"/>
    <x v="0"/>
    <x v="1"/>
    <x v="0"/>
    <x v="2"/>
  </r>
  <r>
    <s v="SK-00127"/>
    <x v="40"/>
    <x v="122"/>
    <x v="11"/>
    <s v="Chicago"/>
    <x v="0"/>
    <n v="0.50347222222222221"/>
    <n v="0.50486111111111109"/>
    <n v="1"/>
    <x v="0"/>
    <x v="0"/>
    <n v="1199"/>
    <n v="2"/>
    <s v="October"/>
    <x v="0"/>
    <x v="0"/>
    <x v="1"/>
    <x v="0"/>
  </r>
  <r>
    <s v="SK-00128"/>
    <x v="40"/>
    <x v="123"/>
    <x v="1"/>
    <s v="Miami"/>
    <x v="2"/>
    <n v="0.77430555555555558"/>
    <n v="0.77361111111111114"/>
    <n v="8"/>
    <x v="0"/>
    <x v="0"/>
    <n v="1092"/>
    <n v="-1"/>
    <s v="October"/>
    <x v="0"/>
    <x v="0"/>
    <x v="2"/>
    <x v="0"/>
  </r>
  <r>
    <s v="SK-00129"/>
    <x v="41"/>
    <x v="124"/>
    <x v="2"/>
    <s v="Atlanta"/>
    <x v="0"/>
    <n v="0.3298611111111111"/>
    <n v="0.32916666666666672"/>
    <n v="1"/>
    <x v="0"/>
    <x v="0"/>
    <n v="730"/>
    <n v="-1"/>
    <s v="October"/>
    <x v="1"/>
    <x v="0"/>
    <x v="0"/>
    <x v="0"/>
  </r>
  <r>
    <s v="SK-00130"/>
    <x v="41"/>
    <x v="76"/>
    <x v="0"/>
    <s v="Miami"/>
    <x v="2"/>
    <n v="0.40972222222222221"/>
    <n v="0.41736111111111113"/>
    <n v="13"/>
    <x v="0"/>
    <x v="0"/>
    <n v="2338"/>
    <n v="11"/>
    <s v="October"/>
    <x v="1"/>
    <x v="0"/>
    <x v="0"/>
    <x v="0"/>
  </r>
  <r>
    <s v="SK-00131"/>
    <x v="41"/>
    <x v="125"/>
    <x v="0"/>
    <s v="New York"/>
    <x v="0"/>
    <n v="0.76388888888888884"/>
    <n v="0.77708333333333335"/>
    <n v="20"/>
    <x v="3"/>
    <x v="0"/>
    <n v="2470"/>
    <n v="19"/>
    <s v="October"/>
    <x v="1"/>
    <x v="1"/>
    <x v="2"/>
    <x v="2"/>
  </r>
  <r>
    <s v="SK-00132"/>
    <x v="42"/>
    <x v="126"/>
    <x v="3"/>
    <s v="Phoenix"/>
    <x v="0"/>
    <n v="0.41666666666666669"/>
    <n v="0.42083333333333328"/>
    <n v="-5"/>
    <x v="0"/>
    <x v="0"/>
    <n v="256"/>
    <n v="6"/>
    <s v="October"/>
    <x v="2"/>
    <x v="0"/>
    <x v="0"/>
    <x v="0"/>
  </r>
  <r>
    <s v="SK-00133"/>
    <x v="42"/>
    <x v="127"/>
    <x v="2"/>
    <s v="Boston"/>
    <x v="0"/>
    <n v="0.4375"/>
    <n v="0.44444444444444442"/>
    <n v="11"/>
    <x v="0"/>
    <x v="0"/>
    <n v="1559"/>
    <n v="10"/>
    <s v="October"/>
    <x v="2"/>
    <x v="0"/>
    <x v="0"/>
    <x v="0"/>
  </r>
  <r>
    <s v="SK-00134"/>
    <x v="42"/>
    <x v="128"/>
    <x v="7"/>
    <s v="Seattle"/>
    <x v="1"/>
    <n v="0.75347222222222221"/>
    <n v="0.77708333333333335"/>
    <n v="31"/>
    <x v="5"/>
    <x v="0"/>
    <n v="2178"/>
    <n v="34"/>
    <s v="October"/>
    <x v="2"/>
    <x v="1"/>
    <x v="2"/>
    <x v="2"/>
  </r>
  <r>
    <s v="SK-00135"/>
    <x v="42"/>
    <x v="119"/>
    <x v="4"/>
    <s v="Las Vegas"/>
    <x v="3"/>
    <n v="0.78819444444444442"/>
    <n v="0.79166666666666663"/>
    <n v="-7"/>
    <x v="0"/>
    <x v="0"/>
    <n v="867"/>
    <n v="5"/>
    <s v="October"/>
    <x v="2"/>
    <x v="0"/>
    <x v="2"/>
    <x v="0"/>
  </r>
  <r>
    <s v="SK-00136"/>
    <x v="43"/>
    <x v="129"/>
    <x v="11"/>
    <s v="Atlanta"/>
    <x v="2"/>
    <n v="0.36458333333333331"/>
    <n v="0.36249999999999999"/>
    <n v="1"/>
    <x v="0"/>
    <x v="0"/>
    <n v="596"/>
    <n v="-3"/>
    <s v="October"/>
    <x v="3"/>
    <x v="0"/>
    <x v="0"/>
    <x v="0"/>
  </r>
  <r>
    <s v="SK-00137"/>
    <x v="43"/>
    <x v="130"/>
    <x v="8"/>
    <s v="Seattle"/>
    <x v="1"/>
    <n v="0.44791666666666669"/>
    <n v="0.46388888888888891"/>
    <n v="23"/>
    <x v="4"/>
    <x v="0"/>
    <n v="2489"/>
    <n v="23"/>
    <s v="October"/>
    <x v="3"/>
    <x v="1"/>
    <x v="0"/>
    <x v="2"/>
  </r>
  <r>
    <s v="SK-00138"/>
    <x v="43"/>
    <x v="131"/>
    <x v="1"/>
    <s v="Seattle"/>
    <x v="0"/>
    <n v="0.46180555555555558"/>
    <n v="0.46944444444444439"/>
    <n v="9"/>
    <x v="0"/>
    <x v="0"/>
    <n v="2415"/>
    <n v="11"/>
    <s v="October"/>
    <x v="3"/>
    <x v="0"/>
    <x v="0"/>
    <x v="0"/>
  </r>
  <r>
    <s v="SK-00139"/>
    <x v="43"/>
    <x v="132"/>
    <x v="5"/>
    <s v="Miami"/>
    <x v="0"/>
    <n v="0.78472222222222221"/>
    <n v="0.78402777777777777"/>
    <n v="-10"/>
    <x v="0"/>
    <x v="0"/>
    <n v="1199"/>
    <n v="-1"/>
    <s v="October"/>
    <x v="3"/>
    <x v="0"/>
    <x v="2"/>
    <x v="0"/>
  </r>
  <r>
    <s v="SK-00140"/>
    <x v="43"/>
    <x v="133"/>
    <x v="10"/>
    <s v="Miami"/>
    <x v="2"/>
    <n v="0.84375"/>
    <n v="0.85069444444444442"/>
    <n v="9"/>
    <x v="0"/>
    <x v="0"/>
    <n v="1969"/>
    <n v="10"/>
    <s v="October"/>
    <x v="3"/>
    <x v="0"/>
    <x v="2"/>
    <x v="0"/>
  </r>
  <r>
    <s v="SK-00141"/>
    <x v="44"/>
    <x v="134"/>
    <x v="3"/>
    <s v="Chicago"/>
    <x v="0"/>
    <n v="0.27430555555555558"/>
    <n v="0.2722222222222222"/>
    <n v="5"/>
    <x v="0"/>
    <x v="0"/>
    <n v="1511"/>
    <n v="-3"/>
    <s v="October"/>
    <x v="4"/>
    <x v="0"/>
    <x v="0"/>
    <x v="0"/>
  </r>
  <r>
    <s v="SK-00142"/>
    <x v="44"/>
    <x v="135"/>
    <x v="5"/>
    <s v="Dallas"/>
    <x v="1"/>
    <n v="0.67708333333333337"/>
    <n v="0.68194444444444446"/>
    <n v="6"/>
    <x v="0"/>
    <x v="0"/>
    <n v="802"/>
    <n v="7"/>
    <s v="October"/>
    <x v="4"/>
    <x v="0"/>
    <x v="1"/>
    <x v="0"/>
  </r>
  <r>
    <s v="SK-00143"/>
    <x v="44"/>
    <x v="136"/>
    <x v="2"/>
    <s v="Los Angeles"/>
    <x v="1"/>
    <n v="0.83333333333333337"/>
    <n v="0.84861111111111109"/>
    <n v="13"/>
    <x v="1"/>
    <x v="0"/>
    <n v="1232"/>
    <n v="22"/>
    <s v="October"/>
    <x v="4"/>
    <x v="0"/>
    <x v="2"/>
    <x v="1"/>
  </r>
  <r>
    <s v="SK-00144"/>
    <x v="45"/>
    <x v="137"/>
    <x v="11"/>
    <s v="Dallas"/>
    <x v="1"/>
    <n v="0.22916666666666671"/>
    <n v="0.24930555555555561"/>
    <n v="33"/>
    <x v="1"/>
    <x v="0"/>
    <n v="1120"/>
    <n v="29"/>
    <s v="October"/>
    <x v="5"/>
    <x v="1"/>
    <x v="0"/>
    <x v="1"/>
  </r>
  <r>
    <s v="SK-00145"/>
    <x v="45"/>
    <x v="138"/>
    <x v="7"/>
    <s v="San Francisco"/>
    <x v="0"/>
    <n v="0.34027777777777779"/>
    <n v="0.3347222222222222"/>
    <n v="-8"/>
    <x v="0"/>
    <x v="0"/>
    <n v="2134"/>
    <n v="-8"/>
    <s v="October"/>
    <x v="5"/>
    <x v="0"/>
    <x v="0"/>
    <x v="0"/>
  </r>
  <r>
    <s v="SK-00146"/>
    <x v="45"/>
    <x v="139"/>
    <x v="0"/>
    <s v="Atlanta"/>
    <x v="0"/>
    <n v="0.77777777777777779"/>
    <n v="0.78333333333333333"/>
    <n v="13"/>
    <x v="0"/>
    <x v="0"/>
    <n v="1942"/>
    <n v="8"/>
    <s v="October"/>
    <x v="5"/>
    <x v="0"/>
    <x v="2"/>
    <x v="0"/>
  </r>
  <r>
    <s v="SK-00147"/>
    <x v="45"/>
    <x v="140"/>
    <x v="8"/>
    <s v="Chicago"/>
    <x v="0"/>
    <n v="0.84027777777777779"/>
    <n v="0.83958333333333335"/>
    <n v="-2"/>
    <x v="0"/>
    <x v="0"/>
    <n v="864"/>
    <n v="-1"/>
    <s v="October"/>
    <x v="5"/>
    <x v="0"/>
    <x v="2"/>
    <x v="0"/>
  </r>
  <r>
    <s v="SK-00148"/>
    <x v="45"/>
    <x v="107"/>
    <x v="5"/>
    <s v="Las Vegas"/>
    <x v="3"/>
    <n v="0.85069444444444442"/>
    <n v="0.85833333333333328"/>
    <n v="2"/>
    <x v="0"/>
    <x v="0"/>
    <n v="1511"/>
    <n v="11"/>
    <s v="October"/>
    <x v="5"/>
    <x v="0"/>
    <x v="2"/>
    <x v="0"/>
  </r>
  <r>
    <s v="SK-00149"/>
    <x v="46"/>
    <x v="141"/>
    <x v="10"/>
    <s v="Seattle"/>
    <x v="1"/>
    <n v="0.39583333333333331"/>
    <n v="0.4"/>
    <n v="5"/>
    <x v="0"/>
    <x v="0"/>
    <n v="1108"/>
    <n v="6"/>
    <s v="October"/>
    <x v="6"/>
    <x v="0"/>
    <x v="0"/>
    <x v="0"/>
  </r>
  <r>
    <s v="SK-00150"/>
    <x v="46"/>
    <x v="142"/>
    <x v="7"/>
    <s v="Los Angeles"/>
    <x v="0"/>
    <n v="0.40625"/>
    <m/>
    <m/>
    <x v="2"/>
    <x v="1"/>
    <n v="1942"/>
    <m/>
    <s v="October"/>
    <x v="6"/>
    <x v="2"/>
    <x v="0"/>
    <x v="1"/>
  </r>
  <r>
    <s v="SK-00151"/>
    <x v="46"/>
    <x v="143"/>
    <x v="7"/>
    <s v="New York"/>
    <x v="2"/>
    <n v="0.52777777777777779"/>
    <n v="0.53472222222222221"/>
    <m/>
    <x v="0"/>
    <x v="0"/>
    <n v="759"/>
    <n v="10"/>
    <s v="October"/>
    <x v="6"/>
    <x v="2"/>
    <x v="1"/>
    <x v="0"/>
  </r>
  <r>
    <s v="SK-00152"/>
    <x v="47"/>
    <x v="144"/>
    <x v="0"/>
    <s v="Atlanta"/>
    <x v="1"/>
    <n v="0.22222222222222221"/>
    <n v="0.22361111111111109"/>
    <n v="0"/>
    <x v="0"/>
    <x v="0"/>
    <n v="1942"/>
    <n v="2"/>
    <s v="October"/>
    <x v="0"/>
    <x v="0"/>
    <x v="0"/>
    <x v="0"/>
  </r>
  <r>
    <s v="SK-00153"/>
    <x v="48"/>
    <x v="145"/>
    <x v="5"/>
    <s v="Denver"/>
    <x v="1"/>
    <n v="0.29166666666666669"/>
    <n v="0.29375000000000001"/>
    <n v="3"/>
    <x v="0"/>
    <x v="0"/>
    <n v="886"/>
    <n v="3"/>
    <s v="October"/>
    <x v="1"/>
    <x v="0"/>
    <x v="0"/>
    <x v="0"/>
  </r>
  <r>
    <s v="SK-00154"/>
    <x v="48"/>
    <x v="146"/>
    <x v="9"/>
    <s v="Dallas"/>
    <x v="1"/>
    <n v="0.36805555555555558"/>
    <n v="0.37152777777777779"/>
    <n v="2"/>
    <x v="0"/>
    <x v="0"/>
    <n v="641"/>
    <n v="5"/>
    <s v="October"/>
    <x v="1"/>
    <x v="0"/>
    <x v="0"/>
    <x v="0"/>
  </r>
  <r>
    <s v="SK-00155"/>
    <x v="48"/>
    <x v="147"/>
    <x v="10"/>
    <s v="Chicago"/>
    <x v="0"/>
    <n v="0.66666666666666663"/>
    <n v="0.66874999999999996"/>
    <n v="5"/>
    <x v="0"/>
    <x v="0"/>
    <n v="1438"/>
    <n v="3"/>
    <s v="October"/>
    <x v="1"/>
    <x v="0"/>
    <x v="1"/>
    <x v="0"/>
  </r>
  <r>
    <s v="SK-00156"/>
    <x v="48"/>
    <x v="148"/>
    <x v="7"/>
    <s v="Las Vegas"/>
    <x v="1"/>
    <n v="0.70833333333333337"/>
    <m/>
    <m/>
    <x v="2"/>
    <x v="1"/>
    <n v="1743"/>
    <m/>
    <s v="October"/>
    <x v="1"/>
    <x v="2"/>
    <x v="2"/>
    <x v="1"/>
  </r>
  <r>
    <s v="SK-00157"/>
    <x v="49"/>
    <x v="149"/>
    <x v="4"/>
    <s v="Chicago"/>
    <x v="2"/>
    <n v="0.47916666666666669"/>
    <n v="0.4777777777777778"/>
    <n v="-12"/>
    <x v="0"/>
    <x v="0"/>
    <n v="1717"/>
    <n v="-2"/>
    <s v="October"/>
    <x v="2"/>
    <x v="0"/>
    <x v="0"/>
    <x v="0"/>
  </r>
  <r>
    <s v="SK-00158"/>
    <x v="49"/>
    <x v="150"/>
    <x v="1"/>
    <s v="Seattle"/>
    <x v="2"/>
    <n v="0.61458333333333337"/>
    <n v="0.69305555555555554"/>
    <n v="100"/>
    <x v="1"/>
    <x v="0"/>
    <n v="2415"/>
    <n v="113"/>
    <s v="October"/>
    <x v="2"/>
    <x v="1"/>
    <x v="1"/>
    <x v="1"/>
  </r>
  <r>
    <s v="SK-00159"/>
    <x v="49"/>
    <x v="151"/>
    <x v="5"/>
    <s v="Atlanta"/>
    <x v="0"/>
    <n v="0.84722222222222221"/>
    <n v="0.85"/>
    <n v="-3"/>
    <x v="0"/>
    <x v="0"/>
    <n v="606"/>
    <n v="4"/>
    <s v="October"/>
    <x v="2"/>
    <x v="0"/>
    <x v="2"/>
    <x v="0"/>
  </r>
  <r>
    <s v="SK-00160"/>
    <x v="50"/>
    <x v="152"/>
    <x v="5"/>
    <s v="Los Angeles"/>
    <x v="3"/>
    <n v="0.63888888888888884"/>
    <n v="0.63541666666666663"/>
    <n v="4"/>
    <x v="0"/>
    <x v="0"/>
    <n v="1742"/>
    <n v="-5"/>
    <s v="October"/>
    <x v="3"/>
    <x v="0"/>
    <x v="1"/>
    <x v="0"/>
  </r>
  <r>
    <s v="SK-00161"/>
    <x v="50"/>
    <x v="43"/>
    <x v="7"/>
    <s v="Dallas"/>
    <x v="0"/>
    <n v="0.75"/>
    <n v="0.75069444444444444"/>
    <n v="7"/>
    <x v="0"/>
    <x v="0"/>
    <n v="730"/>
    <n v="1"/>
    <s v="October"/>
    <x v="3"/>
    <x v="0"/>
    <x v="2"/>
    <x v="0"/>
  </r>
  <r>
    <s v="SK-00162"/>
    <x v="51"/>
    <x v="153"/>
    <x v="0"/>
    <s v="Dallas"/>
    <x v="1"/>
    <n v="0.78819444444444442"/>
    <n v="0.7895833333333333"/>
    <n v="-7"/>
    <x v="0"/>
    <x v="0"/>
    <n v="1232"/>
    <n v="2"/>
    <s v="October"/>
    <x v="4"/>
    <x v="0"/>
    <x v="2"/>
    <x v="0"/>
  </r>
  <r>
    <s v="SK-00163"/>
    <x v="51"/>
    <x v="154"/>
    <x v="0"/>
    <s v="Phoenix"/>
    <x v="3"/>
    <n v="0.81597222222222221"/>
    <n v="0.89375000000000004"/>
    <n v="117"/>
    <x v="1"/>
    <x v="0"/>
    <n v="370"/>
    <n v="112"/>
    <s v="October"/>
    <x v="4"/>
    <x v="1"/>
    <x v="2"/>
    <x v="1"/>
  </r>
  <r>
    <s v="SK-00164"/>
    <x v="52"/>
    <x v="155"/>
    <x v="5"/>
    <s v="Dallas"/>
    <x v="2"/>
    <n v="0.28125"/>
    <n v="0.28125"/>
    <n v="-12"/>
    <x v="0"/>
    <x v="0"/>
    <n v="802"/>
    <n v="0"/>
    <s v="October"/>
    <x v="5"/>
    <x v="0"/>
    <x v="0"/>
    <x v="0"/>
  </r>
  <r>
    <s v="SK-00165"/>
    <x v="52"/>
    <x v="140"/>
    <x v="2"/>
    <s v="Chicago"/>
    <x v="2"/>
    <n v="0.30208333333333331"/>
    <n v="0.29930555555555549"/>
    <n v="-15"/>
    <x v="0"/>
    <x v="0"/>
    <n v="802"/>
    <n v="-4"/>
    <s v="October"/>
    <x v="5"/>
    <x v="0"/>
    <x v="0"/>
    <x v="0"/>
  </r>
  <r>
    <s v="SK-00166"/>
    <x v="53"/>
    <x v="156"/>
    <x v="1"/>
    <s v="Phoenix"/>
    <x v="1"/>
    <n v="0.63541666666666663"/>
    <n v="0.63402777777777775"/>
    <n v="-7"/>
    <x v="0"/>
    <x v="0"/>
    <n v="2149"/>
    <n v="-2"/>
    <s v="October"/>
    <x v="6"/>
    <x v="0"/>
    <x v="1"/>
    <x v="0"/>
  </r>
  <r>
    <s v="SK-00167"/>
    <x v="54"/>
    <x v="157"/>
    <x v="3"/>
    <s v="Boston"/>
    <x v="0"/>
    <n v="0.31597222222222221"/>
    <n v="0.32291666666666669"/>
    <n v="3"/>
    <x v="0"/>
    <x v="0"/>
    <n v="2375"/>
    <n v="10"/>
    <s v="October"/>
    <x v="0"/>
    <x v="0"/>
    <x v="0"/>
    <x v="0"/>
  </r>
  <r>
    <s v="SK-00168"/>
    <x v="54"/>
    <x v="158"/>
    <x v="7"/>
    <s v="San Francisco"/>
    <x v="0"/>
    <n v="0.36805555555555558"/>
    <n v="0.36944444444444452"/>
    <n v="1"/>
    <x v="0"/>
    <x v="0"/>
    <n v="2134"/>
    <n v="2"/>
    <s v="October"/>
    <x v="0"/>
    <x v="0"/>
    <x v="0"/>
    <x v="0"/>
  </r>
  <r>
    <s v="SK-00169"/>
    <x v="54"/>
    <x v="159"/>
    <x v="2"/>
    <s v="Atlanta"/>
    <x v="1"/>
    <n v="0.74652777777777779"/>
    <n v="0.7416666666666667"/>
    <n v="-12"/>
    <x v="0"/>
    <x v="0"/>
    <n v="730"/>
    <n v="-7"/>
    <s v="October"/>
    <x v="0"/>
    <x v="0"/>
    <x v="2"/>
    <x v="0"/>
  </r>
  <r>
    <s v="SK-00170"/>
    <x v="54"/>
    <x v="160"/>
    <x v="1"/>
    <s v="Seattle"/>
    <x v="1"/>
    <n v="0.89583333333333337"/>
    <n v="0.89027777777777772"/>
    <n v="-5"/>
    <x v="0"/>
    <x v="0"/>
    <n v="2415"/>
    <n v="-8"/>
    <s v="October"/>
    <x v="0"/>
    <x v="0"/>
    <x v="3"/>
    <x v="0"/>
  </r>
  <r>
    <s v="SK-00171"/>
    <x v="55"/>
    <x v="158"/>
    <x v="10"/>
    <s v="Dallas"/>
    <x v="3"/>
    <n v="0.36458333333333331"/>
    <n v="0.37222222222222218"/>
    <n v="14"/>
    <x v="0"/>
    <x v="0"/>
    <n v="866"/>
    <n v="11"/>
    <s v="October"/>
    <x v="1"/>
    <x v="0"/>
    <x v="0"/>
    <x v="0"/>
  </r>
  <r>
    <s v="SK-00172"/>
    <x v="55"/>
    <x v="73"/>
    <x v="0"/>
    <s v="Boston"/>
    <x v="2"/>
    <n v="0.58333333333333337"/>
    <n v="0.58680555555555558"/>
    <n v="10"/>
    <x v="0"/>
    <x v="0"/>
    <n v="2606"/>
    <n v="5"/>
    <s v="October"/>
    <x v="1"/>
    <x v="0"/>
    <x v="1"/>
    <x v="0"/>
  </r>
  <r>
    <s v="SK-00173"/>
    <x v="55"/>
    <x v="161"/>
    <x v="7"/>
    <s v="Phoenix"/>
    <x v="3"/>
    <n v="0.71180555555555558"/>
    <n v="0.7270833333333333"/>
    <n v="17"/>
    <x v="2"/>
    <x v="0"/>
    <n v="1584"/>
    <n v="22"/>
    <s v="October"/>
    <x v="1"/>
    <x v="1"/>
    <x v="2"/>
    <x v="1"/>
  </r>
  <r>
    <s v="SK-00174"/>
    <x v="56"/>
    <x v="38"/>
    <x v="5"/>
    <s v="Atlanta"/>
    <x v="1"/>
    <n v="0.33333333333333331"/>
    <n v="0.33750000000000002"/>
    <n v="5"/>
    <x v="0"/>
    <x v="0"/>
    <n v="606"/>
    <n v="6"/>
    <s v="October"/>
    <x v="2"/>
    <x v="0"/>
    <x v="0"/>
    <x v="0"/>
  </r>
  <r>
    <s v="SK-00175"/>
    <x v="56"/>
    <x v="162"/>
    <x v="7"/>
    <s v="Boston"/>
    <x v="0"/>
    <n v="0.61111111111111116"/>
    <n v="0.6166666666666667"/>
    <n v="1"/>
    <x v="0"/>
    <x v="0"/>
    <n v="945"/>
    <n v="8"/>
    <s v="October"/>
    <x v="2"/>
    <x v="0"/>
    <x v="1"/>
    <x v="0"/>
  </r>
  <r>
    <s v="SK-00176"/>
    <x v="57"/>
    <x v="163"/>
    <x v="5"/>
    <s v="Atlanta"/>
    <x v="1"/>
    <n v="0.2638888888888889"/>
    <n v="0.26041666666666669"/>
    <n v="-13"/>
    <x v="0"/>
    <x v="0"/>
    <n v="606"/>
    <n v="-5"/>
    <s v="October"/>
    <x v="4"/>
    <x v="0"/>
    <x v="0"/>
    <x v="0"/>
  </r>
  <r>
    <s v="SK-00177"/>
    <x v="57"/>
    <x v="156"/>
    <x v="7"/>
    <s v="Miami"/>
    <x v="3"/>
    <n v="0.38194444444444442"/>
    <n v="0.38055555555555548"/>
    <n v="6"/>
    <x v="0"/>
    <x v="0"/>
    <n v="596"/>
    <n v="-2"/>
    <s v="October"/>
    <x v="4"/>
    <x v="0"/>
    <x v="0"/>
    <x v="0"/>
  </r>
  <r>
    <s v="SK-00178"/>
    <x v="57"/>
    <x v="164"/>
    <x v="7"/>
    <s v="Denver"/>
    <x v="3"/>
    <n v="0.45833333333333331"/>
    <n v="0.45763888888888887"/>
    <n v="1"/>
    <x v="0"/>
    <x v="0"/>
    <n v="1197"/>
    <n v="-1"/>
    <s v="October"/>
    <x v="4"/>
    <x v="0"/>
    <x v="0"/>
    <x v="0"/>
  </r>
  <r>
    <s v="SK-00179"/>
    <x v="57"/>
    <x v="165"/>
    <x v="5"/>
    <s v="Las Vegas"/>
    <x v="0"/>
    <n v="0.67013888888888884"/>
    <n v="0.67847222222222225"/>
    <n v="0"/>
    <x v="0"/>
    <x v="0"/>
    <n v="1511"/>
    <n v="12"/>
    <s v="October"/>
    <x v="4"/>
    <x v="0"/>
    <x v="1"/>
    <x v="0"/>
  </r>
  <r>
    <s v="SK-00180"/>
    <x v="57"/>
    <x v="166"/>
    <x v="1"/>
    <s v="Los Angeles"/>
    <x v="0"/>
    <n v="0.73263888888888884"/>
    <n v="0.72916666666666663"/>
    <n v="-7"/>
    <x v="0"/>
    <x v="0"/>
    <n v="2470"/>
    <n v="-5"/>
    <s v="October"/>
    <x v="4"/>
    <x v="0"/>
    <x v="2"/>
    <x v="0"/>
  </r>
  <r>
    <s v="SK-00181"/>
    <x v="57"/>
    <x v="167"/>
    <x v="1"/>
    <s v="Miami"/>
    <x v="3"/>
    <n v="0.74652777777777779"/>
    <n v="0.75208333333333333"/>
    <n v="11"/>
    <x v="0"/>
    <x v="0"/>
    <n v="1092"/>
    <n v="8"/>
    <s v="October"/>
    <x v="4"/>
    <x v="0"/>
    <x v="2"/>
    <x v="0"/>
  </r>
  <r>
    <s v="SK-00182"/>
    <x v="57"/>
    <x v="168"/>
    <x v="7"/>
    <s v="Denver"/>
    <x v="2"/>
    <n v="0.81944444444444442"/>
    <n v="0.82777777777777772"/>
    <n v="1"/>
    <x v="0"/>
    <x v="0"/>
    <n v="1197"/>
    <n v="12"/>
    <s v="October"/>
    <x v="4"/>
    <x v="0"/>
    <x v="2"/>
    <x v="0"/>
  </r>
  <r>
    <s v="SK-00183"/>
    <x v="58"/>
    <x v="169"/>
    <x v="11"/>
    <s v="Los Angeles"/>
    <x v="1"/>
    <n v="0.71875"/>
    <n v="0.73541666666666672"/>
    <n v="31"/>
    <x v="2"/>
    <x v="0"/>
    <n v="2338"/>
    <n v="24"/>
    <s v="November"/>
    <x v="5"/>
    <x v="1"/>
    <x v="2"/>
    <x v="1"/>
  </r>
  <r>
    <s v="SK-00184"/>
    <x v="59"/>
    <x v="170"/>
    <x v="9"/>
    <s v="New York"/>
    <x v="0"/>
    <n v="0.27777777777777779"/>
    <n v="0.27916666666666667"/>
    <n v="-5"/>
    <x v="0"/>
    <x v="0"/>
    <n v="1622"/>
    <n v="2"/>
    <s v="November"/>
    <x v="6"/>
    <x v="0"/>
    <x v="0"/>
    <x v="0"/>
  </r>
  <r>
    <s v="SK-00185"/>
    <x v="59"/>
    <x v="171"/>
    <x v="2"/>
    <s v="Miami"/>
    <x v="2"/>
    <n v="0.31597222222222221"/>
    <n v="0.31319444444444439"/>
    <n v="-15"/>
    <x v="0"/>
    <x v="0"/>
    <n v="1120"/>
    <n v="-4"/>
    <s v="November"/>
    <x v="6"/>
    <x v="0"/>
    <x v="0"/>
    <x v="0"/>
  </r>
  <r>
    <s v="SK-00186"/>
    <x v="59"/>
    <x v="172"/>
    <x v="0"/>
    <s v="Dallas"/>
    <x v="1"/>
    <n v="0.35416666666666669"/>
    <n v="0.35486111111111113"/>
    <n v="3"/>
    <x v="0"/>
    <x v="0"/>
    <n v="1232"/>
    <n v="1"/>
    <s v="November"/>
    <x v="6"/>
    <x v="0"/>
    <x v="0"/>
    <x v="0"/>
  </r>
  <r>
    <s v="SK-00187"/>
    <x v="59"/>
    <x v="173"/>
    <x v="7"/>
    <s v="Chicago"/>
    <x v="2"/>
    <n v="0.3888888888888889"/>
    <n v="0.38472222222222219"/>
    <n v="1"/>
    <x v="0"/>
    <x v="0"/>
    <n v="606"/>
    <n v="-6"/>
    <s v="November"/>
    <x v="6"/>
    <x v="0"/>
    <x v="0"/>
    <x v="0"/>
  </r>
  <r>
    <s v="SK-00188"/>
    <x v="59"/>
    <x v="174"/>
    <x v="7"/>
    <s v="Miami"/>
    <x v="2"/>
    <n v="0.77777777777777779"/>
    <n v="0.83472222222222225"/>
    <n v="79"/>
    <x v="2"/>
    <x v="0"/>
    <n v="596"/>
    <n v="82"/>
    <s v="November"/>
    <x v="6"/>
    <x v="1"/>
    <x v="2"/>
    <x v="1"/>
  </r>
  <r>
    <s v="SK-00189"/>
    <x v="60"/>
    <x v="175"/>
    <x v="11"/>
    <s v="Atlanta"/>
    <x v="2"/>
    <n v="0.43055555555555558"/>
    <n v="0.43680555555555561"/>
    <n v="13"/>
    <x v="0"/>
    <x v="0"/>
    <n v="596"/>
    <n v="9"/>
    <s v="November"/>
    <x v="0"/>
    <x v="0"/>
    <x v="0"/>
    <x v="0"/>
  </r>
  <r>
    <s v="SK-00190"/>
    <x v="61"/>
    <x v="176"/>
    <x v="7"/>
    <s v="Los Angeles"/>
    <x v="1"/>
    <n v="0.2986111111111111"/>
    <n v="0.30486111111111108"/>
    <n v="17"/>
    <x v="0"/>
    <x v="0"/>
    <n v="1942"/>
    <n v="9"/>
    <s v="November"/>
    <x v="1"/>
    <x v="1"/>
    <x v="0"/>
    <x v="0"/>
  </r>
  <r>
    <s v="SK-00191"/>
    <x v="61"/>
    <x v="177"/>
    <x v="1"/>
    <s v="Chicago"/>
    <x v="1"/>
    <n v="0.40625"/>
    <n v="0.41388888888888892"/>
    <n v="15"/>
    <x v="0"/>
    <x v="0"/>
    <n v="738"/>
    <n v="11"/>
    <s v="November"/>
    <x v="1"/>
    <x v="0"/>
    <x v="0"/>
    <x v="0"/>
  </r>
  <r>
    <s v="SK-00192"/>
    <x v="61"/>
    <x v="178"/>
    <x v="8"/>
    <s v="Denver"/>
    <x v="3"/>
    <n v="0.48958333333333331"/>
    <n v="0.49444444444444452"/>
    <n v="3"/>
    <x v="0"/>
    <x v="0"/>
    <n v="1749"/>
    <n v="7"/>
    <s v="November"/>
    <x v="1"/>
    <x v="0"/>
    <x v="0"/>
    <x v="0"/>
  </r>
  <r>
    <s v="SK-00193"/>
    <x v="62"/>
    <x v="179"/>
    <x v="2"/>
    <s v="Los Angeles"/>
    <x v="0"/>
    <n v="0.34722222222222221"/>
    <n v="0.34236111111111112"/>
    <n v="-9"/>
    <x v="0"/>
    <x v="0"/>
    <n v="1232"/>
    <n v="-7"/>
    <s v="November"/>
    <x v="2"/>
    <x v="0"/>
    <x v="0"/>
    <x v="0"/>
  </r>
  <r>
    <s v="SK-00194"/>
    <x v="62"/>
    <x v="180"/>
    <x v="4"/>
    <s v="Denver"/>
    <x v="3"/>
    <n v="0.38194444444444442"/>
    <n v="0.38541666666666669"/>
    <n v="-6"/>
    <x v="0"/>
    <x v="0"/>
    <n v="1023"/>
    <n v="5"/>
    <s v="November"/>
    <x v="2"/>
    <x v="0"/>
    <x v="0"/>
    <x v="0"/>
  </r>
  <r>
    <s v="SK-00195"/>
    <x v="62"/>
    <x v="181"/>
    <x v="5"/>
    <s v="Phoenix"/>
    <x v="0"/>
    <n v="0.66319444444444442"/>
    <n v="0.66597222222222219"/>
    <n v="8"/>
    <x v="0"/>
    <x v="0"/>
    <n v="1438"/>
    <n v="4"/>
    <s v="November"/>
    <x v="2"/>
    <x v="0"/>
    <x v="1"/>
    <x v="0"/>
  </r>
  <r>
    <s v="SK-00196"/>
    <x v="62"/>
    <x v="182"/>
    <x v="2"/>
    <s v="Phoenix"/>
    <x v="0"/>
    <n v="0.82638888888888884"/>
    <n v="0.83472222222222225"/>
    <n v="2"/>
    <x v="0"/>
    <x v="0"/>
    <n v="866"/>
    <n v="12"/>
    <s v="November"/>
    <x v="2"/>
    <x v="0"/>
    <x v="2"/>
    <x v="0"/>
  </r>
  <r>
    <s v="SK-00197"/>
    <x v="62"/>
    <x v="183"/>
    <x v="6"/>
    <s v="New York"/>
    <x v="0"/>
    <n v="0.85416666666666663"/>
    <n v="0.86041666666666672"/>
    <n v="1"/>
    <x v="0"/>
    <x v="0"/>
    <n v="2580"/>
    <n v="9"/>
    <s v="November"/>
    <x v="2"/>
    <x v="0"/>
    <x v="2"/>
    <x v="0"/>
  </r>
  <r>
    <s v="SK-00198"/>
    <x v="63"/>
    <x v="184"/>
    <x v="5"/>
    <s v="New York"/>
    <x v="0"/>
    <n v="0.47916666666666669"/>
    <n v="0.48680555555555549"/>
    <n v="19"/>
    <x v="0"/>
    <x v="0"/>
    <n v="738"/>
    <n v="11"/>
    <s v="November"/>
    <x v="3"/>
    <x v="1"/>
    <x v="0"/>
    <x v="0"/>
  </r>
  <r>
    <s v="SK-00199"/>
    <x v="63"/>
    <x v="185"/>
    <x v="5"/>
    <s v="Miami"/>
    <x v="1"/>
    <n v="0.88888888888888884"/>
    <n v="0.90625"/>
    <n v="25"/>
    <x v="4"/>
    <x v="0"/>
    <n v="1199"/>
    <n v="25"/>
    <s v="November"/>
    <x v="3"/>
    <x v="1"/>
    <x v="3"/>
    <x v="2"/>
  </r>
  <r>
    <s v="SK-00200"/>
    <x v="64"/>
    <x v="186"/>
    <x v="5"/>
    <s v="Phoenix"/>
    <x v="3"/>
    <n v="0.3263888888888889"/>
    <n v="0.32361111111111113"/>
    <n v="1"/>
    <x v="0"/>
    <x v="0"/>
    <n v="1438"/>
    <n v="-4"/>
    <s v="November"/>
    <x v="4"/>
    <x v="0"/>
    <x v="0"/>
    <x v="0"/>
  </r>
  <r>
    <s v="SK-00201"/>
    <x v="64"/>
    <x v="43"/>
    <x v="1"/>
    <s v="Chicago"/>
    <x v="1"/>
    <n v="0.38194444444444442"/>
    <n v="0.37847222222222221"/>
    <n v="-16"/>
    <x v="0"/>
    <x v="0"/>
    <n v="738"/>
    <n v="-5"/>
    <s v="November"/>
    <x v="4"/>
    <x v="0"/>
    <x v="0"/>
    <x v="0"/>
  </r>
  <r>
    <s v="SK-00202"/>
    <x v="64"/>
    <x v="8"/>
    <x v="1"/>
    <s v="Chicago"/>
    <x v="0"/>
    <n v="0.39583333333333331"/>
    <n v="0.40277777777777779"/>
    <n v="2"/>
    <x v="0"/>
    <x v="0"/>
    <n v="738"/>
    <n v="10"/>
    <s v="November"/>
    <x v="4"/>
    <x v="0"/>
    <x v="0"/>
    <x v="0"/>
  </r>
  <r>
    <s v="SK-00203"/>
    <x v="64"/>
    <x v="187"/>
    <x v="5"/>
    <s v="Boston"/>
    <x v="0"/>
    <n v="0.43055555555555558"/>
    <n v="0.43263888888888891"/>
    <n v="-3"/>
    <x v="0"/>
    <x v="0"/>
    <n v="864"/>
    <n v="3"/>
    <s v="November"/>
    <x v="4"/>
    <x v="0"/>
    <x v="0"/>
    <x v="0"/>
  </r>
  <r>
    <s v="SK-00204"/>
    <x v="65"/>
    <x v="188"/>
    <x v="7"/>
    <s v="Phoenix"/>
    <x v="0"/>
    <n v="0.22916666666666671"/>
    <n v="0.22847222222222219"/>
    <n v="7"/>
    <x v="0"/>
    <x v="0"/>
    <n v="1584"/>
    <n v="-1"/>
    <s v="November"/>
    <x v="5"/>
    <x v="0"/>
    <x v="0"/>
    <x v="0"/>
  </r>
  <r>
    <s v="SK-00205"/>
    <x v="65"/>
    <x v="189"/>
    <x v="6"/>
    <s v="Los Angeles"/>
    <x v="0"/>
    <n v="0.3125"/>
    <n v="0.31319444444444439"/>
    <n v="6"/>
    <x v="0"/>
    <x v="0"/>
    <n v="338"/>
    <n v="1"/>
    <s v="November"/>
    <x v="5"/>
    <x v="0"/>
    <x v="0"/>
    <x v="0"/>
  </r>
  <r>
    <s v="SK-00206"/>
    <x v="65"/>
    <x v="190"/>
    <x v="0"/>
    <s v="Denver"/>
    <x v="1"/>
    <n v="0.70486111111111116"/>
    <m/>
    <n v="-8"/>
    <x v="0"/>
    <x v="0"/>
    <n v="861"/>
    <n v="4"/>
    <s v="November"/>
    <x v="5"/>
    <x v="0"/>
    <x v="1"/>
    <x v="0"/>
  </r>
  <r>
    <s v="SK-00207"/>
    <x v="65"/>
    <x v="191"/>
    <x v="2"/>
    <s v="New York"/>
    <x v="2"/>
    <n v="0.72569444444444442"/>
    <n v="0.72013888888888888"/>
    <n v="-4"/>
    <x v="0"/>
    <x v="0"/>
    <n v="1389"/>
    <n v="-8"/>
    <s v="November"/>
    <x v="5"/>
    <x v="0"/>
    <x v="2"/>
    <x v="0"/>
  </r>
  <r>
    <s v="SK-00208"/>
    <x v="65"/>
    <x v="0"/>
    <x v="1"/>
    <s v="Boston"/>
    <x v="2"/>
    <n v="0.77777777777777779"/>
    <n v="0.81458333333333333"/>
    <n v="41"/>
    <x v="1"/>
    <x v="0"/>
    <n v="186"/>
    <n v="53"/>
    <s v="November"/>
    <x v="5"/>
    <x v="1"/>
    <x v="2"/>
    <x v="1"/>
  </r>
  <r>
    <s v="SK-00209"/>
    <x v="65"/>
    <x v="192"/>
    <x v="11"/>
    <s v="Dallas"/>
    <x v="3"/>
    <n v="0.80902777777777779"/>
    <n v="0.82222222222222219"/>
    <n v="17"/>
    <x v="1"/>
    <x v="0"/>
    <n v="1120"/>
    <n v="19"/>
    <s v="November"/>
    <x v="5"/>
    <x v="1"/>
    <x v="2"/>
    <x v="1"/>
  </r>
  <r>
    <s v="SK-00210"/>
    <x v="66"/>
    <x v="193"/>
    <x v="4"/>
    <s v="Chicago"/>
    <x v="1"/>
    <n v="0.34375"/>
    <n v="0.34722222222222221"/>
    <n v="10"/>
    <x v="0"/>
    <x v="0"/>
    <n v="1717"/>
    <n v="5"/>
    <s v="November"/>
    <x v="6"/>
    <x v="0"/>
    <x v="0"/>
    <x v="0"/>
  </r>
  <r>
    <s v="SK-00211"/>
    <x v="66"/>
    <x v="51"/>
    <x v="2"/>
    <s v="Atlanta"/>
    <x v="0"/>
    <n v="0.52083333333333337"/>
    <n v="0.52569444444444446"/>
    <n v="4"/>
    <x v="0"/>
    <x v="0"/>
    <n v="730"/>
    <n v="7"/>
    <s v="November"/>
    <x v="6"/>
    <x v="0"/>
    <x v="1"/>
    <x v="0"/>
  </r>
  <r>
    <s v="SK-00212"/>
    <x v="66"/>
    <x v="194"/>
    <x v="9"/>
    <s v="Boston"/>
    <x v="0"/>
    <n v="0.79166666666666663"/>
    <n v="0.79791666666666672"/>
    <n v="7"/>
    <x v="0"/>
    <x v="0"/>
    <n v="1749"/>
    <n v="9"/>
    <s v="November"/>
    <x v="6"/>
    <x v="0"/>
    <x v="2"/>
    <x v="0"/>
  </r>
  <r>
    <s v="SK-00213"/>
    <x v="67"/>
    <x v="195"/>
    <x v="0"/>
    <s v="Chicago"/>
    <x v="1"/>
    <n v="0.35069444444444442"/>
    <n v="0.35625000000000001"/>
    <n v="17"/>
    <x v="0"/>
    <x v="0"/>
    <n v="1742"/>
    <n v="8"/>
    <s v="November"/>
    <x v="0"/>
    <x v="1"/>
    <x v="0"/>
    <x v="0"/>
  </r>
  <r>
    <s v="SK-00214"/>
    <x v="67"/>
    <x v="196"/>
    <x v="1"/>
    <s v="Dallas"/>
    <x v="1"/>
    <n v="0.62152777777777779"/>
    <n v="0.63958333333333328"/>
    <n v="24"/>
    <x v="3"/>
    <x v="0"/>
    <n v="1389"/>
    <n v="26"/>
    <s v="November"/>
    <x v="0"/>
    <x v="1"/>
    <x v="1"/>
    <x v="2"/>
  </r>
  <r>
    <s v="SK-00215"/>
    <x v="68"/>
    <x v="197"/>
    <x v="10"/>
    <s v="Denver"/>
    <x v="3"/>
    <n v="0.52430555555555558"/>
    <n v="0.52569444444444446"/>
    <n v="11"/>
    <x v="0"/>
    <x v="0"/>
    <n v="602"/>
    <n v="2"/>
    <s v="November"/>
    <x v="1"/>
    <x v="0"/>
    <x v="1"/>
    <x v="0"/>
  </r>
  <r>
    <s v="SK-00216"/>
    <x v="68"/>
    <x v="198"/>
    <x v="1"/>
    <s v="Atlanta"/>
    <x v="3"/>
    <n v="0.73263888888888884"/>
    <n v="0.7631944444444444"/>
    <n v="45"/>
    <x v="4"/>
    <x v="0"/>
    <n v="759"/>
    <n v="44"/>
    <s v="November"/>
    <x v="1"/>
    <x v="1"/>
    <x v="2"/>
    <x v="2"/>
  </r>
  <r>
    <s v="SK-00217"/>
    <x v="69"/>
    <x v="199"/>
    <x v="11"/>
    <s v="San Francisco"/>
    <x v="2"/>
    <n v="0.4548611111111111"/>
    <n v="0.44930555555555562"/>
    <n v="-16"/>
    <x v="0"/>
    <x v="0"/>
    <n v="2582"/>
    <n v="-8"/>
    <s v="November"/>
    <x v="2"/>
    <x v="0"/>
    <x v="0"/>
    <x v="0"/>
  </r>
  <r>
    <s v="SK-00218"/>
    <x v="69"/>
    <x v="200"/>
    <x v="2"/>
    <s v="Boston"/>
    <x v="0"/>
    <n v="0.57638888888888884"/>
    <n v="0.57777777777777772"/>
    <n v="1"/>
    <x v="0"/>
    <x v="0"/>
    <n v="1559"/>
    <n v="2"/>
    <s v="November"/>
    <x v="2"/>
    <x v="0"/>
    <x v="1"/>
    <x v="0"/>
  </r>
  <r>
    <s v="SK-00219"/>
    <x v="69"/>
    <x v="201"/>
    <x v="2"/>
    <s v="Atlanta"/>
    <x v="1"/>
    <n v="0.69444444444444442"/>
    <n v="0.69305555555555554"/>
    <n v="6"/>
    <x v="0"/>
    <x v="0"/>
    <n v="730"/>
    <n v="-2"/>
    <s v="November"/>
    <x v="2"/>
    <x v="0"/>
    <x v="1"/>
    <x v="0"/>
  </r>
  <r>
    <s v="SK-00220"/>
    <x v="69"/>
    <x v="202"/>
    <x v="4"/>
    <s v="Las Vegas"/>
    <x v="3"/>
    <n v="0.73611111111111116"/>
    <n v="0.7319444444444444"/>
    <n v="2"/>
    <x v="0"/>
    <x v="0"/>
    <n v="867"/>
    <n v="-6"/>
    <s v="November"/>
    <x v="2"/>
    <x v="0"/>
    <x v="2"/>
    <x v="0"/>
  </r>
  <r>
    <s v="SK-00221"/>
    <x v="69"/>
    <x v="203"/>
    <x v="2"/>
    <s v="Boston"/>
    <x v="0"/>
    <n v="0.78472222222222221"/>
    <n v="0.78402777777777777"/>
    <m/>
    <x v="0"/>
    <x v="0"/>
    <n v="1559"/>
    <n v="-1"/>
    <s v="November"/>
    <x v="2"/>
    <x v="2"/>
    <x v="2"/>
    <x v="0"/>
  </r>
  <r>
    <s v="SK-00222"/>
    <x v="69"/>
    <x v="204"/>
    <x v="11"/>
    <s v="Chicago"/>
    <x v="0"/>
    <n v="0.82291666666666663"/>
    <n v="0.85"/>
    <n v="36"/>
    <x v="2"/>
    <x v="0"/>
    <n v="1199"/>
    <n v="39"/>
    <s v="November"/>
    <x v="2"/>
    <x v="1"/>
    <x v="2"/>
    <x v="1"/>
  </r>
  <r>
    <s v="SK-00223"/>
    <x v="70"/>
    <x v="91"/>
    <x v="7"/>
    <s v="Dallas"/>
    <x v="2"/>
    <n v="0.4548611111111111"/>
    <n v="0.4513888888888889"/>
    <n v="-12"/>
    <x v="0"/>
    <x v="0"/>
    <n v="730"/>
    <n v="-5"/>
    <s v="November"/>
    <x v="3"/>
    <x v="0"/>
    <x v="0"/>
    <x v="0"/>
  </r>
  <r>
    <s v="SK-00224"/>
    <x v="70"/>
    <x v="205"/>
    <x v="2"/>
    <s v="Los Angeles"/>
    <x v="1"/>
    <n v="0.73958333333333337"/>
    <n v="0.74305555555555558"/>
    <m/>
    <x v="0"/>
    <x v="0"/>
    <n v="1232"/>
    <n v="5"/>
    <s v="November"/>
    <x v="3"/>
    <x v="2"/>
    <x v="2"/>
    <x v="0"/>
  </r>
  <r>
    <s v="SK-00225"/>
    <x v="70"/>
    <x v="206"/>
    <x v="2"/>
    <s v="Boston"/>
    <x v="3"/>
    <n v="0.8125"/>
    <n v="0.81805555555555554"/>
    <n v="11"/>
    <x v="0"/>
    <x v="0"/>
    <n v="1559"/>
    <m/>
    <s v="November"/>
    <x v="3"/>
    <x v="0"/>
    <x v="2"/>
    <x v="0"/>
  </r>
  <r>
    <s v="SK-00226"/>
    <x v="71"/>
    <x v="207"/>
    <x v="7"/>
    <s v="Dallas"/>
    <x v="0"/>
    <n v="0.4513888888888889"/>
    <n v="0.45833333333333331"/>
    <n v="13"/>
    <x v="0"/>
    <x v="0"/>
    <n v="730"/>
    <n v="10"/>
    <s v="November"/>
    <x v="4"/>
    <x v="0"/>
    <x v="0"/>
    <x v="0"/>
  </r>
  <r>
    <s v="SK-00227"/>
    <x v="71"/>
    <x v="115"/>
    <x v="9"/>
    <s v="Atlanta"/>
    <x v="2"/>
    <n v="0.70833333333333337"/>
    <n v="0.71319444444444446"/>
    <n v="-2"/>
    <x v="0"/>
    <x v="0"/>
    <n v="1197"/>
    <n v="7"/>
    <s v="November"/>
    <x v="4"/>
    <x v="0"/>
    <x v="2"/>
    <x v="0"/>
  </r>
  <r>
    <s v="SK-00228"/>
    <x v="72"/>
    <x v="208"/>
    <x v="5"/>
    <s v="Denver"/>
    <x v="1"/>
    <n v="0.2361111111111111"/>
    <n v="0.23333333333333331"/>
    <n v="-4"/>
    <x v="0"/>
    <x v="0"/>
    <n v="886"/>
    <n v="-4"/>
    <s v="November"/>
    <x v="5"/>
    <x v="0"/>
    <x v="0"/>
    <x v="0"/>
  </r>
  <r>
    <s v="SK-00229"/>
    <x v="72"/>
    <x v="209"/>
    <x v="9"/>
    <s v="Boston"/>
    <x v="1"/>
    <n v="0.3263888888888889"/>
    <n v="0.32708333333333328"/>
    <n v="-1"/>
    <x v="0"/>
    <x v="0"/>
    <n v="1749"/>
    <n v="1"/>
    <s v="November"/>
    <x v="5"/>
    <x v="0"/>
    <x v="0"/>
    <x v="0"/>
  </r>
  <r>
    <s v="SK-00230"/>
    <x v="72"/>
    <x v="195"/>
    <x v="7"/>
    <s v="Los Angeles"/>
    <x v="1"/>
    <n v="0.3263888888888889"/>
    <n v="0.3215277777777778"/>
    <n v="-9"/>
    <x v="0"/>
    <x v="0"/>
    <n v="1942"/>
    <n v="-7"/>
    <s v="November"/>
    <x v="5"/>
    <x v="0"/>
    <x v="0"/>
    <x v="0"/>
  </r>
  <r>
    <s v="SK-00231"/>
    <x v="72"/>
    <x v="210"/>
    <x v="7"/>
    <s v="New York"/>
    <x v="3"/>
    <n v="0.33333333333333331"/>
    <n v="0.33958333333333329"/>
    <n v="1"/>
    <x v="0"/>
    <x v="0"/>
    <n v="759"/>
    <n v="9"/>
    <s v="November"/>
    <x v="5"/>
    <x v="0"/>
    <x v="0"/>
    <x v="0"/>
  </r>
  <r>
    <s v="SK-00232"/>
    <x v="72"/>
    <x v="211"/>
    <x v="9"/>
    <s v="Phoenix"/>
    <x v="0"/>
    <n v="0.36458333333333331"/>
    <n v="0.37083333333333329"/>
    <n v="12"/>
    <x v="0"/>
    <x v="0"/>
    <n v="602"/>
    <n v="9"/>
    <s v="November"/>
    <x v="5"/>
    <x v="0"/>
    <x v="0"/>
    <x v="0"/>
  </r>
  <r>
    <s v="SK-00233"/>
    <x v="72"/>
    <x v="212"/>
    <x v="4"/>
    <s v="Boston"/>
    <x v="3"/>
    <n v="0.59375"/>
    <n v="0.59583333333333333"/>
    <n v="-3"/>
    <x v="0"/>
    <x v="0"/>
    <n v="2489"/>
    <n v="3"/>
    <s v="November"/>
    <x v="5"/>
    <x v="0"/>
    <x v="1"/>
    <x v="0"/>
  </r>
  <r>
    <s v="SK-00234"/>
    <x v="72"/>
    <x v="213"/>
    <x v="9"/>
    <s v="New York"/>
    <x v="0"/>
    <n v="0.62152777777777779"/>
    <n v="0.62013888888888891"/>
    <m/>
    <x v="0"/>
    <x v="0"/>
    <n v="1622"/>
    <n v="-2"/>
    <s v="November"/>
    <x v="5"/>
    <x v="2"/>
    <x v="1"/>
    <x v="0"/>
  </r>
  <r>
    <s v="SK-00235"/>
    <x v="73"/>
    <x v="214"/>
    <x v="11"/>
    <s v="Atlanta"/>
    <x v="1"/>
    <n v="0.22916666666666671"/>
    <n v="0.23472222222222219"/>
    <n v="10"/>
    <x v="0"/>
    <x v="0"/>
    <n v="596"/>
    <n v="8"/>
    <s v="November"/>
    <x v="6"/>
    <x v="0"/>
    <x v="0"/>
    <x v="0"/>
  </r>
  <r>
    <s v="SK-00236"/>
    <x v="73"/>
    <x v="175"/>
    <x v="5"/>
    <s v="Atlanta"/>
    <x v="0"/>
    <n v="0.47569444444444442"/>
    <n v="0.47638888888888892"/>
    <n v="-9"/>
    <x v="0"/>
    <x v="0"/>
    <n v="606"/>
    <n v="1"/>
    <s v="November"/>
    <x v="6"/>
    <x v="0"/>
    <x v="0"/>
    <x v="0"/>
  </r>
  <r>
    <s v="SK-00237"/>
    <x v="73"/>
    <x v="125"/>
    <x v="9"/>
    <s v="San Francisco"/>
    <x v="1"/>
    <n v="0.50694444444444442"/>
    <n v="0.50555555555555554"/>
    <n v="-11"/>
    <x v="0"/>
    <x v="0"/>
    <n v="965"/>
    <n v="-2"/>
    <s v="November"/>
    <x v="6"/>
    <x v="0"/>
    <x v="1"/>
    <x v="0"/>
  </r>
  <r>
    <s v="SK-00238"/>
    <x v="73"/>
    <x v="70"/>
    <x v="7"/>
    <s v="New York"/>
    <x v="1"/>
    <n v="0.65625"/>
    <n v="0.66249999999999998"/>
    <n v="16"/>
    <x v="0"/>
    <x v="0"/>
    <n v="759"/>
    <n v="9"/>
    <s v="November"/>
    <x v="6"/>
    <x v="1"/>
    <x v="1"/>
    <x v="0"/>
  </r>
  <r>
    <s v="SK-00239"/>
    <x v="73"/>
    <x v="215"/>
    <x v="1"/>
    <s v="Chicago"/>
    <x v="3"/>
    <n v="0.71180555555555558"/>
    <n v="0.7368055555555556"/>
    <n v="34"/>
    <x v="1"/>
    <x v="0"/>
    <n v="738"/>
    <n v="36"/>
    <s v="November"/>
    <x v="6"/>
    <x v="1"/>
    <x v="2"/>
    <x v="1"/>
  </r>
  <r>
    <s v="SK-00240"/>
    <x v="73"/>
    <x v="216"/>
    <x v="3"/>
    <s v="Dallas"/>
    <x v="3"/>
    <n v="0.75694444444444442"/>
    <n v="0.79583333333333328"/>
    <n v="60"/>
    <x v="1"/>
    <x v="0"/>
    <n v="1053"/>
    <n v="56"/>
    <s v="November"/>
    <x v="6"/>
    <x v="1"/>
    <x v="2"/>
    <x v="1"/>
  </r>
  <r>
    <s v="SK-00241"/>
    <x v="74"/>
    <x v="217"/>
    <x v="5"/>
    <s v="Atlanta"/>
    <x v="3"/>
    <n v="0.41319444444444442"/>
    <n v="0.4152777777777778"/>
    <n v="11"/>
    <x v="0"/>
    <x v="0"/>
    <n v="606"/>
    <n v="3"/>
    <s v="November"/>
    <x v="0"/>
    <x v="0"/>
    <x v="0"/>
    <x v="0"/>
  </r>
  <r>
    <s v="SK-00242"/>
    <x v="74"/>
    <x v="8"/>
    <x v="2"/>
    <s v="Denver"/>
    <x v="3"/>
    <n v="0.51388888888888884"/>
    <n v="0.52013888888888893"/>
    <n v="0"/>
    <x v="0"/>
    <x v="0"/>
    <n v="641"/>
    <n v="9"/>
    <s v="November"/>
    <x v="0"/>
    <x v="0"/>
    <x v="1"/>
    <x v="0"/>
  </r>
  <r>
    <s v="SK-00243"/>
    <x v="74"/>
    <x v="218"/>
    <x v="11"/>
    <s v="Dallas"/>
    <x v="0"/>
    <n v="0.67708333333333337"/>
    <n v="0.67986111111111114"/>
    <n v="9"/>
    <x v="0"/>
    <x v="0"/>
    <n v="1120"/>
    <n v="4"/>
    <s v="November"/>
    <x v="0"/>
    <x v="0"/>
    <x v="1"/>
    <x v="0"/>
  </r>
  <r>
    <s v="SK-00244"/>
    <x v="74"/>
    <x v="219"/>
    <x v="11"/>
    <s v="Atlanta"/>
    <x v="1"/>
    <n v="0.73263888888888884"/>
    <n v="0.73541666666666672"/>
    <n v="-4"/>
    <x v="0"/>
    <x v="0"/>
    <n v="596"/>
    <n v="4"/>
    <s v="November"/>
    <x v="0"/>
    <x v="0"/>
    <x v="2"/>
    <x v="0"/>
  </r>
  <r>
    <s v="SK-00245"/>
    <x v="74"/>
    <x v="220"/>
    <x v="5"/>
    <s v="Dallas"/>
    <x v="0"/>
    <n v="0.80555555555555558"/>
    <n v="0.80763888888888891"/>
    <n v="5"/>
    <x v="0"/>
    <x v="0"/>
    <n v="802"/>
    <n v="3"/>
    <s v="November"/>
    <x v="0"/>
    <x v="0"/>
    <x v="2"/>
    <x v="0"/>
  </r>
  <r>
    <s v="SK-00246"/>
    <x v="75"/>
    <x v="221"/>
    <x v="7"/>
    <s v="Boston"/>
    <x v="1"/>
    <n v="0.3263888888888889"/>
    <n v="0.32708333333333328"/>
    <n v="4"/>
    <x v="0"/>
    <x v="0"/>
    <n v="945"/>
    <n v="1"/>
    <s v="November"/>
    <x v="1"/>
    <x v="0"/>
    <x v="0"/>
    <x v="0"/>
  </r>
  <r>
    <s v="SK-00247"/>
    <x v="75"/>
    <x v="222"/>
    <x v="2"/>
    <s v="Denver"/>
    <x v="0"/>
    <n v="0.69097222222222221"/>
    <n v="0.71875"/>
    <n v="32"/>
    <x v="2"/>
    <x v="0"/>
    <n v="641"/>
    <n v="40"/>
    <s v="November"/>
    <x v="1"/>
    <x v="1"/>
    <x v="1"/>
    <x v="1"/>
  </r>
  <r>
    <s v="SK-00248"/>
    <x v="75"/>
    <x v="2"/>
    <x v="9"/>
    <s v="New York"/>
    <x v="2"/>
    <n v="0.78125"/>
    <n v="0.77777777777777779"/>
    <n v="4"/>
    <x v="0"/>
    <x v="0"/>
    <n v="1622"/>
    <n v="-5"/>
    <s v="November"/>
    <x v="1"/>
    <x v="0"/>
    <x v="2"/>
    <x v="0"/>
  </r>
  <r>
    <s v="SK-00249"/>
    <x v="76"/>
    <x v="223"/>
    <x v="10"/>
    <s v="Denver"/>
    <x v="1"/>
    <n v="0.34375"/>
    <n v="0.34236111111111112"/>
    <n v="-13"/>
    <x v="0"/>
    <x v="0"/>
    <n v="602"/>
    <n v="-2"/>
    <s v="November"/>
    <x v="2"/>
    <x v="0"/>
    <x v="0"/>
    <x v="0"/>
  </r>
  <r>
    <s v="SK-00250"/>
    <x v="76"/>
    <x v="222"/>
    <x v="7"/>
    <s v="Miami"/>
    <x v="1"/>
    <n v="0.39583333333333331"/>
    <n v="0.42291666666666672"/>
    <n v="42"/>
    <x v="4"/>
    <x v="0"/>
    <n v="596"/>
    <n v="39"/>
    <s v="November"/>
    <x v="2"/>
    <x v="1"/>
    <x v="0"/>
    <x v="2"/>
  </r>
  <r>
    <s v="SK-00251"/>
    <x v="76"/>
    <x v="148"/>
    <x v="0"/>
    <s v="Dallas"/>
    <x v="2"/>
    <n v="0.4861111111111111"/>
    <n v="0.48472222222222222"/>
    <n v="-1"/>
    <x v="0"/>
    <x v="0"/>
    <n v="1232"/>
    <n v="-2"/>
    <s v="November"/>
    <x v="2"/>
    <x v="0"/>
    <x v="0"/>
    <x v="0"/>
  </r>
  <r>
    <s v="SK-00252"/>
    <x v="76"/>
    <x v="224"/>
    <x v="7"/>
    <s v="Boston"/>
    <x v="2"/>
    <n v="0.74652777777777779"/>
    <n v="0.75208333333333333"/>
    <n v="16"/>
    <x v="0"/>
    <x v="0"/>
    <n v="945"/>
    <n v="8"/>
    <s v="November"/>
    <x v="2"/>
    <x v="1"/>
    <x v="2"/>
    <x v="0"/>
  </r>
  <r>
    <s v="SK-00253"/>
    <x v="76"/>
    <x v="225"/>
    <x v="2"/>
    <s v="New York"/>
    <x v="1"/>
    <n v="0.78125"/>
    <n v="0.79236111111111107"/>
    <n v="11"/>
    <x v="3"/>
    <x v="0"/>
    <n v="1389"/>
    <n v="16"/>
    <s v="November"/>
    <x v="2"/>
    <x v="0"/>
    <x v="2"/>
    <x v="2"/>
  </r>
  <r>
    <s v="SK-00254"/>
    <x v="77"/>
    <x v="226"/>
    <x v="1"/>
    <s v="San Francisco"/>
    <x v="1"/>
    <n v="0.33333333333333331"/>
    <n v="0.36666666666666659"/>
    <n v="37"/>
    <x v="3"/>
    <x v="0"/>
    <n v="2580"/>
    <n v="48"/>
    <s v="November"/>
    <x v="3"/>
    <x v="1"/>
    <x v="0"/>
    <x v="2"/>
  </r>
  <r>
    <s v="SK-00255"/>
    <x v="77"/>
    <x v="123"/>
    <x v="4"/>
    <s v="Chicago"/>
    <x v="0"/>
    <n v="0.36805555555555558"/>
    <n v="0.39861111111111108"/>
    <n v="38"/>
    <x v="5"/>
    <x v="0"/>
    <n v="1717"/>
    <n v="44"/>
    <s v="November"/>
    <x v="3"/>
    <x v="1"/>
    <x v="0"/>
    <x v="2"/>
  </r>
  <r>
    <s v="SK-00256"/>
    <x v="77"/>
    <x v="17"/>
    <x v="8"/>
    <s v="Las Vegas"/>
    <x v="0"/>
    <n v="0.6875"/>
    <n v="0.68194444444444446"/>
    <n v="-18"/>
    <x v="0"/>
    <x v="0"/>
    <n v="2375"/>
    <n v="-8"/>
    <s v="November"/>
    <x v="3"/>
    <x v="0"/>
    <x v="1"/>
    <x v="0"/>
  </r>
  <r>
    <s v="SK-00257"/>
    <x v="77"/>
    <x v="227"/>
    <x v="2"/>
    <s v="Los Angeles"/>
    <x v="3"/>
    <n v="0.90277777777777779"/>
    <n v="0.90763888888888888"/>
    <n v="11"/>
    <x v="0"/>
    <x v="0"/>
    <n v="1232"/>
    <n v="7"/>
    <s v="November"/>
    <x v="3"/>
    <x v="0"/>
    <x v="3"/>
    <x v="0"/>
  </r>
  <r>
    <s v="SK-00258"/>
    <x v="78"/>
    <x v="11"/>
    <x v="1"/>
    <s v="Chicago"/>
    <x v="0"/>
    <n v="0.40972222222222221"/>
    <n v="0.40902777777777782"/>
    <n v="3"/>
    <x v="0"/>
    <x v="0"/>
    <n v="738"/>
    <n v="-1"/>
    <s v="November"/>
    <x v="4"/>
    <x v="0"/>
    <x v="0"/>
    <x v="0"/>
  </r>
  <r>
    <s v="SK-00259"/>
    <x v="78"/>
    <x v="113"/>
    <x v="7"/>
    <s v="Dallas"/>
    <x v="1"/>
    <n v="0.73263888888888884"/>
    <n v="0.73124999999999996"/>
    <n v="-5"/>
    <x v="0"/>
    <x v="0"/>
    <n v="730"/>
    <n v="-2"/>
    <s v="November"/>
    <x v="4"/>
    <x v="0"/>
    <x v="2"/>
    <x v="0"/>
  </r>
  <r>
    <s v="SK-00260"/>
    <x v="79"/>
    <x v="228"/>
    <x v="8"/>
    <s v="Denver"/>
    <x v="1"/>
    <n v="0.46875"/>
    <n v="0.47152777777777782"/>
    <n v="-1"/>
    <x v="0"/>
    <x v="0"/>
    <n v="1749"/>
    <n v="4"/>
    <s v="November"/>
    <x v="5"/>
    <x v="0"/>
    <x v="0"/>
    <x v="0"/>
  </r>
  <r>
    <s v="SK-00261"/>
    <x v="79"/>
    <x v="229"/>
    <x v="7"/>
    <s v="Chicago"/>
    <x v="1"/>
    <n v="0.72916666666666663"/>
    <n v="0.7270833333333333"/>
    <n v="-9"/>
    <x v="0"/>
    <x v="0"/>
    <n v="606"/>
    <n v="-3"/>
    <s v="November"/>
    <x v="5"/>
    <x v="0"/>
    <x v="2"/>
    <x v="0"/>
  </r>
  <r>
    <s v="SK-00262"/>
    <x v="80"/>
    <x v="230"/>
    <x v="3"/>
    <s v="New York"/>
    <x v="1"/>
    <n v="0.84375"/>
    <n v="0.84236111111111112"/>
    <n v="-7"/>
    <x v="0"/>
    <x v="0"/>
    <n v="2243"/>
    <n v="-2"/>
    <s v="November"/>
    <x v="6"/>
    <x v="0"/>
    <x v="2"/>
    <x v="0"/>
  </r>
  <r>
    <s v="SK-00263"/>
    <x v="81"/>
    <x v="231"/>
    <x v="9"/>
    <s v="Dallas"/>
    <x v="1"/>
    <n v="0.64236111111111116"/>
    <n v="0.64027777777777772"/>
    <n v="5"/>
    <x v="0"/>
    <x v="0"/>
    <n v="641"/>
    <n v="-3"/>
    <s v="November"/>
    <x v="0"/>
    <x v="0"/>
    <x v="1"/>
    <x v="0"/>
  </r>
  <r>
    <s v="SK-00264"/>
    <x v="81"/>
    <x v="211"/>
    <x v="5"/>
    <s v="Atlanta"/>
    <x v="1"/>
    <n v="0.70138888888888884"/>
    <n v="0.70763888888888893"/>
    <n v="12"/>
    <x v="0"/>
    <x v="0"/>
    <n v="606"/>
    <n v="9"/>
    <s v="November"/>
    <x v="0"/>
    <x v="0"/>
    <x v="1"/>
    <x v="0"/>
  </r>
  <r>
    <s v="SK-00265"/>
    <x v="82"/>
    <x v="232"/>
    <x v="11"/>
    <s v="Boston"/>
    <x v="0"/>
    <n v="0.25"/>
    <n v="0.25347222222222221"/>
    <n v="3"/>
    <x v="0"/>
    <x v="0"/>
    <n v="1260"/>
    <n v="5"/>
    <s v="November"/>
    <x v="1"/>
    <x v="0"/>
    <x v="0"/>
    <x v="0"/>
  </r>
  <r>
    <s v="SK-00266"/>
    <x v="82"/>
    <x v="59"/>
    <x v="7"/>
    <s v="Dallas"/>
    <x v="0"/>
    <n v="0.28819444444444442"/>
    <n v="0.29375000000000001"/>
    <n v="18"/>
    <x v="0"/>
    <x v="0"/>
    <n v="730"/>
    <n v="8"/>
    <s v="November"/>
    <x v="1"/>
    <x v="1"/>
    <x v="0"/>
    <x v="0"/>
  </r>
  <r>
    <s v="SK-00267"/>
    <x v="82"/>
    <x v="233"/>
    <x v="6"/>
    <s v="Chicago"/>
    <x v="0"/>
    <n v="0.37847222222222221"/>
    <n v="0.38263888888888892"/>
    <n v="9"/>
    <x v="0"/>
    <x v="0"/>
    <n v="1842"/>
    <n v="6"/>
    <s v="November"/>
    <x v="1"/>
    <x v="0"/>
    <x v="0"/>
    <x v="0"/>
  </r>
  <r>
    <s v="SK-00268"/>
    <x v="82"/>
    <x v="234"/>
    <x v="1"/>
    <s v="Seattle"/>
    <x v="2"/>
    <n v="0.4861111111111111"/>
    <n v="0.48819444444444438"/>
    <n v="-1"/>
    <x v="0"/>
    <x v="0"/>
    <n v="2415"/>
    <n v="3"/>
    <s v="November"/>
    <x v="1"/>
    <x v="0"/>
    <x v="0"/>
    <x v="0"/>
  </r>
  <r>
    <s v="SK-00269"/>
    <x v="83"/>
    <x v="134"/>
    <x v="7"/>
    <s v="Dallas"/>
    <x v="3"/>
    <n v="0.25347222222222221"/>
    <n v="0.2479166666666667"/>
    <n v="-13"/>
    <x v="0"/>
    <x v="0"/>
    <n v="730"/>
    <n v="-8"/>
    <s v="November"/>
    <x v="2"/>
    <x v="0"/>
    <x v="0"/>
    <x v="0"/>
  </r>
  <r>
    <s v="SK-00270"/>
    <x v="83"/>
    <x v="235"/>
    <x v="7"/>
    <s v="Los Angeles"/>
    <x v="3"/>
    <n v="0.54166666666666663"/>
    <n v="0.55902777777777779"/>
    <n v="23"/>
    <x v="1"/>
    <x v="0"/>
    <n v="1942"/>
    <n v="25"/>
    <s v="November"/>
    <x v="2"/>
    <x v="1"/>
    <x v="1"/>
    <x v="1"/>
  </r>
  <r>
    <s v="SK-00271"/>
    <x v="84"/>
    <x v="68"/>
    <x v="9"/>
    <s v="New York"/>
    <x v="2"/>
    <n v="0.54861111111111116"/>
    <n v="0.5541666666666667"/>
    <n v="15"/>
    <x v="0"/>
    <x v="0"/>
    <n v="1622"/>
    <n v="8"/>
    <s v="November"/>
    <x v="3"/>
    <x v="0"/>
    <x v="1"/>
    <x v="0"/>
  </r>
  <r>
    <s v="SK-00272"/>
    <x v="84"/>
    <x v="236"/>
    <x v="7"/>
    <s v="New York"/>
    <x v="0"/>
    <n v="0.5625"/>
    <n v="0.56944444444444442"/>
    <n v="19"/>
    <x v="0"/>
    <x v="0"/>
    <n v="759"/>
    <n v="10"/>
    <s v="November"/>
    <x v="3"/>
    <x v="1"/>
    <x v="1"/>
    <x v="0"/>
  </r>
  <r>
    <s v="SK-00273"/>
    <x v="85"/>
    <x v="237"/>
    <x v="1"/>
    <s v="Dallas"/>
    <x v="3"/>
    <n v="0.33333333333333331"/>
    <n v="0.33124999999999999"/>
    <n v="-12"/>
    <x v="0"/>
    <x v="0"/>
    <n v="1389"/>
    <n v="-3"/>
    <s v="November"/>
    <x v="4"/>
    <x v="0"/>
    <x v="0"/>
    <x v="0"/>
  </r>
  <r>
    <s v="SK-00274"/>
    <x v="85"/>
    <x v="238"/>
    <x v="2"/>
    <s v="Chicago"/>
    <x v="2"/>
    <n v="0.70833333333333337"/>
    <n v="0.71527777777777779"/>
    <n v="3"/>
    <x v="0"/>
    <x v="0"/>
    <n v="802"/>
    <n v="10"/>
    <s v="November"/>
    <x v="4"/>
    <x v="0"/>
    <x v="2"/>
    <x v="0"/>
  </r>
  <r>
    <s v="SK-00275"/>
    <x v="86"/>
    <x v="239"/>
    <x v="7"/>
    <s v="Boston"/>
    <x v="2"/>
    <n v="0.31944444444444442"/>
    <n v="0.31527777777777782"/>
    <n v="3"/>
    <x v="0"/>
    <x v="0"/>
    <n v="945"/>
    <n v="-6"/>
    <s v="November"/>
    <x v="5"/>
    <x v="0"/>
    <x v="0"/>
    <x v="0"/>
  </r>
  <r>
    <s v="SK-00276"/>
    <x v="86"/>
    <x v="240"/>
    <x v="11"/>
    <s v="Chicago"/>
    <x v="1"/>
    <n v="0.63194444444444442"/>
    <n v="0.62777777777777777"/>
    <n v="-10"/>
    <x v="0"/>
    <x v="0"/>
    <n v="1199"/>
    <n v="-6"/>
    <s v="November"/>
    <x v="5"/>
    <x v="0"/>
    <x v="1"/>
    <x v="0"/>
  </r>
  <r>
    <s v="SK-00277"/>
    <x v="87"/>
    <x v="241"/>
    <x v="6"/>
    <s v="Chicago"/>
    <x v="0"/>
    <n v="0.4861111111111111"/>
    <n v="0.48888888888888887"/>
    <n v="-6"/>
    <x v="0"/>
    <x v="0"/>
    <n v="1842"/>
    <n v="4"/>
    <s v="November"/>
    <x v="6"/>
    <x v="0"/>
    <x v="0"/>
    <x v="0"/>
  </r>
  <r>
    <s v="SK-00278"/>
    <x v="87"/>
    <x v="242"/>
    <x v="7"/>
    <s v="Los Angeles"/>
    <x v="1"/>
    <n v="0.61458333333333337"/>
    <n v="0.61111111111111116"/>
    <n v="4"/>
    <x v="0"/>
    <x v="0"/>
    <n v="1942"/>
    <n v="-5"/>
    <s v="November"/>
    <x v="6"/>
    <x v="0"/>
    <x v="1"/>
    <x v="0"/>
  </r>
  <r>
    <s v="SK-00279"/>
    <x v="87"/>
    <x v="243"/>
    <x v="2"/>
    <s v="Las Vegas"/>
    <x v="1"/>
    <n v="0.8125"/>
    <n v="0.81527777777777777"/>
    <n v="6"/>
    <x v="0"/>
    <x v="0"/>
    <n v="1053"/>
    <n v="4"/>
    <s v="November"/>
    <x v="6"/>
    <x v="0"/>
    <x v="2"/>
    <x v="0"/>
  </r>
  <r>
    <s v="SK-00280"/>
    <x v="88"/>
    <x v="209"/>
    <x v="7"/>
    <s v="Chicago"/>
    <x v="3"/>
    <n v="0.30555555555555558"/>
    <n v="0.31805555555555548"/>
    <n v="14"/>
    <x v="3"/>
    <x v="0"/>
    <n v="606"/>
    <n v="18"/>
    <s v="December"/>
    <x v="0"/>
    <x v="0"/>
    <x v="0"/>
    <x v="2"/>
  </r>
  <r>
    <s v="SK-00281"/>
    <x v="88"/>
    <x v="65"/>
    <x v="2"/>
    <s v="Atlanta"/>
    <x v="2"/>
    <n v="0.36805555555555558"/>
    <n v="0.38611111111111113"/>
    <n v="29"/>
    <x v="3"/>
    <x v="0"/>
    <n v="730"/>
    <n v="26"/>
    <s v="December"/>
    <x v="0"/>
    <x v="1"/>
    <x v="0"/>
    <x v="2"/>
  </r>
  <r>
    <s v="SK-00282"/>
    <x v="89"/>
    <x v="60"/>
    <x v="7"/>
    <s v="Los Angeles"/>
    <x v="1"/>
    <n v="0.34375"/>
    <n v="0.34722222222222221"/>
    <n v="11"/>
    <x v="0"/>
    <x v="0"/>
    <n v="1942"/>
    <n v="5"/>
    <s v="December"/>
    <x v="1"/>
    <x v="0"/>
    <x v="0"/>
    <x v="0"/>
  </r>
  <r>
    <s v="SK-00283"/>
    <x v="89"/>
    <x v="244"/>
    <x v="5"/>
    <s v="Atlanta"/>
    <x v="0"/>
    <n v="0.59375"/>
    <n v="0.59722222222222221"/>
    <n v="-6"/>
    <x v="0"/>
    <x v="0"/>
    <n v="606"/>
    <n v="5"/>
    <s v="December"/>
    <x v="1"/>
    <x v="0"/>
    <x v="1"/>
    <x v="0"/>
  </r>
  <r>
    <s v="SK-00284"/>
    <x v="89"/>
    <x v="245"/>
    <x v="6"/>
    <s v="Atlanta"/>
    <x v="1"/>
    <n v="0.66319444444444442"/>
    <n v="0.67083333333333328"/>
    <n v="12"/>
    <x v="0"/>
    <x v="0"/>
    <n v="2134"/>
    <n v="11"/>
    <s v="December"/>
    <x v="1"/>
    <x v="0"/>
    <x v="1"/>
    <x v="0"/>
  </r>
  <r>
    <s v="SK-00285"/>
    <x v="89"/>
    <x v="246"/>
    <x v="7"/>
    <s v="Las Vegas"/>
    <x v="0"/>
    <n v="0.77430555555555558"/>
    <n v="0.77083333333333337"/>
    <n v="-12"/>
    <x v="0"/>
    <x v="0"/>
    <n v="1743"/>
    <n v="-5"/>
    <s v="December"/>
    <x v="1"/>
    <x v="0"/>
    <x v="2"/>
    <x v="0"/>
  </r>
  <r>
    <s v="SK-00286"/>
    <x v="89"/>
    <x v="247"/>
    <x v="2"/>
    <s v="Chicago"/>
    <x v="1"/>
    <n v="0.875"/>
    <n v="0.9375"/>
    <n v="95"/>
    <x v="1"/>
    <x v="0"/>
    <n v="802"/>
    <n v="90"/>
    <s v="December"/>
    <x v="1"/>
    <x v="1"/>
    <x v="3"/>
    <x v="1"/>
  </r>
  <r>
    <s v="SK-00287"/>
    <x v="90"/>
    <x v="103"/>
    <x v="5"/>
    <s v="Miami"/>
    <x v="2"/>
    <n v="0.39930555555555558"/>
    <n v="0.39444444444444438"/>
    <n v="-2"/>
    <x v="0"/>
    <x v="0"/>
    <n v="1199"/>
    <n v="-7"/>
    <s v="December"/>
    <x v="2"/>
    <x v="0"/>
    <x v="0"/>
    <x v="0"/>
  </r>
  <r>
    <s v="SK-00288"/>
    <x v="90"/>
    <x v="248"/>
    <x v="7"/>
    <s v="Chicago"/>
    <x v="3"/>
    <n v="0.90277777777777779"/>
    <n v="0.89722222222222225"/>
    <n v="1"/>
    <x v="0"/>
    <x v="0"/>
    <n v="606"/>
    <n v="-8"/>
    <s v="December"/>
    <x v="2"/>
    <x v="0"/>
    <x v="3"/>
    <x v="0"/>
  </r>
  <r>
    <s v="SK-00289"/>
    <x v="91"/>
    <x v="249"/>
    <x v="9"/>
    <s v="Dallas"/>
    <x v="2"/>
    <n v="0.85416666666666663"/>
    <m/>
    <n v="-5"/>
    <x v="0"/>
    <x v="0"/>
    <n v="641"/>
    <n v="4"/>
    <s v="December"/>
    <x v="3"/>
    <x v="0"/>
    <x v="2"/>
    <x v="0"/>
  </r>
  <r>
    <s v="SK-00290"/>
    <x v="92"/>
    <x v="250"/>
    <x v="4"/>
    <s v="Los Angeles"/>
    <x v="0"/>
    <n v="0.25347222222222221"/>
    <n v="0.31666666666666671"/>
    <n v="82"/>
    <x v="3"/>
    <x v="0"/>
    <n v="955"/>
    <n v="91"/>
    <s v="December"/>
    <x v="4"/>
    <x v="1"/>
    <x v="0"/>
    <x v="2"/>
  </r>
  <r>
    <s v="SK-00291"/>
    <x v="92"/>
    <x v="251"/>
    <x v="2"/>
    <s v="Boston"/>
    <x v="0"/>
    <n v="0.58680555555555558"/>
    <n v="0.5854166666666667"/>
    <n v="3"/>
    <x v="0"/>
    <x v="0"/>
    <n v="1559"/>
    <n v="-2"/>
    <s v="December"/>
    <x v="4"/>
    <x v="0"/>
    <x v="1"/>
    <x v="0"/>
  </r>
  <r>
    <s v="SK-00292"/>
    <x v="92"/>
    <x v="252"/>
    <x v="11"/>
    <s v="Chicago"/>
    <x v="0"/>
    <n v="0.74652777777777779"/>
    <n v="0.80208333333333337"/>
    <n v="78"/>
    <x v="3"/>
    <x v="0"/>
    <n v="1199"/>
    <n v="80"/>
    <s v="December"/>
    <x v="4"/>
    <x v="1"/>
    <x v="2"/>
    <x v="2"/>
  </r>
  <r>
    <s v="SK-00293"/>
    <x v="93"/>
    <x v="253"/>
    <x v="5"/>
    <s v="Dallas"/>
    <x v="0"/>
    <n v="0.51736111111111116"/>
    <n v="0.51527777777777772"/>
    <n v="-2"/>
    <x v="0"/>
    <x v="0"/>
    <n v="802"/>
    <n v="-3"/>
    <s v="December"/>
    <x v="5"/>
    <x v="0"/>
    <x v="1"/>
    <x v="0"/>
  </r>
  <r>
    <s v="SK-00294"/>
    <x v="94"/>
    <x v="143"/>
    <x v="2"/>
    <s v="Chicago"/>
    <x v="1"/>
    <n v="0.2673611111111111"/>
    <n v="0.27291666666666659"/>
    <n v="-3"/>
    <x v="0"/>
    <x v="0"/>
    <n v="802"/>
    <n v="8"/>
    <s v="December"/>
    <x v="6"/>
    <x v="0"/>
    <x v="0"/>
    <x v="0"/>
  </r>
  <r>
    <s v="SK-00295"/>
    <x v="94"/>
    <x v="254"/>
    <x v="7"/>
    <s v="San Francisco"/>
    <x v="3"/>
    <n v="0.60069444444444442"/>
    <n v="0.65416666666666667"/>
    <n v="75"/>
    <x v="2"/>
    <x v="0"/>
    <n v="2134"/>
    <n v="77"/>
    <s v="December"/>
    <x v="6"/>
    <x v="1"/>
    <x v="1"/>
    <x v="1"/>
  </r>
  <r>
    <s v="SK-00296"/>
    <x v="95"/>
    <x v="255"/>
    <x v="9"/>
    <s v="Dallas"/>
    <x v="0"/>
    <n v="0.40972222222222221"/>
    <n v="0.4152777777777778"/>
    <n v="-2"/>
    <x v="0"/>
    <x v="0"/>
    <n v="641"/>
    <n v="8"/>
    <s v="December"/>
    <x v="0"/>
    <x v="0"/>
    <x v="0"/>
    <x v="0"/>
  </r>
  <r>
    <s v="SK-00297"/>
    <x v="95"/>
    <x v="256"/>
    <x v="0"/>
    <s v="Seattle"/>
    <x v="3"/>
    <n v="0.50694444444444442"/>
    <n v="0.5131944444444444"/>
    <n v="14"/>
    <x v="0"/>
    <x v="0"/>
    <n v="955"/>
    <n v="9"/>
    <s v="December"/>
    <x v="0"/>
    <x v="0"/>
    <x v="1"/>
    <x v="0"/>
  </r>
  <r>
    <s v="SK-00298"/>
    <x v="95"/>
    <x v="194"/>
    <x v="6"/>
    <s v="Las Vegas"/>
    <x v="0"/>
    <n v="0.51041666666666663"/>
    <n v="0.51180555555555551"/>
    <n v="3"/>
    <x v="0"/>
    <x v="0"/>
    <n v="414"/>
    <n v="2"/>
    <s v="December"/>
    <x v="0"/>
    <x v="0"/>
    <x v="1"/>
    <x v="0"/>
  </r>
  <r>
    <s v="SK-00299"/>
    <x v="95"/>
    <x v="183"/>
    <x v="7"/>
    <s v="Denver"/>
    <x v="0"/>
    <n v="0.61805555555555558"/>
    <n v="0.62291666666666667"/>
    <n v="12"/>
    <x v="0"/>
    <x v="0"/>
    <n v="1197"/>
    <n v="7"/>
    <s v="December"/>
    <x v="0"/>
    <x v="0"/>
    <x v="1"/>
    <x v="0"/>
  </r>
  <r>
    <s v="SK-00300"/>
    <x v="95"/>
    <x v="231"/>
    <x v="2"/>
    <s v="San Francisco"/>
    <x v="3"/>
    <n v="0.73958333333333337"/>
    <n v="0.7416666666666667"/>
    <n v="7"/>
    <x v="0"/>
    <x v="0"/>
    <n v="1462"/>
    <n v="3"/>
    <s v="December"/>
    <x v="0"/>
    <x v="0"/>
    <x v="2"/>
    <x v="0"/>
  </r>
  <r>
    <s v="SK-00301"/>
    <x v="95"/>
    <x v="257"/>
    <x v="0"/>
    <s v="Atlanta"/>
    <x v="2"/>
    <n v="0.94097222222222221"/>
    <n v="0.94930555555555551"/>
    <n v="16"/>
    <x v="0"/>
    <x v="0"/>
    <n v="1942"/>
    <n v="12"/>
    <s v="December"/>
    <x v="0"/>
    <x v="1"/>
    <x v="3"/>
    <x v="0"/>
  </r>
  <r>
    <s v="SK-00302"/>
    <x v="96"/>
    <x v="258"/>
    <x v="6"/>
    <s v="Phoenix"/>
    <x v="1"/>
    <n v="0.37152777777777779"/>
    <n v="0.37847222222222221"/>
    <n v="10"/>
    <x v="0"/>
    <x v="0"/>
    <n v="651"/>
    <n v="10"/>
    <s v="December"/>
    <x v="1"/>
    <x v="0"/>
    <x v="0"/>
    <x v="0"/>
  </r>
  <r>
    <s v="SK-00303"/>
    <x v="96"/>
    <x v="259"/>
    <x v="5"/>
    <s v="Denver"/>
    <x v="0"/>
    <n v="0.625"/>
    <n v="0.67152777777777772"/>
    <n v="60"/>
    <x v="1"/>
    <x v="0"/>
    <n v="886"/>
    <n v="67"/>
    <s v="December"/>
    <x v="1"/>
    <x v="1"/>
    <x v="1"/>
    <x v="1"/>
  </r>
  <r>
    <s v="SK-00304"/>
    <x v="96"/>
    <x v="260"/>
    <x v="11"/>
    <s v="Seattle"/>
    <x v="2"/>
    <n v="0.68055555555555558"/>
    <n v="0.67777777777777781"/>
    <n v="-13"/>
    <x v="0"/>
    <x v="0"/>
    <n v="2722"/>
    <n v="-4"/>
    <s v="December"/>
    <x v="1"/>
    <x v="0"/>
    <x v="1"/>
    <x v="0"/>
  </r>
  <r>
    <s v="SK-00305"/>
    <x v="97"/>
    <x v="187"/>
    <x v="0"/>
    <s v="Chicago"/>
    <x v="1"/>
    <n v="0.34722222222222221"/>
    <n v="0.35208333333333341"/>
    <n v="16"/>
    <x v="0"/>
    <x v="0"/>
    <n v="1742"/>
    <n v="7"/>
    <s v="December"/>
    <x v="2"/>
    <x v="1"/>
    <x v="0"/>
    <x v="0"/>
  </r>
  <r>
    <s v="SK-00306"/>
    <x v="97"/>
    <x v="194"/>
    <x v="2"/>
    <s v="Atlanta"/>
    <x v="0"/>
    <n v="0.92361111111111116"/>
    <n v="0.92986111111111114"/>
    <n v="18"/>
    <x v="0"/>
    <x v="0"/>
    <n v="730"/>
    <n v="9"/>
    <s v="December"/>
    <x v="2"/>
    <x v="1"/>
    <x v="3"/>
    <x v="0"/>
  </r>
  <r>
    <s v="SK-00307"/>
    <x v="98"/>
    <x v="261"/>
    <x v="0"/>
    <s v="San Francisco"/>
    <x v="0"/>
    <n v="0.2638888888888889"/>
    <n v="0.37777777777777782"/>
    <n v="149"/>
    <x v="4"/>
    <x v="0"/>
    <n v="338"/>
    <n v="164"/>
    <s v="December"/>
    <x v="3"/>
    <x v="1"/>
    <x v="0"/>
    <x v="2"/>
  </r>
  <r>
    <s v="SK-00308"/>
    <x v="99"/>
    <x v="248"/>
    <x v="3"/>
    <s v="Dallas"/>
    <x v="0"/>
    <n v="0.44097222222222221"/>
    <n v="0.45833333333333331"/>
    <n v="26"/>
    <x v="1"/>
    <x v="0"/>
    <n v="1053"/>
    <n v="25"/>
    <s v="December"/>
    <x v="4"/>
    <x v="1"/>
    <x v="0"/>
    <x v="1"/>
  </r>
  <r>
    <s v="SK-00309"/>
    <x v="99"/>
    <x v="258"/>
    <x v="5"/>
    <s v="Miami"/>
    <x v="0"/>
    <n v="0.47569444444444442"/>
    <n v="0.47083333333333333"/>
    <n v="-11"/>
    <x v="0"/>
    <x v="0"/>
    <n v="1199"/>
    <n v="-7"/>
    <s v="December"/>
    <x v="4"/>
    <x v="0"/>
    <x v="0"/>
    <x v="0"/>
  </r>
  <r>
    <s v="SK-00310"/>
    <x v="99"/>
    <x v="262"/>
    <x v="11"/>
    <s v="Los Angeles"/>
    <x v="1"/>
    <n v="0.78125"/>
    <n v="0.80625000000000002"/>
    <n v="33"/>
    <x v="2"/>
    <x v="0"/>
    <n v="2338"/>
    <n v="36"/>
    <s v="December"/>
    <x v="4"/>
    <x v="1"/>
    <x v="2"/>
    <x v="1"/>
  </r>
  <r>
    <s v="SK-00311"/>
    <x v="100"/>
    <x v="263"/>
    <x v="5"/>
    <s v="Atlanta"/>
    <x v="3"/>
    <n v="0.2673611111111111"/>
    <n v="0.26944444444444438"/>
    <n v="7"/>
    <x v="0"/>
    <x v="0"/>
    <n v="606"/>
    <n v="3"/>
    <s v="December"/>
    <x v="5"/>
    <x v="0"/>
    <x v="0"/>
    <x v="0"/>
  </r>
  <r>
    <s v="SK-00312"/>
    <x v="100"/>
    <x v="264"/>
    <x v="1"/>
    <s v="Atlanta"/>
    <x v="0"/>
    <n v="0.31944444444444442"/>
    <n v="0.32361111111111113"/>
    <n v="4"/>
    <x v="0"/>
    <x v="0"/>
    <n v="759"/>
    <n v="6"/>
    <s v="December"/>
    <x v="5"/>
    <x v="0"/>
    <x v="0"/>
    <x v="0"/>
  </r>
  <r>
    <s v="SK-00313"/>
    <x v="100"/>
    <x v="265"/>
    <x v="7"/>
    <s v="Boston"/>
    <x v="1"/>
    <n v="0.33333333333333331"/>
    <n v="0.34444444444444439"/>
    <n v="15"/>
    <x v="3"/>
    <x v="0"/>
    <n v="945"/>
    <n v="16"/>
    <s v="December"/>
    <x v="5"/>
    <x v="0"/>
    <x v="0"/>
    <x v="2"/>
  </r>
  <r>
    <s v="SK-00314"/>
    <x v="100"/>
    <x v="266"/>
    <x v="1"/>
    <s v="Dallas"/>
    <x v="0"/>
    <n v="0.69791666666666663"/>
    <n v="0.69513888888888886"/>
    <n v="-14"/>
    <x v="0"/>
    <x v="0"/>
    <n v="1389"/>
    <n v="-4"/>
    <s v="December"/>
    <x v="5"/>
    <x v="0"/>
    <x v="1"/>
    <x v="0"/>
  </r>
  <r>
    <s v="SK-00315"/>
    <x v="101"/>
    <x v="267"/>
    <x v="10"/>
    <s v="Denver"/>
    <x v="0"/>
    <n v="0.25347222222222221"/>
    <n v="0.25624999999999998"/>
    <n v="0"/>
    <x v="0"/>
    <x v="0"/>
    <n v="602"/>
    <n v="4"/>
    <s v="December"/>
    <x v="0"/>
    <x v="0"/>
    <x v="0"/>
    <x v="0"/>
  </r>
  <r>
    <s v="SK-00316"/>
    <x v="101"/>
    <x v="245"/>
    <x v="5"/>
    <s v="Miami"/>
    <x v="1"/>
    <n v="0.70833333333333337"/>
    <n v="0.75416666666666665"/>
    <n v="64"/>
    <x v="1"/>
    <x v="0"/>
    <n v="1199"/>
    <n v="66"/>
    <s v="December"/>
    <x v="0"/>
    <x v="1"/>
    <x v="2"/>
    <x v="1"/>
  </r>
  <r>
    <s v="SK-00317"/>
    <x v="102"/>
    <x v="268"/>
    <x v="2"/>
    <s v="Los Angeles"/>
    <x v="3"/>
    <n v="0.35416666666666669"/>
    <n v="0.35902777777777778"/>
    <n v="3"/>
    <x v="0"/>
    <x v="0"/>
    <n v="1232"/>
    <n v="7"/>
    <s v="December"/>
    <x v="2"/>
    <x v="0"/>
    <x v="0"/>
    <x v="0"/>
  </r>
  <r>
    <s v="SK-00318"/>
    <x v="102"/>
    <x v="269"/>
    <x v="7"/>
    <s v="Boston"/>
    <x v="0"/>
    <n v="0.48958333333333331"/>
    <n v="0.4861111111111111"/>
    <n v="-9"/>
    <x v="0"/>
    <x v="0"/>
    <n v="945"/>
    <n v="-5"/>
    <s v="December"/>
    <x v="2"/>
    <x v="0"/>
    <x v="0"/>
    <x v="0"/>
  </r>
  <r>
    <s v="SK-00319"/>
    <x v="102"/>
    <x v="270"/>
    <x v="2"/>
    <s v="Denver"/>
    <x v="2"/>
    <n v="0.61111111111111116"/>
    <n v="0.61736111111111114"/>
    <n v="9"/>
    <x v="0"/>
    <x v="0"/>
    <n v="641"/>
    <n v="9"/>
    <s v="December"/>
    <x v="2"/>
    <x v="0"/>
    <x v="1"/>
    <x v="0"/>
  </r>
  <r>
    <s v="SK-00320"/>
    <x v="103"/>
    <x v="138"/>
    <x v="2"/>
    <s v="Seattle"/>
    <x v="1"/>
    <n v="0.35069444444444442"/>
    <m/>
    <n v="0"/>
    <x v="0"/>
    <x v="0"/>
    <n v="1658"/>
    <n v="0"/>
    <s v="December"/>
    <x v="3"/>
    <x v="0"/>
    <x v="0"/>
    <x v="0"/>
  </r>
  <r>
    <s v="SK-00321"/>
    <x v="103"/>
    <x v="262"/>
    <x v="11"/>
    <s v="New York"/>
    <x v="0"/>
    <n v="0.48958333333333331"/>
    <n v="0.49027777777777781"/>
    <n v="-8"/>
    <x v="0"/>
    <x v="0"/>
    <n v="1092"/>
    <n v="1"/>
    <s v="December"/>
    <x v="3"/>
    <x v="0"/>
    <x v="0"/>
    <x v="0"/>
  </r>
  <r>
    <s v="SK-00322"/>
    <x v="103"/>
    <x v="237"/>
    <x v="10"/>
    <s v="Chicago"/>
    <x v="0"/>
    <n v="0.59027777777777779"/>
    <n v="0.58888888888888891"/>
    <n v="-3"/>
    <x v="0"/>
    <x v="0"/>
    <n v="1438"/>
    <n v="-2"/>
    <s v="December"/>
    <x v="3"/>
    <x v="0"/>
    <x v="1"/>
    <x v="0"/>
  </r>
  <r>
    <s v="SK-00323"/>
    <x v="103"/>
    <x v="271"/>
    <x v="2"/>
    <s v="Atlanta"/>
    <x v="3"/>
    <n v="0.72222222222222221"/>
    <n v="0.72777777777777775"/>
    <n v="7"/>
    <x v="0"/>
    <x v="0"/>
    <n v="730"/>
    <n v="8"/>
    <s v="December"/>
    <x v="3"/>
    <x v="0"/>
    <x v="2"/>
    <x v="0"/>
  </r>
  <r>
    <s v="SK-00324"/>
    <x v="103"/>
    <x v="272"/>
    <x v="8"/>
    <s v="Seattle"/>
    <x v="1"/>
    <n v="0.80208333333333337"/>
    <n v="0.80208333333333337"/>
    <n v="10"/>
    <x v="0"/>
    <x v="0"/>
    <n v="2489"/>
    <n v="0"/>
    <s v="December"/>
    <x v="3"/>
    <x v="0"/>
    <x v="2"/>
    <x v="0"/>
  </r>
  <r>
    <s v="SK-00325"/>
    <x v="104"/>
    <x v="273"/>
    <x v="9"/>
    <s v="New York"/>
    <x v="1"/>
    <n v="0.53472222222222221"/>
    <n v="0.53472222222222221"/>
    <n v="3"/>
    <x v="0"/>
    <x v="0"/>
    <n v="1622"/>
    <n v="0"/>
    <s v="December"/>
    <x v="4"/>
    <x v="0"/>
    <x v="1"/>
    <x v="0"/>
  </r>
  <r>
    <s v="SK-00326"/>
    <x v="104"/>
    <x v="274"/>
    <x v="7"/>
    <s v="Miami"/>
    <x v="3"/>
    <n v="0.61805555555555558"/>
    <n v="0.61875000000000002"/>
    <n v="-2"/>
    <x v="0"/>
    <x v="0"/>
    <n v="596"/>
    <n v="1"/>
    <s v="December"/>
    <x v="4"/>
    <x v="0"/>
    <x v="1"/>
    <x v="0"/>
  </r>
  <r>
    <s v="SK-00327"/>
    <x v="104"/>
    <x v="275"/>
    <x v="9"/>
    <s v="Chicago"/>
    <x v="1"/>
    <n v="0.75"/>
    <n v="0.74513888888888891"/>
    <n v="-14"/>
    <x v="0"/>
    <x v="0"/>
    <n v="886"/>
    <n v="-7"/>
    <s v="December"/>
    <x v="4"/>
    <x v="0"/>
    <x v="2"/>
    <x v="0"/>
  </r>
  <r>
    <s v="SK-00328"/>
    <x v="104"/>
    <x v="73"/>
    <x v="2"/>
    <s v="Denver"/>
    <x v="0"/>
    <n v="0.83333333333333337"/>
    <n v="0.83888888888888891"/>
    <n v="10"/>
    <x v="0"/>
    <x v="0"/>
    <m/>
    <n v="8"/>
    <s v="December"/>
    <x v="4"/>
    <x v="0"/>
    <x v="2"/>
    <x v="0"/>
  </r>
  <r>
    <s v="SK-00329"/>
    <x v="105"/>
    <x v="276"/>
    <x v="11"/>
    <s v="New York"/>
    <x v="0"/>
    <n v="0.63541666666666663"/>
    <n v="0.63263888888888886"/>
    <n v="6"/>
    <x v="0"/>
    <x v="0"/>
    <n v="1092"/>
    <n v="-4"/>
    <s v="December"/>
    <x v="5"/>
    <x v="0"/>
    <x v="1"/>
    <x v="0"/>
  </r>
  <r>
    <s v="SK-00330"/>
    <x v="105"/>
    <x v="277"/>
    <x v="5"/>
    <s v="Phoenix"/>
    <x v="1"/>
    <n v="0.63541666666666663"/>
    <n v="0.64236111111111116"/>
    <n v="-1"/>
    <x v="0"/>
    <x v="0"/>
    <n v="1438"/>
    <n v="10"/>
    <s v="December"/>
    <x v="5"/>
    <x v="0"/>
    <x v="1"/>
    <x v="0"/>
  </r>
  <r>
    <s v="SK-00331"/>
    <x v="106"/>
    <x v="151"/>
    <x v="10"/>
    <s v="Miami"/>
    <x v="1"/>
    <n v="0.52083333333333337"/>
    <n v="0.54305555555555551"/>
    <n v="21"/>
    <x v="1"/>
    <x v="0"/>
    <n v="1969"/>
    <n v="32"/>
    <s v="December"/>
    <x v="6"/>
    <x v="1"/>
    <x v="1"/>
    <x v="1"/>
  </r>
  <r>
    <s v="SK-00332"/>
    <x v="106"/>
    <x v="261"/>
    <x v="5"/>
    <s v="Miami"/>
    <x v="1"/>
    <n v="0.76736111111111116"/>
    <n v="0.77222222222222225"/>
    <m/>
    <x v="0"/>
    <x v="0"/>
    <n v="1199"/>
    <n v="7"/>
    <s v="December"/>
    <x v="6"/>
    <x v="2"/>
    <x v="2"/>
    <x v="0"/>
  </r>
  <r>
    <s v="SK-00333"/>
    <x v="106"/>
    <x v="170"/>
    <x v="5"/>
    <s v="Denver"/>
    <x v="3"/>
    <n v="0.77083333333333337"/>
    <n v="0.76944444444444449"/>
    <n v="-1"/>
    <x v="0"/>
    <x v="0"/>
    <n v="886"/>
    <n v="-2"/>
    <s v="December"/>
    <x v="6"/>
    <x v="0"/>
    <x v="2"/>
    <x v="0"/>
  </r>
  <r>
    <s v="SK-00334"/>
    <x v="107"/>
    <x v="278"/>
    <x v="1"/>
    <s v="Atlanta"/>
    <x v="1"/>
    <n v="0.5625"/>
    <n v="0.57499999999999996"/>
    <n v="10"/>
    <x v="4"/>
    <x v="0"/>
    <n v="759"/>
    <n v="18"/>
    <s v="December"/>
    <x v="0"/>
    <x v="0"/>
    <x v="1"/>
    <x v="2"/>
  </r>
  <r>
    <s v="SK-00335"/>
    <x v="107"/>
    <x v="279"/>
    <x v="4"/>
    <s v="Dallas"/>
    <x v="0"/>
    <n v="0.61805555555555558"/>
    <n v="0.65902777777777777"/>
    <n v="49"/>
    <x v="3"/>
    <x v="0"/>
    <n v="1658"/>
    <n v="59"/>
    <s v="December"/>
    <x v="0"/>
    <x v="1"/>
    <x v="1"/>
    <x v="2"/>
  </r>
  <r>
    <s v="SK-00336"/>
    <x v="107"/>
    <x v="280"/>
    <x v="5"/>
    <s v="Denver"/>
    <x v="1"/>
    <n v="0.68402777777777779"/>
    <n v="0.68333333333333335"/>
    <n v="-11"/>
    <x v="0"/>
    <x v="0"/>
    <n v="886"/>
    <n v="-1"/>
    <s v="December"/>
    <x v="0"/>
    <x v="0"/>
    <x v="1"/>
    <x v="0"/>
  </r>
  <r>
    <s v="SK-00337"/>
    <x v="107"/>
    <x v="281"/>
    <x v="7"/>
    <s v="Dallas"/>
    <x v="0"/>
    <n v="0.69444444444444442"/>
    <n v="0.68888888888888888"/>
    <n v="-4"/>
    <x v="0"/>
    <x v="0"/>
    <n v="730"/>
    <n v="-8"/>
    <s v="December"/>
    <x v="0"/>
    <x v="0"/>
    <x v="1"/>
    <x v="0"/>
  </r>
  <r>
    <s v="SK-00338"/>
    <x v="108"/>
    <x v="231"/>
    <x v="7"/>
    <s v="Los Angeles"/>
    <x v="0"/>
    <n v="0.27777777777777779"/>
    <n v="0.28402777777777782"/>
    <n v="4"/>
    <x v="0"/>
    <x v="0"/>
    <n v="1942"/>
    <n v="9"/>
    <s v="December"/>
    <x v="1"/>
    <x v="0"/>
    <x v="0"/>
    <x v="0"/>
  </r>
  <r>
    <s v="SK-00339"/>
    <x v="108"/>
    <x v="198"/>
    <x v="5"/>
    <s v="New York"/>
    <x v="1"/>
    <n v="0.44444444444444442"/>
    <n v="0.47222222222222221"/>
    <n v="29"/>
    <x v="2"/>
    <x v="0"/>
    <n v="738"/>
    <n v="40"/>
    <s v="December"/>
    <x v="1"/>
    <x v="1"/>
    <x v="0"/>
    <x v="1"/>
  </r>
  <r>
    <s v="SK-00340"/>
    <x v="108"/>
    <x v="282"/>
    <x v="9"/>
    <s v="Boston"/>
    <x v="1"/>
    <n v="0.79861111111111116"/>
    <n v="0.82152777777777775"/>
    <n v="19"/>
    <x v="5"/>
    <x v="0"/>
    <n v="1749"/>
    <n v="33"/>
    <s v="December"/>
    <x v="1"/>
    <x v="1"/>
    <x v="2"/>
    <x v="2"/>
  </r>
  <r>
    <s v="SK-00341"/>
    <x v="109"/>
    <x v="283"/>
    <x v="4"/>
    <s v="Miami"/>
    <x v="0"/>
    <n v="0.75"/>
    <n v="0.75138888888888888"/>
    <n v="1"/>
    <x v="0"/>
    <x v="0"/>
    <n v="2722"/>
    <n v="2"/>
    <s v="December"/>
    <x v="2"/>
    <x v="0"/>
    <x v="2"/>
    <x v="0"/>
  </r>
  <r>
    <s v="SK-00342"/>
    <x v="110"/>
    <x v="284"/>
    <x v="2"/>
    <s v="Chicago"/>
    <x v="0"/>
    <n v="0.76388888888888884"/>
    <n v="0.75902777777777775"/>
    <m/>
    <x v="0"/>
    <x v="0"/>
    <n v="802"/>
    <n v="-7"/>
    <s v="December"/>
    <x v="3"/>
    <x v="2"/>
    <x v="2"/>
    <x v="0"/>
  </r>
  <r>
    <s v="SK-00343"/>
    <x v="110"/>
    <x v="285"/>
    <x v="4"/>
    <s v="Miami"/>
    <x v="3"/>
    <n v="0.79513888888888884"/>
    <n v="0.7993055555555556"/>
    <n v="-4"/>
    <x v="0"/>
    <x v="0"/>
    <n v="2722"/>
    <n v="6"/>
    <s v="December"/>
    <x v="3"/>
    <x v="0"/>
    <x v="2"/>
    <x v="0"/>
  </r>
  <r>
    <s v="SK-00344"/>
    <x v="111"/>
    <x v="188"/>
    <x v="5"/>
    <s v="San Francisco"/>
    <x v="2"/>
    <n v="0.25"/>
    <n v="0.25555555555555548"/>
    <n v="6"/>
    <x v="0"/>
    <x v="0"/>
    <n v="1842"/>
    <n v="8"/>
    <s v="December"/>
    <x v="4"/>
    <x v="0"/>
    <x v="0"/>
    <x v="0"/>
  </r>
  <r>
    <s v="SK-00345"/>
    <x v="111"/>
    <x v="286"/>
    <x v="2"/>
    <s v="Miami"/>
    <x v="0"/>
    <n v="0.50347222222222221"/>
    <n v="0.50069444444444444"/>
    <n v="0"/>
    <x v="0"/>
    <x v="0"/>
    <n v="1120"/>
    <n v="-4"/>
    <s v="December"/>
    <x v="4"/>
    <x v="0"/>
    <x v="1"/>
    <x v="0"/>
  </r>
  <r>
    <s v="SK-00346"/>
    <x v="111"/>
    <x v="165"/>
    <x v="0"/>
    <s v="Boston"/>
    <x v="0"/>
    <n v="0.55555555555555558"/>
    <n v="0.5625"/>
    <n v="4"/>
    <x v="0"/>
    <x v="0"/>
    <n v="2606"/>
    <n v="10"/>
    <s v="December"/>
    <x v="4"/>
    <x v="0"/>
    <x v="1"/>
    <x v="0"/>
  </r>
  <r>
    <s v="SK-00347"/>
    <x v="111"/>
    <x v="287"/>
    <x v="0"/>
    <s v="Dallas"/>
    <x v="0"/>
    <n v="0.60069444444444442"/>
    <m/>
    <n v="-2"/>
    <x v="0"/>
    <x v="0"/>
    <n v="1232"/>
    <n v="5"/>
    <s v="December"/>
    <x v="4"/>
    <x v="0"/>
    <x v="1"/>
    <x v="0"/>
  </r>
  <r>
    <s v="SK-00348"/>
    <x v="112"/>
    <x v="159"/>
    <x v="0"/>
    <s v="Atlanta"/>
    <x v="1"/>
    <n v="0.60416666666666663"/>
    <n v="0.60277777777777775"/>
    <n v="2"/>
    <x v="0"/>
    <x v="0"/>
    <n v="1942"/>
    <n v="-2"/>
    <s v="December"/>
    <x v="5"/>
    <x v="0"/>
    <x v="1"/>
    <x v="0"/>
  </r>
  <r>
    <s v="SK-00349"/>
    <x v="113"/>
    <x v="53"/>
    <x v="7"/>
    <s v="Dallas"/>
    <x v="1"/>
    <n v="0.44097222222222221"/>
    <n v="0.44444444444444442"/>
    <n v="15"/>
    <x v="0"/>
    <x v="0"/>
    <n v="730"/>
    <n v="5"/>
    <s v="December"/>
    <x v="6"/>
    <x v="0"/>
    <x v="0"/>
    <x v="0"/>
  </r>
  <r>
    <s v="SK-00350"/>
    <x v="114"/>
    <x v="92"/>
    <x v="11"/>
    <s v="Seattle"/>
    <x v="2"/>
    <n v="0.3888888888888889"/>
    <n v="0.38333333333333341"/>
    <n v="-9"/>
    <x v="0"/>
    <x v="0"/>
    <n v="2722"/>
    <n v="-8"/>
    <s v="December"/>
    <x v="0"/>
    <x v="0"/>
    <x v="0"/>
    <x v="0"/>
  </r>
  <r>
    <s v="SK-00351"/>
    <x v="114"/>
    <x v="288"/>
    <x v="11"/>
    <s v="Denver"/>
    <x v="3"/>
    <n v="0.61458333333333337"/>
    <n v="0.60902777777777772"/>
    <n v="-11"/>
    <x v="0"/>
    <x v="0"/>
    <n v="1708"/>
    <n v="-8"/>
    <s v="December"/>
    <x v="0"/>
    <x v="0"/>
    <x v="1"/>
    <x v="0"/>
  </r>
  <r>
    <s v="SK-00352"/>
    <x v="114"/>
    <x v="289"/>
    <x v="0"/>
    <s v="Dallas"/>
    <x v="2"/>
    <n v="0.71875"/>
    <n v="0.72083333333333333"/>
    <n v="-3"/>
    <x v="0"/>
    <x v="0"/>
    <n v="1232"/>
    <n v="3"/>
    <s v="December"/>
    <x v="0"/>
    <x v="0"/>
    <x v="2"/>
    <x v="0"/>
  </r>
  <r>
    <s v="SK-00353"/>
    <x v="114"/>
    <x v="290"/>
    <x v="2"/>
    <s v="Boston"/>
    <x v="2"/>
    <n v="0.82638888888888884"/>
    <n v="0.82986111111111116"/>
    <n v="8"/>
    <x v="0"/>
    <x v="0"/>
    <n v="1559"/>
    <n v="5"/>
    <s v="December"/>
    <x v="0"/>
    <x v="0"/>
    <x v="2"/>
    <x v="0"/>
  </r>
  <r>
    <s v="SK-00354"/>
    <x v="115"/>
    <x v="291"/>
    <x v="1"/>
    <s v="Dallas"/>
    <x v="2"/>
    <n v="0.76736111111111116"/>
    <n v="0.76180555555555551"/>
    <n v="-1"/>
    <x v="0"/>
    <x v="0"/>
    <n v="1389"/>
    <n v="-8"/>
    <s v="December"/>
    <x v="1"/>
    <x v="0"/>
    <x v="2"/>
    <x v="0"/>
  </r>
  <r>
    <s v="SK-00355"/>
    <x v="115"/>
    <x v="93"/>
    <x v="2"/>
    <s v="Los Angeles"/>
    <x v="0"/>
    <n v="0.93402777777777779"/>
    <n v="0.93888888888888888"/>
    <n v="0"/>
    <x v="0"/>
    <x v="0"/>
    <n v="1232"/>
    <n v="7"/>
    <s v="December"/>
    <x v="1"/>
    <x v="0"/>
    <x v="3"/>
    <x v="0"/>
  </r>
  <r>
    <s v="SK-00356"/>
    <x v="116"/>
    <x v="292"/>
    <x v="8"/>
    <s v="Chicago"/>
    <x v="0"/>
    <n v="0.39930555555555558"/>
    <n v="0.40069444444444452"/>
    <n v="-3"/>
    <x v="0"/>
    <x v="0"/>
    <n v="864"/>
    <n v="2"/>
    <s v="December"/>
    <x v="2"/>
    <x v="0"/>
    <x v="0"/>
    <x v="0"/>
  </r>
  <r>
    <s v="SK-00357"/>
    <x v="116"/>
    <x v="293"/>
    <x v="9"/>
    <s v="Dallas"/>
    <x v="3"/>
    <n v="0.53472222222222221"/>
    <n v="0.54166666666666663"/>
    <n v="2"/>
    <x v="0"/>
    <x v="0"/>
    <n v="641"/>
    <n v="10"/>
    <s v="December"/>
    <x v="2"/>
    <x v="0"/>
    <x v="1"/>
    <x v="0"/>
  </r>
  <r>
    <s v="SK-00358"/>
    <x v="117"/>
    <x v="294"/>
    <x v="2"/>
    <s v="Chicago"/>
    <x v="0"/>
    <n v="0.3923611111111111"/>
    <n v="0.3888888888888889"/>
    <n v="0"/>
    <x v="0"/>
    <x v="0"/>
    <n v="802"/>
    <n v="-5"/>
    <s v="January"/>
    <x v="3"/>
    <x v="0"/>
    <x v="0"/>
    <x v="0"/>
  </r>
  <r>
    <s v="SK-00359"/>
    <x v="117"/>
    <x v="162"/>
    <x v="4"/>
    <s v="Miami"/>
    <x v="3"/>
    <n v="0.59375"/>
    <n v="0.59166666666666667"/>
    <n v="-6"/>
    <x v="0"/>
    <x v="0"/>
    <n v="2722"/>
    <n v="-3"/>
    <s v="January"/>
    <x v="3"/>
    <x v="0"/>
    <x v="1"/>
    <x v="0"/>
  </r>
  <r>
    <s v="SK-00360"/>
    <x v="118"/>
    <x v="295"/>
    <x v="0"/>
    <s v="Phoenix"/>
    <x v="3"/>
    <n v="0.46875"/>
    <n v="0.47222222222222221"/>
    <n v="-6"/>
    <x v="0"/>
    <x v="0"/>
    <n v="370"/>
    <n v="5"/>
    <s v="January"/>
    <x v="4"/>
    <x v="0"/>
    <x v="0"/>
    <x v="0"/>
  </r>
  <r>
    <s v="SK-00361"/>
    <x v="118"/>
    <x v="296"/>
    <x v="8"/>
    <s v="Chicago"/>
    <x v="0"/>
    <n v="0.50694444444444442"/>
    <n v="0.50972222222222219"/>
    <n v="7"/>
    <x v="0"/>
    <x v="0"/>
    <n v="864"/>
    <n v="4"/>
    <s v="January"/>
    <x v="4"/>
    <x v="0"/>
    <x v="1"/>
    <x v="0"/>
  </r>
  <r>
    <s v="SK-00362"/>
    <x v="118"/>
    <x v="254"/>
    <x v="2"/>
    <s v="San Francisco"/>
    <x v="3"/>
    <n v="0.6875"/>
    <n v="0.69027777777777777"/>
    <n v="3"/>
    <x v="0"/>
    <x v="0"/>
    <n v="1462"/>
    <n v="4"/>
    <s v="January"/>
    <x v="4"/>
    <x v="0"/>
    <x v="1"/>
    <x v="0"/>
  </r>
  <r>
    <s v="SK-00363"/>
    <x v="118"/>
    <x v="13"/>
    <x v="0"/>
    <s v="Las Vegas"/>
    <x v="3"/>
    <n v="0.74305555555555558"/>
    <n v="0.75"/>
    <n v="10"/>
    <x v="0"/>
    <x v="0"/>
    <n v="236"/>
    <n v="10"/>
    <s v="January"/>
    <x v="4"/>
    <x v="0"/>
    <x v="2"/>
    <x v="0"/>
  </r>
  <r>
    <s v="SK-00364"/>
    <x v="118"/>
    <x v="297"/>
    <x v="1"/>
    <s v="Denver"/>
    <x v="2"/>
    <n v="0.88541666666666663"/>
    <n v="0.90208333333333335"/>
    <n v="25"/>
    <x v="1"/>
    <x v="0"/>
    <n v="1622"/>
    <n v="24"/>
    <s v="January"/>
    <x v="4"/>
    <x v="1"/>
    <x v="3"/>
    <x v="1"/>
  </r>
  <r>
    <s v="SK-00365"/>
    <x v="119"/>
    <x v="298"/>
    <x v="0"/>
    <s v="Miami"/>
    <x v="2"/>
    <n v="0.46875"/>
    <n v="0.47291666666666671"/>
    <n v="-1"/>
    <x v="0"/>
    <x v="0"/>
    <n v="2338"/>
    <n v="6"/>
    <s v="January"/>
    <x v="5"/>
    <x v="0"/>
    <x v="0"/>
    <x v="0"/>
  </r>
  <r>
    <s v="SK-00366"/>
    <x v="119"/>
    <x v="108"/>
    <x v="11"/>
    <s v="Chicago"/>
    <x v="2"/>
    <n v="0.65277777777777779"/>
    <n v="0.66111111111111109"/>
    <n v="20"/>
    <x v="0"/>
    <x v="0"/>
    <n v="1199"/>
    <n v="12"/>
    <s v="January"/>
    <x v="5"/>
    <x v="1"/>
    <x v="1"/>
    <x v="0"/>
  </r>
  <r>
    <s v="SK-00367"/>
    <x v="119"/>
    <x v="299"/>
    <x v="3"/>
    <s v="Atlanta"/>
    <x v="0"/>
    <n v="0.86111111111111116"/>
    <n v="0.86111111111111116"/>
    <n v="-4"/>
    <x v="0"/>
    <x v="0"/>
    <n v="1743"/>
    <n v="0"/>
    <s v="January"/>
    <x v="5"/>
    <x v="0"/>
    <x v="2"/>
    <x v="0"/>
  </r>
  <r>
    <s v="SK-00368"/>
    <x v="120"/>
    <x v="163"/>
    <x v="11"/>
    <s v="San Francisco"/>
    <x v="0"/>
    <n v="0.2673611111111111"/>
    <n v="0.26319444444444451"/>
    <n v="-11"/>
    <x v="0"/>
    <x v="0"/>
    <n v="2582"/>
    <n v="-6"/>
    <s v="January"/>
    <x v="6"/>
    <x v="0"/>
    <x v="0"/>
    <x v="0"/>
  </r>
  <r>
    <s v="SK-00369"/>
    <x v="120"/>
    <x v="300"/>
    <x v="6"/>
    <s v="Dallas"/>
    <x v="2"/>
    <n v="0.34375"/>
    <n v="0.33888888888888891"/>
    <n v="-1"/>
    <x v="0"/>
    <x v="0"/>
    <n v="1462"/>
    <n v="-7"/>
    <s v="January"/>
    <x v="6"/>
    <x v="0"/>
    <x v="0"/>
    <x v="0"/>
  </r>
  <r>
    <s v="SK-00370"/>
    <x v="120"/>
    <x v="301"/>
    <x v="0"/>
    <s v="Atlanta"/>
    <x v="2"/>
    <n v="0.84375"/>
    <n v="0.8520833333333333"/>
    <n v="8"/>
    <x v="0"/>
    <x v="0"/>
    <n v="1942"/>
    <n v="12"/>
    <s v="January"/>
    <x v="6"/>
    <x v="0"/>
    <x v="2"/>
    <x v="0"/>
  </r>
  <r>
    <s v="SK-00371"/>
    <x v="121"/>
    <x v="153"/>
    <x v="11"/>
    <s v="Atlanta"/>
    <x v="1"/>
    <n v="0.29166666666666669"/>
    <n v="0.29583333333333328"/>
    <n v="13"/>
    <x v="0"/>
    <x v="0"/>
    <n v="596"/>
    <n v="6"/>
    <s v="January"/>
    <x v="0"/>
    <x v="0"/>
    <x v="0"/>
    <x v="0"/>
  </r>
  <r>
    <s v="SK-00372"/>
    <x v="121"/>
    <x v="255"/>
    <x v="10"/>
    <s v="Los Angeles"/>
    <x v="0"/>
    <n v="0.40972222222222221"/>
    <n v="0.42638888888888887"/>
    <n v="14"/>
    <x v="1"/>
    <x v="0"/>
    <n v="370"/>
    <n v="24"/>
    <s v="January"/>
    <x v="0"/>
    <x v="0"/>
    <x v="0"/>
    <x v="1"/>
  </r>
  <r>
    <s v="SK-00373"/>
    <x v="121"/>
    <x v="302"/>
    <x v="11"/>
    <s v="New York"/>
    <x v="0"/>
    <n v="0.44791666666666669"/>
    <n v="0.47916666666666669"/>
    <n v="53"/>
    <x v="2"/>
    <x v="0"/>
    <n v="1092"/>
    <n v="45"/>
    <s v="January"/>
    <x v="0"/>
    <x v="1"/>
    <x v="0"/>
    <x v="1"/>
  </r>
  <r>
    <s v="SK-00374"/>
    <x v="121"/>
    <x v="303"/>
    <x v="7"/>
    <s v="Las Vegas"/>
    <x v="3"/>
    <n v="0.63541666666666663"/>
    <n v="0.63055555555555554"/>
    <n v="-10"/>
    <x v="0"/>
    <x v="0"/>
    <n v="1743"/>
    <n v="-7"/>
    <s v="January"/>
    <x v="0"/>
    <x v="0"/>
    <x v="1"/>
    <x v="0"/>
  </r>
  <r>
    <s v="SK-00375"/>
    <x v="122"/>
    <x v="304"/>
    <x v="2"/>
    <s v="Denver"/>
    <x v="2"/>
    <n v="0.36805555555555558"/>
    <m/>
    <m/>
    <x v="3"/>
    <x v="1"/>
    <n v="641"/>
    <m/>
    <s v="January"/>
    <x v="1"/>
    <x v="2"/>
    <x v="0"/>
    <x v="2"/>
  </r>
  <r>
    <s v="SK-00376"/>
    <x v="122"/>
    <x v="305"/>
    <x v="5"/>
    <s v="Miami"/>
    <x v="0"/>
    <n v="0.50347222222222221"/>
    <n v="0.51527777777777772"/>
    <n v="14"/>
    <x v="3"/>
    <x v="0"/>
    <n v="1199"/>
    <n v="17"/>
    <s v="January"/>
    <x v="1"/>
    <x v="0"/>
    <x v="1"/>
    <x v="2"/>
  </r>
  <r>
    <s v="SK-00377"/>
    <x v="122"/>
    <x v="306"/>
    <x v="1"/>
    <s v="Atlanta"/>
    <x v="0"/>
    <n v="0.65277777777777779"/>
    <n v="0.65763888888888888"/>
    <n v="9"/>
    <x v="0"/>
    <x v="0"/>
    <n v="759"/>
    <n v="7"/>
    <s v="January"/>
    <x v="1"/>
    <x v="0"/>
    <x v="1"/>
    <x v="0"/>
  </r>
  <r>
    <s v="SK-00378"/>
    <x v="123"/>
    <x v="307"/>
    <x v="2"/>
    <s v="Phoenix"/>
    <x v="1"/>
    <n v="0.72916666666666663"/>
    <n v="0.80555555555555558"/>
    <n v="104"/>
    <x v="3"/>
    <x v="0"/>
    <n v="866"/>
    <n v="110"/>
    <s v="January"/>
    <x v="2"/>
    <x v="1"/>
    <x v="2"/>
    <x v="2"/>
  </r>
  <r>
    <s v="SK-00379"/>
    <x v="124"/>
    <x v="308"/>
    <x v="4"/>
    <s v="Denver"/>
    <x v="3"/>
    <n v="0.85069444444444442"/>
    <n v="0.85416666666666663"/>
    <n v="9"/>
    <x v="0"/>
    <x v="0"/>
    <n v="1023"/>
    <n v="5"/>
    <s v="January"/>
    <x v="3"/>
    <x v="0"/>
    <x v="2"/>
    <x v="0"/>
  </r>
  <r>
    <s v="SK-00380"/>
    <x v="124"/>
    <x v="309"/>
    <x v="5"/>
    <s v="Miami"/>
    <x v="0"/>
    <n v="0.95138888888888884"/>
    <n v="0.95416666666666672"/>
    <n v="0"/>
    <x v="0"/>
    <x v="0"/>
    <n v="1199"/>
    <n v="4"/>
    <s v="January"/>
    <x v="3"/>
    <x v="0"/>
    <x v="3"/>
    <x v="0"/>
  </r>
  <r>
    <s v="SK-00381"/>
    <x v="125"/>
    <x v="227"/>
    <x v="9"/>
    <s v="Seattle"/>
    <x v="1"/>
    <n v="0.34722222222222221"/>
    <m/>
    <m/>
    <x v="3"/>
    <x v="1"/>
    <n v="1023"/>
    <m/>
    <s v="January"/>
    <x v="4"/>
    <x v="2"/>
    <x v="0"/>
    <x v="2"/>
  </r>
  <r>
    <s v="SK-00382"/>
    <x v="125"/>
    <x v="96"/>
    <x v="3"/>
    <s v="Atlanta"/>
    <x v="3"/>
    <n v="0.41319444444444442"/>
    <n v="0.41458333333333341"/>
    <n v="-1"/>
    <x v="0"/>
    <x v="0"/>
    <n v="1743"/>
    <n v="2"/>
    <s v="January"/>
    <x v="4"/>
    <x v="0"/>
    <x v="0"/>
    <x v="0"/>
  </r>
  <r>
    <s v="SK-00383"/>
    <x v="125"/>
    <x v="310"/>
    <x v="7"/>
    <s v="New York"/>
    <x v="2"/>
    <n v="0.51736111111111116"/>
    <n v="0.52430555555555558"/>
    <n v="2"/>
    <x v="0"/>
    <x v="0"/>
    <n v="759"/>
    <n v="10"/>
    <s v="January"/>
    <x v="4"/>
    <x v="0"/>
    <x v="1"/>
    <x v="0"/>
  </r>
  <r>
    <s v="SK-00384"/>
    <x v="125"/>
    <x v="311"/>
    <x v="1"/>
    <s v="Dallas"/>
    <x v="3"/>
    <n v="0.78472222222222221"/>
    <n v="0.78055555555555556"/>
    <n v="4"/>
    <x v="0"/>
    <x v="0"/>
    <n v="1389"/>
    <n v="-6"/>
    <s v="January"/>
    <x v="4"/>
    <x v="0"/>
    <x v="2"/>
    <x v="0"/>
  </r>
  <r>
    <s v="SK-00385"/>
    <x v="125"/>
    <x v="312"/>
    <x v="5"/>
    <s v="Los Angeles"/>
    <x v="2"/>
    <n v="0.78819444444444442"/>
    <n v="0.8208333333333333"/>
    <n v="51"/>
    <x v="5"/>
    <x v="0"/>
    <n v="1742"/>
    <n v="47"/>
    <s v="January"/>
    <x v="4"/>
    <x v="1"/>
    <x v="2"/>
    <x v="2"/>
  </r>
  <r>
    <s v="SK-00386"/>
    <x v="126"/>
    <x v="313"/>
    <x v="0"/>
    <s v="Dallas"/>
    <x v="1"/>
    <n v="0.35069444444444442"/>
    <n v="0.38680555555555562"/>
    <n v="48"/>
    <x v="2"/>
    <x v="0"/>
    <n v="1232"/>
    <n v="52"/>
    <s v="January"/>
    <x v="6"/>
    <x v="1"/>
    <x v="0"/>
    <x v="1"/>
  </r>
  <r>
    <s v="SK-00387"/>
    <x v="126"/>
    <x v="61"/>
    <x v="8"/>
    <s v="Miami"/>
    <x v="2"/>
    <n v="0.65972222222222221"/>
    <n v="0.65902777777777777"/>
    <n v="9"/>
    <x v="0"/>
    <x v="0"/>
    <n v="1260"/>
    <n v="-1"/>
    <s v="January"/>
    <x v="6"/>
    <x v="0"/>
    <x v="1"/>
    <x v="0"/>
  </r>
  <r>
    <s v="SK-00388"/>
    <x v="126"/>
    <x v="314"/>
    <x v="5"/>
    <s v="Dallas"/>
    <x v="3"/>
    <n v="0.75347222222222221"/>
    <m/>
    <m/>
    <x v="3"/>
    <x v="1"/>
    <n v="802"/>
    <m/>
    <s v="January"/>
    <x v="6"/>
    <x v="2"/>
    <x v="2"/>
    <x v="2"/>
  </r>
  <r>
    <s v="SK-00389"/>
    <x v="127"/>
    <x v="43"/>
    <x v="9"/>
    <s v="New York"/>
    <x v="3"/>
    <n v="0.40625"/>
    <n v="0.41111111111111109"/>
    <n v="16"/>
    <x v="0"/>
    <x v="0"/>
    <n v="1622"/>
    <n v="7"/>
    <s v="January"/>
    <x v="0"/>
    <x v="1"/>
    <x v="0"/>
    <x v="0"/>
  </r>
  <r>
    <s v="SK-00390"/>
    <x v="127"/>
    <x v="315"/>
    <x v="0"/>
    <s v="Dallas"/>
    <x v="0"/>
    <n v="0.41666666666666669"/>
    <n v="0.42152777777777778"/>
    <n v="8"/>
    <x v="0"/>
    <x v="0"/>
    <n v="1232"/>
    <n v="7"/>
    <s v="January"/>
    <x v="0"/>
    <x v="0"/>
    <x v="0"/>
    <x v="0"/>
  </r>
  <r>
    <s v="SK-00391"/>
    <x v="127"/>
    <x v="316"/>
    <x v="10"/>
    <s v="Dallas"/>
    <x v="0"/>
    <n v="0.88888888888888884"/>
    <n v="0.89652777777777781"/>
    <n v="15"/>
    <x v="0"/>
    <x v="0"/>
    <n v="866"/>
    <n v="11"/>
    <s v="January"/>
    <x v="0"/>
    <x v="0"/>
    <x v="3"/>
    <x v="0"/>
  </r>
  <r>
    <s v="SK-00392"/>
    <x v="128"/>
    <x v="317"/>
    <x v="10"/>
    <s v="Denver"/>
    <x v="3"/>
    <n v="0.28472222222222221"/>
    <n v="0.28263888888888888"/>
    <n v="7"/>
    <x v="0"/>
    <x v="0"/>
    <n v="602"/>
    <n v="-3"/>
    <s v="January"/>
    <x v="1"/>
    <x v="0"/>
    <x v="0"/>
    <x v="0"/>
  </r>
  <r>
    <s v="SK-00393"/>
    <x v="128"/>
    <x v="318"/>
    <x v="9"/>
    <s v="Dallas"/>
    <x v="1"/>
    <n v="0.40277777777777779"/>
    <n v="0.41041666666666671"/>
    <n v="14"/>
    <x v="0"/>
    <x v="0"/>
    <n v="641"/>
    <n v="11"/>
    <s v="January"/>
    <x v="1"/>
    <x v="0"/>
    <x v="0"/>
    <x v="0"/>
  </r>
  <r>
    <s v="SK-00394"/>
    <x v="128"/>
    <x v="20"/>
    <x v="1"/>
    <s v="Phoenix"/>
    <x v="1"/>
    <n v="0.43055555555555558"/>
    <n v="0.43402777777777779"/>
    <n v="-2"/>
    <x v="0"/>
    <x v="0"/>
    <n v="2149"/>
    <n v="5"/>
    <s v="January"/>
    <x v="1"/>
    <x v="0"/>
    <x v="0"/>
    <x v="0"/>
  </r>
  <r>
    <s v="SK-00395"/>
    <x v="128"/>
    <x v="319"/>
    <x v="0"/>
    <s v="Miami"/>
    <x v="0"/>
    <n v="0.4375"/>
    <n v="0.4375"/>
    <n v="-8"/>
    <x v="0"/>
    <x v="0"/>
    <n v="2338"/>
    <n v="0"/>
    <s v="January"/>
    <x v="1"/>
    <x v="0"/>
    <x v="0"/>
    <x v="0"/>
  </r>
  <r>
    <s v="SK-00396"/>
    <x v="128"/>
    <x v="320"/>
    <x v="6"/>
    <s v="Las Vegas"/>
    <x v="3"/>
    <n v="0.56597222222222221"/>
    <n v="0.56180555555555556"/>
    <n v="-11"/>
    <x v="0"/>
    <x v="0"/>
    <n v="414"/>
    <n v="-6"/>
    <s v="January"/>
    <x v="1"/>
    <x v="0"/>
    <x v="1"/>
    <x v="0"/>
  </r>
  <r>
    <s v="SK-00397"/>
    <x v="129"/>
    <x v="321"/>
    <x v="9"/>
    <s v="Atlanta"/>
    <x v="1"/>
    <n v="0.64236111111111116"/>
    <m/>
    <m/>
    <x v="2"/>
    <x v="1"/>
    <n v="1197"/>
    <m/>
    <s v="January"/>
    <x v="3"/>
    <x v="2"/>
    <x v="1"/>
    <x v="1"/>
  </r>
  <r>
    <s v="SK-00398"/>
    <x v="129"/>
    <x v="322"/>
    <x v="6"/>
    <s v="Dallas"/>
    <x v="0"/>
    <n v="0.69097222222222221"/>
    <n v="0.69444444444444442"/>
    <n v="2"/>
    <x v="0"/>
    <x v="0"/>
    <n v="1462"/>
    <n v="5"/>
    <s v="January"/>
    <x v="3"/>
    <x v="0"/>
    <x v="1"/>
    <x v="0"/>
  </r>
  <r>
    <s v="SK-00399"/>
    <x v="130"/>
    <x v="126"/>
    <x v="4"/>
    <s v="Chicago"/>
    <x v="0"/>
    <n v="0.86111111111111116"/>
    <n v="0.85555555555555551"/>
    <n v="-4"/>
    <x v="0"/>
    <x v="0"/>
    <n v="1717"/>
    <n v="-8"/>
    <s v="January"/>
    <x v="4"/>
    <x v="0"/>
    <x v="2"/>
    <x v="0"/>
  </r>
  <r>
    <s v="SK-00400"/>
    <x v="131"/>
    <x v="323"/>
    <x v="7"/>
    <s v="Dallas"/>
    <x v="1"/>
    <n v="0.2361111111111111"/>
    <n v="0.24236111111111111"/>
    <n v="1"/>
    <x v="0"/>
    <x v="0"/>
    <n v="730"/>
    <n v="9"/>
    <s v="January"/>
    <x v="5"/>
    <x v="0"/>
    <x v="0"/>
    <x v="0"/>
  </r>
  <r>
    <s v="SK-00401"/>
    <x v="131"/>
    <x v="324"/>
    <x v="1"/>
    <s v="San Francisco"/>
    <x v="0"/>
    <n v="0.59722222222222221"/>
    <n v="0.61111111111111116"/>
    <n v="11"/>
    <x v="2"/>
    <x v="0"/>
    <n v="2580"/>
    <n v="20"/>
    <s v="January"/>
    <x v="5"/>
    <x v="0"/>
    <x v="1"/>
    <x v="1"/>
  </r>
  <r>
    <s v="SK-00402"/>
    <x v="131"/>
    <x v="187"/>
    <x v="3"/>
    <s v="Phoenix"/>
    <x v="0"/>
    <n v="0.60763888888888884"/>
    <n v="0.61388888888888893"/>
    <n v="-2"/>
    <x v="0"/>
    <x v="0"/>
    <n v="256"/>
    <n v="9"/>
    <s v="January"/>
    <x v="5"/>
    <x v="0"/>
    <x v="1"/>
    <x v="0"/>
  </r>
  <r>
    <s v="SK-00403"/>
    <x v="131"/>
    <x v="325"/>
    <x v="3"/>
    <s v="Denver"/>
    <x v="1"/>
    <n v="0.73263888888888884"/>
    <n v="0.7270833333333333"/>
    <n v="-10"/>
    <x v="0"/>
    <x v="0"/>
    <n v="627"/>
    <n v="-8"/>
    <s v="January"/>
    <x v="5"/>
    <x v="0"/>
    <x v="2"/>
    <x v="0"/>
  </r>
  <r>
    <s v="SK-00404"/>
    <x v="132"/>
    <x v="326"/>
    <x v="0"/>
    <s v="Atlanta"/>
    <x v="0"/>
    <n v="0.69097222222222221"/>
    <n v="0.69722222222222219"/>
    <n v="18"/>
    <x v="0"/>
    <x v="0"/>
    <n v="1942"/>
    <n v="9"/>
    <s v="January"/>
    <x v="6"/>
    <x v="1"/>
    <x v="1"/>
    <x v="0"/>
  </r>
  <r>
    <s v="SK-00405"/>
    <x v="132"/>
    <x v="296"/>
    <x v="7"/>
    <s v="New York"/>
    <x v="2"/>
    <n v="0.70486111111111116"/>
    <n v="0.7104166666666667"/>
    <n v="-2"/>
    <x v="0"/>
    <x v="0"/>
    <n v="759"/>
    <n v="8"/>
    <s v="January"/>
    <x v="6"/>
    <x v="0"/>
    <x v="1"/>
    <x v="0"/>
  </r>
  <r>
    <s v="SK-00406"/>
    <x v="132"/>
    <x v="327"/>
    <x v="3"/>
    <s v="Miami"/>
    <x v="2"/>
    <n v="0.77083333333333337"/>
    <n v="0.78194444444444444"/>
    <n v="19"/>
    <x v="3"/>
    <x v="0"/>
    <n v="2171"/>
    <n v="16"/>
    <s v="January"/>
    <x v="6"/>
    <x v="1"/>
    <x v="2"/>
    <x v="2"/>
  </r>
  <r>
    <s v="SK-00407"/>
    <x v="133"/>
    <x v="26"/>
    <x v="0"/>
    <s v="Denver"/>
    <x v="0"/>
    <n v="0.2673611111111111"/>
    <n v="0.26250000000000001"/>
    <n v="-14"/>
    <x v="0"/>
    <x v="0"/>
    <n v="861"/>
    <n v="-7"/>
    <s v="January"/>
    <x v="0"/>
    <x v="0"/>
    <x v="0"/>
    <x v="0"/>
  </r>
  <r>
    <s v="SK-00408"/>
    <x v="133"/>
    <x v="301"/>
    <x v="5"/>
    <s v="Atlanta"/>
    <x v="2"/>
    <n v="0.60416666666666663"/>
    <n v="0.63888888888888884"/>
    <n v="46"/>
    <x v="3"/>
    <x v="0"/>
    <n v="606"/>
    <n v="50"/>
    <s v="January"/>
    <x v="0"/>
    <x v="1"/>
    <x v="1"/>
    <x v="2"/>
  </r>
  <r>
    <s v="SK-00409"/>
    <x v="134"/>
    <x v="58"/>
    <x v="7"/>
    <s v="Los Angeles"/>
    <x v="1"/>
    <n v="0.33333333333333331"/>
    <n v="0.32847222222222222"/>
    <n v="1"/>
    <x v="0"/>
    <x v="0"/>
    <n v="1942"/>
    <n v="-7"/>
    <s v="January"/>
    <x v="2"/>
    <x v="0"/>
    <x v="0"/>
    <x v="0"/>
  </r>
  <r>
    <s v="SK-00410"/>
    <x v="135"/>
    <x v="245"/>
    <x v="8"/>
    <s v="Atlanta"/>
    <x v="0"/>
    <n v="0.2986111111111111"/>
    <n v="0.2986111111111111"/>
    <n v="-1"/>
    <x v="0"/>
    <x v="0"/>
    <n v="945"/>
    <n v="0"/>
    <s v="January"/>
    <x v="3"/>
    <x v="0"/>
    <x v="0"/>
    <x v="0"/>
  </r>
  <r>
    <s v="SK-00411"/>
    <x v="135"/>
    <x v="315"/>
    <x v="1"/>
    <s v="Dallas"/>
    <x v="0"/>
    <n v="0.39930555555555558"/>
    <n v="0.40763888888888888"/>
    <n v="13"/>
    <x v="0"/>
    <x v="0"/>
    <n v="1389"/>
    <n v="12"/>
    <s v="January"/>
    <x v="3"/>
    <x v="0"/>
    <x v="0"/>
    <x v="0"/>
  </r>
  <r>
    <s v="SK-00412"/>
    <x v="135"/>
    <x v="328"/>
    <x v="9"/>
    <s v="Los Angeles"/>
    <x v="1"/>
    <n v="0.71180555555555558"/>
    <n v="0.78055555555555556"/>
    <n v="100"/>
    <x v="3"/>
    <x v="0"/>
    <n v="861"/>
    <n v="99"/>
    <s v="January"/>
    <x v="3"/>
    <x v="1"/>
    <x v="2"/>
    <x v="2"/>
  </r>
  <r>
    <s v="SK-00413"/>
    <x v="136"/>
    <x v="250"/>
    <x v="5"/>
    <s v="Atlanta"/>
    <x v="0"/>
    <n v="0.21527777777777779"/>
    <n v="0.21319444444444441"/>
    <n v="-6"/>
    <x v="0"/>
    <x v="0"/>
    <n v="606"/>
    <n v="-3"/>
    <s v="January"/>
    <x v="4"/>
    <x v="0"/>
    <x v="0"/>
    <x v="0"/>
  </r>
  <r>
    <s v="SK-00414"/>
    <x v="136"/>
    <x v="329"/>
    <x v="2"/>
    <s v="Boston"/>
    <x v="3"/>
    <n v="0.40625"/>
    <n v="0.40833333333333333"/>
    <n v="13"/>
    <x v="0"/>
    <x v="0"/>
    <n v="1559"/>
    <n v="3"/>
    <s v="January"/>
    <x v="4"/>
    <x v="0"/>
    <x v="0"/>
    <x v="0"/>
  </r>
  <r>
    <s v="SK-00415"/>
    <x v="137"/>
    <x v="330"/>
    <x v="8"/>
    <s v="Dallas"/>
    <x v="1"/>
    <n v="0.84375"/>
    <n v="0.84722222222222221"/>
    <n v="7"/>
    <x v="0"/>
    <x v="0"/>
    <n v="1559"/>
    <n v="5"/>
    <s v="January"/>
    <x v="5"/>
    <x v="0"/>
    <x v="2"/>
    <x v="0"/>
  </r>
  <r>
    <s v="SK-00416"/>
    <x v="138"/>
    <x v="331"/>
    <x v="0"/>
    <s v="Las Vegas"/>
    <x v="0"/>
    <n v="0.45833333333333331"/>
    <n v="0.46041666666666659"/>
    <n v="0"/>
    <x v="0"/>
    <x v="0"/>
    <n v="236"/>
    <n v="3"/>
    <s v="January"/>
    <x v="6"/>
    <x v="0"/>
    <x v="0"/>
    <x v="0"/>
  </r>
  <r>
    <s v="SK-00417"/>
    <x v="138"/>
    <x v="332"/>
    <x v="9"/>
    <s v="Atlanta"/>
    <x v="1"/>
    <n v="0.51041666666666663"/>
    <n v="0.51666666666666672"/>
    <n v="5"/>
    <x v="0"/>
    <x v="0"/>
    <n v="1197"/>
    <n v="9"/>
    <s v="January"/>
    <x v="6"/>
    <x v="0"/>
    <x v="1"/>
    <x v="0"/>
  </r>
  <r>
    <s v="SK-00418"/>
    <x v="138"/>
    <x v="333"/>
    <x v="7"/>
    <s v="Chicago"/>
    <x v="1"/>
    <n v="0.73263888888888884"/>
    <n v="0.76041666666666663"/>
    <n v="33"/>
    <x v="3"/>
    <x v="0"/>
    <n v="606"/>
    <n v="40"/>
    <s v="January"/>
    <x v="6"/>
    <x v="1"/>
    <x v="2"/>
    <x v="2"/>
  </r>
  <r>
    <s v="SK-00419"/>
    <x v="138"/>
    <x v="90"/>
    <x v="10"/>
    <s v="Denver"/>
    <x v="2"/>
    <n v="0.76041666666666663"/>
    <n v="0.76527777777777772"/>
    <n v="8"/>
    <x v="0"/>
    <x v="0"/>
    <n v="602"/>
    <n v="7"/>
    <s v="January"/>
    <x v="6"/>
    <x v="0"/>
    <x v="2"/>
    <x v="0"/>
  </r>
  <r>
    <s v="SK-00420"/>
    <x v="139"/>
    <x v="56"/>
    <x v="5"/>
    <s v="San Francisco"/>
    <x v="2"/>
    <n v="0.4201388888888889"/>
    <n v="0.42083333333333328"/>
    <n v="11"/>
    <x v="0"/>
    <x v="0"/>
    <n v="1842"/>
    <n v="1"/>
    <s v="January"/>
    <x v="0"/>
    <x v="0"/>
    <x v="0"/>
    <x v="0"/>
  </r>
  <r>
    <s v="SK-00421"/>
    <x v="139"/>
    <x v="334"/>
    <x v="7"/>
    <s v="Las Vegas"/>
    <x v="0"/>
    <n v="0.86111111111111116"/>
    <n v="0.8618055555555556"/>
    <n v="-10"/>
    <x v="0"/>
    <x v="0"/>
    <n v="1743"/>
    <n v="1"/>
    <s v="January"/>
    <x v="0"/>
    <x v="0"/>
    <x v="2"/>
    <x v="0"/>
  </r>
  <r>
    <s v="SK-00422"/>
    <x v="140"/>
    <x v="335"/>
    <x v="5"/>
    <s v="Atlanta"/>
    <x v="1"/>
    <n v="0.53125"/>
    <n v="0.53680555555555554"/>
    <n v="11"/>
    <x v="0"/>
    <x v="0"/>
    <n v="606"/>
    <n v="8"/>
    <s v="January"/>
    <x v="1"/>
    <x v="0"/>
    <x v="1"/>
    <x v="0"/>
  </r>
  <r>
    <s v="SK-00423"/>
    <x v="140"/>
    <x v="336"/>
    <x v="11"/>
    <s v="Phoenix"/>
    <x v="0"/>
    <n v="0.64930555555555558"/>
    <n v="0.67361111111111116"/>
    <n v="42"/>
    <x v="2"/>
    <x v="0"/>
    <n v="1969"/>
    <n v="35"/>
    <s v="January"/>
    <x v="1"/>
    <x v="1"/>
    <x v="1"/>
    <x v="1"/>
  </r>
  <r>
    <s v="SK-00424"/>
    <x v="141"/>
    <x v="337"/>
    <x v="2"/>
    <s v="Miami"/>
    <x v="1"/>
    <n v="0.35069444444444442"/>
    <n v="0.34930555555555548"/>
    <n v="-11"/>
    <x v="0"/>
    <x v="0"/>
    <n v="1120"/>
    <n v="-2"/>
    <s v="January"/>
    <x v="3"/>
    <x v="0"/>
    <x v="0"/>
    <x v="0"/>
  </r>
  <r>
    <s v="SK-00425"/>
    <x v="141"/>
    <x v="338"/>
    <x v="7"/>
    <s v="Phoenix"/>
    <x v="0"/>
    <n v="0.67013888888888884"/>
    <n v="0.67083333333333328"/>
    <n v="-10"/>
    <x v="0"/>
    <x v="0"/>
    <n v="1584"/>
    <n v="1"/>
    <s v="January"/>
    <x v="3"/>
    <x v="0"/>
    <x v="1"/>
    <x v="0"/>
  </r>
  <r>
    <s v="SK-00426"/>
    <x v="141"/>
    <x v="339"/>
    <x v="2"/>
    <s v="New York"/>
    <x v="3"/>
    <n v="0.8125"/>
    <n v="0.80694444444444446"/>
    <n v="-6"/>
    <x v="0"/>
    <x v="0"/>
    <n v="1389"/>
    <n v="-8"/>
    <s v="January"/>
    <x v="3"/>
    <x v="0"/>
    <x v="2"/>
    <x v="0"/>
  </r>
  <r>
    <s v="SK-00427"/>
    <x v="141"/>
    <x v="340"/>
    <x v="8"/>
    <s v="Los Angeles"/>
    <x v="1"/>
    <n v="0.84027777777777779"/>
    <n v="0.84027777777777779"/>
    <n v="-4"/>
    <x v="0"/>
    <x v="0"/>
    <n v="2606"/>
    <n v="0"/>
    <s v="January"/>
    <x v="3"/>
    <x v="0"/>
    <x v="2"/>
    <x v="0"/>
  </r>
  <r>
    <s v="SK-00428"/>
    <x v="142"/>
    <x v="341"/>
    <x v="1"/>
    <s v="Miami"/>
    <x v="2"/>
    <n v="0.46180555555555558"/>
    <n v="0.45624999999999999"/>
    <n v="-20"/>
    <x v="0"/>
    <x v="0"/>
    <n v="1092"/>
    <n v="-8"/>
    <s v="January"/>
    <x v="4"/>
    <x v="0"/>
    <x v="0"/>
    <x v="0"/>
  </r>
  <r>
    <s v="SK-00429"/>
    <x v="143"/>
    <x v="342"/>
    <x v="10"/>
    <s v="Atlanta"/>
    <x v="1"/>
    <n v="0.46180555555555558"/>
    <n v="0.4861111111111111"/>
    <n v="35"/>
    <x v="3"/>
    <x v="0"/>
    <n v="1584"/>
    <n v="35"/>
    <s v="January"/>
    <x v="5"/>
    <x v="1"/>
    <x v="0"/>
    <x v="2"/>
  </r>
  <r>
    <s v="SK-00430"/>
    <x v="143"/>
    <x v="343"/>
    <x v="7"/>
    <s v="Chicago"/>
    <x v="2"/>
    <n v="0.625"/>
    <n v="0.62986111111111109"/>
    <n v="15"/>
    <x v="0"/>
    <x v="0"/>
    <n v="606"/>
    <n v="7"/>
    <s v="January"/>
    <x v="5"/>
    <x v="0"/>
    <x v="1"/>
    <x v="0"/>
  </r>
  <r>
    <s v="SK-00431"/>
    <x v="143"/>
    <x v="344"/>
    <x v="7"/>
    <s v="New York"/>
    <x v="1"/>
    <n v="0.64583333333333337"/>
    <n v="0.64513888888888893"/>
    <n v="-6"/>
    <x v="0"/>
    <x v="0"/>
    <n v="759"/>
    <n v="-1"/>
    <s v="January"/>
    <x v="5"/>
    <x v="0"/>
    <x v="1"/>
    <x v="0"/>
  </r>
  <r>
    <s v="SK-00432"/>
    <x v="143"/>
    <x v="345"/>
    <x v="2"/>
    <s v="Denver"/>
    <x v="1"/>
    <n v="0.65277777777777779"/>
    <n v="0.6694444444444444"/>
    <n v="25"/>
    <x v="3"/>
    <x v="0"/>
    <n v="641"/>
    <n v="24"/>
    <s v="January"/>
    <x v="5"/>
    <x v="1"/>
    <x v="1"/>
    <x v="2"/>
  </r>
  <r>
    <s v="SK-00433"/>
    <x v="143"/>
    <x v="346"/>
    <x v="2"/>
    <s v="San Francisco"/>
    <x v="0"/>
    <n v="0.69444444444444442"/>
    <n v="0.70277777777777772"/>
    <n v="18"/>
    <x v="0"/>
    <x v="0"/>
    <n v="1462"/>
    <n v="12"/>
    <s v="January"/>
    <x v="5"/>
    <x v="1"/>
    <x v="1"/>
    <x v="0"/>
  </r>
  <r>
    <s v="SK-00434"/>
    <x v="144"/>
    <x v="347"/>
    <x v="7"/>
    <s v="Dallas"/>
    <x v="0"/>
    <n v="0.36458333333333331"/>
    <n v="0.37152777777777779"/>
    <n v="20"/>
    <x v="0"/>
    <x v="0"/>
    <n v="730"/>
    <n v="10"/>
    <s v="February"/>
    <x v="6"/>
    <x v="1"/>
    <x v="0"/>
    <x v="0"/>
  </r>
  <r>
    <s v="SK-00435"/>
    <x v="144"/>
    <x v="348"/>
    <x v="9"/>
    <s v="Los Angeles"/>
    <x v="2"/>
    <n v="0.64236111111111116"/>
    <n v="0.74444444444444446"/>
    <n v="155"/>
    <x v="1"/>
    <x v="0"/>
    <n v="861"/>
    <n v="147"/>
    <s v="February"/>
    <x v="6"/>
    <x v="1"/>
    <x v="1"/>
    <x v="1"/>
  </r>
  <r>
    <s v="SK-00436"/>
    <x v="144"/>
    <x v="349"/>
    <x v="1"/>
    <s v="Los Angeles"/>
    <x v="1"/>
    <n v="0.80208333333333337"/>
    <n v="0.80763888888888891"/>
    <n v="7"/>
    <x v="0"/>
    <x v="0"/>
    <n v="2470"/>
    <n v="8"/>
    <s v="February"/>
    <x v="6"/>
    <x v="0"/>
    <x v="2"/>
    <x v="0"/>
  </r>
  <r>
    <s v="SK-00437"/>
    <x v="145"/>
    <x v="350"/>
    <x v="5"/>
    <s v="Denver"/>
    <x v="0"/>
    <n v="0.3611111111111111"/>
    <n v="0.35694444444444451"/>
    <n v="-13"/>
    <x v="0"/>
    <x v="0"/>
    <n v="886"/>
    <n v="-6"/>
    <s v="February"/>
    <x v="0"/>
    <x v="0"/>
    <x v="0"/>
    <x v="0"/>
  </r>
  <r>
    <s v="SK-00438"/>
    <x v="145"/>
    <x v="76"/>
    <x v="2"/>
    <s v="Chicago"/>
    <x v="2"/>
    <n v="0.4548611111111111"/>
    <n v="0.45902777777777781"/>
    <n v="15"/>
    <x v="0"/>
    <x v="0"/>
    <n v="802"/>
    <n v="6"/>
    <s v="February"/>
    <x v="0"/>
    <x v="0"/>
    <x v="0"/>
    <x v="0"/>
  </r>
  <r>
    <s v="SK-00439"/>
    <x v="145"/>
    <x v="351"/>
    <x v="7"/>
    <s v="Denver"/>
    <x v="0"/>
    <n v="0.56944444444444442"/>
    <n v="0.62777777777777777"/>
    <n v="77"/>
    <x v="1"/>
    <x v="0"/>
    <n v="1197"/>
    <n v="84"/>
    <s v="February"/>
    <x v="0"/>
    <x v="1"/>
    <x v="1"/>
    <x v="1"/>
  </r>
  <r>
    <s v="SK-00440"/>
    <x v="145"/>
    <x v="352"/>
    <x v="8"/>
    <s v="Atlanta"/>
    <x v="3"/>
    <n v="0.68402777777777779"/>
    <n v="0.68541666666666667"/>
    <n v="2"/>
    <x v="0"/>
    <x v="0"/>
    <n v="945"/>
    <n v="2"/>
    <s v="February"/>
    <x v="0"/>
    <x v="0"/>
    <x v="1"/>
    <x v="0"/>
  </r>
  <r>
    <s v="SK-00441"/>
    <x v="145"/>
    <x v="353"/>
    <x v="7"/>
    <s v="Las Vegas"/>
    <x v="2"/>
    <n v="0.74305555555555558"/>
    <n v="0.80486111111111114"/>
    <n v="95"/>
    <x v="4"/>
    <x v="0"/>
    <n v="1743"/>
    <n v="89"/>
    <s v="February"/>
    <x v="0"/>
    <x v="1"/>
    <x v="2"/>
    <x v="2"/>
  </r>
  <r>
    <s v="SK-00442"/>
    <x v="145"/>
    <x v="354"/>
    <x v="7"/>
    <s v="Las Vegas"/>
    <x v="0"/>
    <n v="0.85763888888888884"/>
    <n v="0.87638888888888888"/>
    <n v="29"/>
    <x v="2"/>
    <x v="0"/>
    <n v="1743"/>
    <n v="27"/>
    <s v="February"/>
    <x v="0"/>
    <x v="1"/>
    <x v="2"/>
    <x v="1"/>
  </r>
  <r>
    <s v="SK-00443"/>
    <x v="146"/>
    <x v="43"/>
    <x v="11"/>
    <s v="Seattle"/>
    <x v="1"/>
    <n v="0.30555555555555558"/>
    <n v="0.30833333333333329"/>
    <n v="12"/>
    <x v="0"/>
    <x v="0"/>
    <n v="2722"/>
    <n v="4"/>
    <s v="February"/>
    <x v="1"/>
    <x v="0"/>
    <x v="0"/>
    <x v="0"/>
  </r>
  <r>
    <s v="SK-00444"/>
    <x v="146"/>
    <x v="355"/>
    <x v="8"/>
    <s v="Dallas"/>
    <x v="0"/>
    <n v="0.41319444444444442"/>
    <n v="0.41388888888888892"/>
    <n v="1"/>
    <x v="0"/>
    <x v="0"/>
    <n v="1559"/>
    <n v="1"/>
    <s v="February"/>
    <x v="1"/>
    <x v="0"/>
    <x v="0"/>
    <x v="0"/>
  </r>
  <r>
    <s v="SK-00445"/>
    <x v="146"/>
    <x v="76"/>
    <x v="7"/>
    <s v="Las Vegas"/>
    <x v="1"/>
    <n v="0.46875"/>
    <n v="0.48749999999999999"/>
    <n v="19"/>
    <x v="3"/>
    <x v="0"/>
    <n v="1743"/>
    <n v="27"/>
    <s v="February"/>
    <x v="1"/>
    <x v="1"/>
    <x v="0"/>
    <x v="2"/>
  </r>
  <r>
    <s v="SK-00446"/>
    <x v="146"/>
    <x v="356"/>
    <x v="3"/>
    <s v="Dallas"/>
    <x v="0"/>
    <n v="0.69444444444444442"/>
    <n v="0.7"/>
    <n v="12"/>
    <x v="0"/>
    <x v="0"/>
    <n v="1053"/>
    <n v="8"/>
    <s v="February"/>
    <x v="1"/>
    <x v="0"/>
    <x v="1"/>
    <x v="0"/>
  </r>
  <r>
    <s v="SK-00447"/>
    <x v="147"/>
    <x v="116"/>
    <x v="3"/>
    <s v="Denver"/>
    <x v="0"/>
    <n v="0.3298611111111111"/>
    <n v="0.33194444444444438"/>
    <n v="-2"/>
    <x v="0"/>
    <x v="0"/>
    <n v="627"/>
    <n v="3"/>
    <s v="February"/>
    <x v="2"/>
    <x v="0"/>
    <x v="0"/>
    <x v="0"/>
  </r>
  <r>
    <s v="SK-00448"/>
    <x v="147"/>
    <x v="357"/>
    <x v="1"/>
    <s v="Denver"/>
    <x v="2"/>
    <n v="0.46527777777777779"/>
    <n v="0.47361111111111109"/>
    <n v="0"/>
    <x v="0"/>
    <x v="0"/>
    <n v="1622"/>
    <n v="12"/>
    <s v="February"/>
    <x v="2"/>
    <x v="0"/>
    <x v="0"/>
    <x v="0"/>
  </r>
  <r>
    <s v="SK-00449"/>
    <x v="148"/>
    <x v="106"/>
    <x v="7"/>
    <s v="Seattle"/>
    <x v="1"/>
    <n v="0.38541666666666669"/>
    <n v="0.38194444444444442"/>
    <n v="-2"/>
    <x v="0"/>
    <x v="0"/>
    <n v="2178"/>
    <n v="-5"/>
    <s v="February"/>
    <x v="3"/>
    <x v="0"/>
    <x v="0"/>
    <x v="0"/>
  </r>
  <r>
    <s v="SK-00450"/>
    <x v="148"/>
    <x v="133"/>
    <x v="5"/>
    <s v="Los Angeles"/>
    <x v="1"/>
    <n v="0.59722222222222221"/>
    <n v="0.64513888888888893"/>
    <n v="75"/>
    <x v="3"/>
    <x v="0"/>
    <n v="1742"/>
    <n v="69"/>
    <s v="February"/>
    <x v="3"/>
    <x v="1"/>
    <x v="1"/>
    <x v="2"/>
  </r>
  <r>
    <s v="SK-00451"/>
    <x v="149"/>
    <x v="358"/>
    <x v="8"/>
    <s v="Las Vegas"/>
    <x v="2"/>
    <n v="0.57986111111111116"/>
    <n v="0.59652777777777777"/>
    <n v="32"/>
    <x v="1"/>
    <x v="0"/>
    <n v="2375"/>
    <n v="24"/>
    <s v="February"/>
    <x v="4"/>
    <x v="1"/>
    <x v="1"/>
    <x v="1"/>
  </r>
  <r>
    <s v="SK-00452"/>
    <x v="149"/>
    <x v="359"/>
    <x v="5"/>
    <s v="Boston"/>
    <x v="0"/>
    <n v="0.63888888888888884"/>
    <n v="0.64375000000000004"/>
    <n v="6"/>
    <x v="0"/>
    <x v="0"/>
    <n v="864"/>
    <n v="7"/>
    <s v="February"/>
    <x v="4"/>
    <x v="0"/>
    <x v="1"/>
    <x v="0"/>
  </r>
  <r>
    <s v="SK-00453"/>
    <x v="150"/>
    <x v="360"/>
    <x v="7"/>
    <s v="Los Angeles"/>
    <x v="1"/>
    <n v="0.77430555555555558"/>
    <n v="0.78194444444444444"/>
    <n v="18"/>
    <x v="0"/>
    <x v="0"/>
    <n v="1942"/>
    <n v="11"/>
    <s v="February"/>
    <x v="5"/>
    <x v="1"/>
    <x v="2"/>
    <x v="0"/>
  </r>
  <r>
    <s v="SK-00454"/>
    <x v="151"/>
    <x v="97"/>
    <x v="8"/>
    <s v="Miami"/>
    <x v="3"/>
    <n v="0.31597222222222221"/>
    <n v="0.31041666666666667"/>
    <n v="-13"/>
    <x v="0"/>
    <x v="0"/>
    <n v="1260"/>
    <n v="-8"/>
    <s v="February"/>
    <x v="6"/>
    <x v="0"/>
    <x v="0"/>
    <x v="0"/>
  </r>
  <r>
    <s v="SK-00455"/>
    <x v="151"/>
    <x v="179"/>
    <x v="6"/>
    <s v="Chicago"/>
    <x v="2"/>
    <n v="0.4548611111111111"/>
    <n v="0.45555555555555549"/>
    <n v="1"/>
    <x v="0"/>
    <x v="0"/>
    <n v="1842"/>
    <n v="1"/>
    <s v="February"/>
    <x v="6"/>
    <x v="0"/>
    <x v="0"/>
    <x v="0"/>
  </r>
  <r>
    <s v="SK-00456"/>
    <x v="151"/>
    <x v="361"/>
    <x v="11"/>
    <s v="Phoenix"/>
    <x v="0"/>
    <n v="0.73611111111111116"/>
    <m/>
    <m/>
    <x v="3"/>
    <x v="1"/>
    <n v="1969"/>
    <m/>
    <s v="February"/>
    <x v="6"/>
    <x v="2"/>
    <x v="2"/>
    <x v="2"/>
  </r>
  <r>
    <s v="SK-00457"/>
    <x v="152"/>
    <x v="362"/>
    <x v="1"/>
    <s v="Chicago"/>
    <x v="3"/>
    <n v="0.28472222222222221"/>
    <n v="0.28749999999999998"/>
    <n v="7"/>
    <x v="0"/>
    <x v="0"/>
    <n v="738"/>
    <n v="4"/>
    <s v="February"/>
    <x v="0"/>
    <x v="0"/>
    <x v="0"/>
    <x v="0"/>
  </r>
  <r>
    <s v="SK-00458"/>
    <x v="152"/>
    <x v="363"/>
    <x v="9"/>
    <s v="Atlanta"/>
    <x v="3"/>
    <n v="0.67361111111111116"/>
    <m/>
    <n v="1"/>
    <x v="0"/>
    <x v="0"/>
    <n v="1197"/>
    <n v="9"/>
    <s v="February"/>
    <x v="0"/>
    <x v="0"/>
    <x v="1"/>
    <x v="0"/>
  </r>
  <r>
    <s v="SK-00459"/>
    <x v="152"/>
    <x v="81"/>
    <x v="2"/>
    <s v="Atlanta"/>
    <x v="1"/>
    <n v="0.6875"/>
    <n v="0.68680555555555556"/>
    <n v="-11"/>
    <x v="0"/>
    <x v="0"/>
    <n v="730"/>
    <n v="-1"/>
    <s v="February"/>
    <x v="0"/>
    <x v="0"/>
    <x v="1"/>
    <x v="0"/>
  </r>
  <r>
    <s v="SK-00460"/>
    <x v="153"/>
    <x v="364"/>
    <x v="2"/>
    <s v="New York"/>
    <x v="3"/>
    <n v="0.56597222222222221"/>
    <m/>
    <m/>
    <x v="3"/>
    <x v="1"/>
    <n v="1389"/>
    <m/>
    <s v="February"/>
    <x v="1"/>
    <x v="2"/>
    <x v="1"/>
    <x v="2"/>
  </r>
  <r>
    <s v="SK-00461"/>
    <x v="154"/>
    <x v="291"/>
    <x v="7"/>
    <s v="Las Vegas"/>
    <x v="2"/>
    <n v="0.43402777777777779"/>
    <m/>
    <m/>
    <x v="2"/>
    <x v="1"/>
    <n v="1743"/>
    <m/>
    <s v="February"/>
    <x v="2"/>
    <x v="2"/>
    <x v="0"/>
    <x v="1"/>
  </r>
  <r>
    <s v="SK-00462"/>
    <x v="154"/>
    <x v="365"/>
    <x v="9"/>
    <s v="Chicago"/>
    <x v="0"/>
    <n v="0.46875"/>
    <n v="0.46527777777777779"/>
    <n v="0"/>
    <x v="0"/>
    <x v="0"/>
    <n v="886"/>
    <n v="-5"/>
    <s v="February"/>
    <x v="2"/>
    <x v="0"/>
    <x v="0"/>
    <x v="0"/>
  </r>
  <r>
    <s v="SK-00463"/>
    <x v="154"/>
    <x v="366"/>
    <x v="7"/>
    <s v="New York"/>
    <x v="1"/>
    <n v="0.60069444444444442"/>
    <n v="0.66736111111111107"/>
    <n v="90"/>
    <x v="3"/>
    <x v="0"/>
    <n v="759"/>
    <n v="96"/>
    <s v="February"/>
    <x v="2"/>
    <x v="1"/>
    <x v="1"/>
    <x v="2"/>
  </r>
  <r>
    <s v="SK-00464"/>
    <x v="154"/>
    <x v="367"/>
    <x v="2"/>
    <s v="New York"/>
    <x v="1"/>
    <n v="0.72916666666666663"/>
    <n v="0.74236111111111114"/>
    <n v="10"/>
    <x v="2"/>
    <x v="0"/>
    <n v="1389"/>
    <n v="19"/>
    <s v="February"/>
    <x v="2"/>
    <x v="0"/>
    <x v="2"/>
    <x v="1"/>
  </r>
  <r>
    <s v="SK-00465"/>
    <x v="155"/>
    <x v="368"/>
    <x v="2"/>
    <s v="New York"/>
    <x v="0"/>
    <n v="0.41666666666666669"/>
    <n v="0.41597222222222219"/>
    <n v="-8"/>
    <x v="0"/>
    <x v="0"/>
    <n v="1389"/>
    <n v="-1"/>
    <s v="February"/>
    <x v="5"/>
    <x v="0"/>
    <x v="0"/>
    <x v="0"/>
  </r>
  <r>
    <s v="SK-00466"/>
    <x v="155"/>
    <x v="254"/>
    <x v="4"/>
    <s v="New York"/>
    <x v="2"/>
    <n v="0.58333333333333337"/>
    <n v="0.63263888888888886"/>
    <n v="73"/>
    <x v="3"/>
    <x v="0"/>
    <n v="2415"/>
    <n v="71"/>
    <s v="February"/>
    <x v="5"/>
    <x v="1"/>
    <x v="1"/>
    <x v="2"/>
  </r>
  <r>
    <s v="SK-00467"/>
    <x v="155"/>
    <x v="369"/>
    <x v="5"/>
    <s v="Atlanta"/>
    <x v="0"/>
    <n v="0.63888888888888884"/>
    <n v="0.64027777777777772"/>
    <n v="2"/>
    <x v="0"/>
    <x v="0"/>
    <n v="606"/>
    <n v="2"/>
    <s v="February"/>
    <x v="5"/>
    <x v="0"/>
    <x v="1"/>
    <x v="0"/>
  </r>
  <r>
    <s v="SK-00468"/>
    <x v="155"/>
    <x v="257"/>
    <x v="9"/>
    <s v="Atlanta"/>
    <x v="1"/>
    <n v="0.81597222222222221"/>
    <n v="0.83333333333333337"/>
    <n v="13"/>
    <x v="3"/>
    <x v="0"/>
    <n v="1197"/>
    <n v="25"/>
    <s v="February"/>
    <x v="5"/>
    <x v="0"/>
    <x v="2"/>
    <x v="2"/>
  </r>
  <r>
    <s v="SK-00469"/>
    <x v="155"/>
    <x v="370"/>
    <x v="6"/>
    <s v="Chicago"/>
    <x v="0"/>
    <n v="0.91319444444444442"/>
    <m/>
    <n v="47"/>
    <x v="1"/>
    <x v="0"/>
    <n v="1842"/>
    <n v="40"/>
    <s v="February"/>
    <x v="5"/>
    <x v="1"/>
    <x v="3"/>
    <x v="1"/>
  </r>
  <r>
    <s v="SK-00470"/>
    <x v="156"/>
    <x v="371"/>
    <x v="11"/>
    <s v="Phoenix"/>
    <x v="1"/>
    <n v="0.3263888888888889"/>
    <n v="0.32500000000000001"/>
    <n v="4"/>
    <x v="0"/>
    <x v="0"/>
    <n v="1969"/>
    <n v="-2"/>
    <s v="February"/>
    <x v="6"/>
    <x v="0"/>
    <x v="0"/>
    <x v="0"/>
  </r>
  <r>
    <s v="SK-00471"/>
    <x v="156"/>
    <x v="372"/>
    <x v="3"/>
    <s v="Atlanta"/>
    <x v="2"/>
    <n v="0.36458333333333331"/>
    <m/>
    <n v="-5"/>
    <x v="0"/>
    <x v="0"/>
    <n v="1743"/>
    <n v="2"/>
    <s v="February"/>
    <x v="6"/>
    <x v="0"/>
    <x v="0"/>
    <x v="0"/>
  </r>
  <r>
    <s v="SK-00472"/>
    <x v="156"/>
    <x v="373"/>
    <x v="1"/>
    <s v="Denver"/>
    <x v="2"/>
    <n v="0.625"/>
    <n v="0.64375000000000004"/>
    <n v="25"/>
    <x v="3"/>
    <x v="0"/>
    <n v="1622"/>
    <n v="27"/>
    <s v="February"/>
    <x v="6"/>
    <x v="1"/>
    <x v="1"/>
    <x v="2"/>
  </r>
  <r>
    <s v="SK-00473"/>
    <x v="156"/>
    <x v="374"/>
    <x v="10"/>
    <s v="San Francisco"/>
    <x v="2"/>
    <n v="0.66666666666666663"/>
    <n v="0.67291666666666672"/>
    <n v="10"/>
    <x v="0"/>
    <x v="0"/>
    <n v="651"/>
    <n v="9"/>
    <s v="February"/>
    <x v="6"/>
    <x v="0"/>
    <x v="1"/>
    <x v="0"/>
  </r>
  <r>
    <s v="SK-00474"/>
    <x v="157"/>
    <x v="17"/>
    <x v="2"/>
    <s v="Los Angeles"/>
    <x v="2"/>
    <n v="0.30902777777777779"/>
    <n v="0.30486111111111108"/>
    <n v="-2"/>
    <x v="0"/>
    <x v="0"/>
    <n v="1232"/>
    <n v="-6"/>
    <s v="February"/>
    <x v="0"/>
    <x v="0"/>
    <x v="0"/>
    <x v="0"/>
  </r>
  <r>
    <s v="SK-00475"/>
    <x v="157"/>
    <x v="375"/>
    <x v="7"/>
    <s v="Phoenix"/>
    <x v="2"/>
    <n v="0.50347222222222221"/>
    <n v="0.50555555555555554"/>
    <n v="-3"/>
    <x v="0"/>
    <x v="0"/>
    <n v="1584"/>
    <n v="3"/>
    <s v="February"/>
    <x v="0"/>
    <x v="0"/>
    <x v="1"/>
    <x v="0"/>
  </r>
  <r>
    <s v="SK-00476"/>
    <x v="158"/>
    <x v="376"/>
    <x v="11"/>
    <s v="Chicago"/>
    <x v="0"/>
    <n v="0.43055555555555558"/>
    <n v="0.44305555555555548"/>
    <n v="20"/>
    <x v="1"/>
    <x v="0"/>
    <n v="1199"/>
    <n v="18"/>
    <s v="February"/>
    <x v="1"/>
    <x v="1"/>
    <x v="0"/>
    <x v="1"/>
  </r>
  <r>
    <s v="SK-00477"/>
    <x v="158"/>
    <x v="377"/>
    <x v="2"/>
    <s v="Seattle"/>
    <x v="0"/>
    <n v="0.70138888888888884"/>
    <n v="0.7055555555555556"/>
    <n v="12"/>
    <x v="0"/>
    <x v="0"/>
    <n v="1658"/>
    <n v="6"/>
    <s v="February"/>
    <x v="1"/>
    <x v="0"/>
    <x v="1"/>
    <x v="0"/>
  </r>
  <r>
    <s v="SK-00478"/>
    <x v="159"/>
    <x v="132"/>
    <x v="3"/>
    <s v="Dallas"/>
    <x v="0"/>
    <n v="0.21527777777777779"/>
    <n v="0.21111111111111111"/>
    <n v="-16"/>
    <x v="0"/>
    <x v="0"/>
    <n v="1053"/>
    <n v="-6"/>
    <s v="February"/>
    <x v="2"/>
    <x v="0"/>
    <x v="0"/>
    <x v="0"/>
  </r>
  <r>
    <s v="SK-00479"/>
    <x v="159"/>
    <x v="378"/>
    <x v="3"/>
    <s v="New York"/>
    <x v="1"/>
    <n v="0.28819444444444442"/>
    <n v="0.29097222222222219"/>
    <n v="-3"/>
    <x v="0"/>
    <x v="0"/>
    <n v="2243"/>
    <n v="4"/>
    <s v="February"/>
    <x v="2"/>
    <x v="0"/>
    <x v="0"/>
    <x v="0"/>
  </r>
  <r>
    <s v="SK-00480"/>
    <x v="160"/>
    <x v="379"/>
    <x v="7"/>
    <s v="Chicago"/>
    <x v="2"/>
    <n v="0.40625"/>
    <n v="0.42499999999999999"/>
    <n v="27"/>
    <x v="4"/>
    <x v="0"/>
    <n v="606"/>
    <n v="27"/>
    <s v="February"/>
    <x v="3"/>
    <x v="1"/>
    <x v="0"/>
    <x v="2"/>
  </r>
  <r>
    <s v="SK-00481"/>
    <x v="160"/>
    <x v="380"/>
    <x v="0"/>
    <s v="Denver"/>
    <x v="1"/>
    <n v="0.40625"/>
    <n v="0.4284722222222222"/>
    <n v="18"/>
    <x v="2"/>
    <x v="0"/>
    <n v="861"/>
    <n v="32"/>
    <s v="February"/>
    <x v="3"/>
    <x v="1"/>
    <x v="0"/>
    <x v="1"/>
  </r>
  <r>
    <s v="SK-00482"/>
    <x v="160"/>
    <x v="381"/>
    <x v="2"/>
    <s v="Miami"/>
    <x v="3"/>
    <n v="0.55208333333333337"/>
    <n v="0.55347222222222225"/>
    <n v="7"/>
    <x v="0"/>
    <x v="0"/>
    <m/>
    <n v="2"/>
    <s v="February"/>
    <x v="3"/>
    <x v="0"/>
    <x v="1"/>
    <x v="0"/>
  </r>
  <r>
    <s v="SK-00483"/>
    <x v="160"/>
    <x v="382"/>
    <x v="8"/>
    <s v="New York"/>
    <x v="0"/>
    <n v="0.68402777777777779"/>
    <n v="0.8354166666666667"/>
    <n v="213"/>
    <x v="5"/>
    <x v="0"/>
    <n v="186"/>
    <n v="218"/>
    <s v="February"/>
    <x v="3"/>
    <x v="1"/>
    <x v="1"/>
    <x v="2"/>
  </r>
  <r>
    <s v="SK-00484"/>
    <x v="160"/>
    <x v="212"/>
    <x v="2"/>
    <s v="Boston"/>
    <x v="1"/>
    <n v="0.6875"/>
    <n v="0.68819444444444444"/>
    <n v="-9"/>
    <x v="0"/>
    <x v="0"/>
    <n v="1559"/>
    <n v="1"/>
    <s v="February"/>
    <x v="3"/>
    <x v="0"/>
    <x v="1"/>
    <x v="0"/>
  </r>
  <r>
    <s v="SK-00485"/>
    <x v="160"/>
    <x v="114"/>
    <x v="3"/>
    <s v="Atlanta"/>
    <x v="1"/>
    <n v="0.71875"/>
    <n v="0.75416666666666665"/>
    <n v="56"/>
    <x v="3"/>
    <x v="0"/>
    <n v="1743"/>
    <n v="51"/>
    <s v="February"/>
    <x v="3"/>
    <x v="1"/>
    <x v="2"/>
    <x v="2"/>
  </r>
  <r>
    <s v="SK-00486"/>
    <x v="161"/>
    <x v="383"/>
    <x v="10"/>
    <s v="Denver"/>
    <x v="0"/>
    <n v="0.41319444444444442"/>
    <n v="0.4201388888888889"/>
    <n v="12"/>
    <x v="0"/>
    <x v="0"/>
    <n v="602"/>
    <n v="10"/>
    <s v="February"/>
    <x v="4"/>
    <x v="0"/>
    <x v="0"/>
    <x v="0"/>
  </r>
  <r>
    <s v="SK-00487"/>
    <x v="161"/>
    <x v="346"/>
    <x v="0"/>
    <s v="Denver"/>
    <x v="0"/>
    <n v="0.47569444444444442"/>
    <n v="0.47083333333333333"/>
    <n v="-12"/>
    <x v="0"/>
    <x v="0"/>
    <n v="861"/>
    <n v="-7"/>
    <s v="February"/>
    <x v="4"/>
    <x v="0"/>
    <x v="0"/>
    <x v="0"/>
  </r>
  <r>
    <s v="SK-00488"/>
    <x v="161"/>
    <x v="384"/>
    <x v="5"/>
    <s v="Dallas"/>
    <x v="0"/>
    <n v="0.59375"/>
    <n v="0.59236111111111112"/>
    <n v="6"/>
    <x v="0"/>
    <x v="0"/>
    <n v="802"/>
    <n v="-2"/>
    <s v="February"/>
    <x v="4"/>
    <x v="0"/>
    <x v="1"/>
    <x v="0"/>
  </r>
  <r>
    <s v="SK-00489"/>
    <x v="161"/>
    <x v="40"/>
    <x v="10"/>
    <s v="Atlanta"/>
    <x v="1"/>
    <n v="0.69791666666666663"/>
    <n v="0.69652777777777775"/>
    <n v="0"/>
    <x v="0"/>
    <x v="0"/>
    <n v="1584"/>
    <n v="-2"/>
    <s v="February"/>
    <x v="4"/>
    <x v="0"/>
    <x v="1"/>
    <x v="0"/>
  </r>
  <r>
    <s v="SK-00490"/>
    <x v="161"/>
    <x v="381"/>
    <x v="4"/>
    <s v="Atlanta"/>
    <x v="2"/>
    <n v="0.89236111111111116"/>
    <n v="0.90833333333333333"/>
    <n v="28"/>
    <x v="5"/>
    <x v="0"/>
    <n v="2178"/>
    <n v="23"/>
    <s v="February"/>
    <x v="4"/>
    <x v="1"/>
    <x v="3"/>
    <x v="2"/>
  </r>
  <r>
    <s v="SK-00491"/>
    <x v="162"/>
    <x v="132"/>
    <x v="7"/>
    <s v="Dallas"/>
    <x v="0"/>
    <n v="0.54166666666666663"/>
    <n v="0.53888888888888886"/>
    <n v="-11"/>
    <x v="0"/>
    <x v="0"/>
    <n v="730"/>
    <n v="-4"/>
    <s v="February"/>
    <x v="5"/>
    <x v="0"/>
    <x v="1"/>
    <x v="0"/>
  </r>
  <r>
    <s v="SK-00492"/>
    <x v="163"/>
    <x v="385"/>
    <x v="8"/>
    <s v="Dallas"/>
    <x v="1"/>
    <n v="0.49305555555555558"/>
    <n v="0.51111111111111107"/>
    <n v="32"/>
    <x v="3"/>
    <x v="0"/>
    <n v="1559"/>
    <n v="26"/>
    <s v="February"/>
    <x v="6"/>
    <x v="1"/>
    <x v="0"/>
    <x v="2"/>
  </r>
  <r>
    <s v="SK-00493"/>
    <x v="163"/>
    <x v="356"/>
    <x v="5"/>
    <s v="Boston"/>
    <x v="2"/>
    <n v="0.63541666666666663"/>
    <n v="0.6381944444444444"/>
    <n v="-2"/>
    <x v="0"/>
    <x v="0"/>
    <n v="864"/>
    <n v="4"/>
    <s v="February"/>
    <x v="6"/>
    <x v="0"/>
    <x v="1"/>
    <x v="0"/>
  </r>
  <r>
    <s v="SK-00494"/>
    <x v="164"/>
    <x v="303"/>
    <x v="8"/>
    <s v="Atlanta"/>
    <x v="0"/>
    <n v="0.34722222222222221"/>
    <n v="0.3611111111111111"/>
    <m/>
    <x v="3"/>
    <x v="0"/>
    <n v="945"/>
    <n v="20"/>
    <s v="February"/>
    <x v="0"/>
    <x v="2"/>
    <x v="0"/>
    <x v="2"/>
  </r>
  <r>
    <s v="SK-00495"/>
    <x v="164"/>
    <x v="332"/>
    <x v="3"/>
    <s v="Phoenix"/>
    <x v="0"/>
    <n v="0.35416666666666669"/>
    <n v="0.35555555555555562"/>
    <n v="-9"/>
    <x v="0"/>
    <x v="0"/>
    <n v="256"/>
    <n v="2"/>
    <s v="February"/>
    <x v="0"/>
    <x v="0"/>
    <x v="0"/>
    <x v="0"/>
  </r>
  <r>
    <s v="SK-00496"/>
    <x v="164"/>
    <x v="386"/>
    <x v="9"/>
    <s v="Atlanta"/>
    <x v="3"/>
    <n v="0.69444444444444442"/>
    <n v="0.70138888888888884"/>
    <n v="4"/>
    <x v="0"/>
    <x v="0"/>
    <n v="1197"/>
    <n v="10"/>
    <s v="February"/>
    <x v="0"/>
    <x v="0"/>
    <x v="1"/>
    <x v="0"/>
  </r>
  <r>
    <s v="SK-00497"/>
    <x v="164"/>
    <x v="266"/>
    <x v="1"/>
    <s v="Atlanta"/>
    <x v="3"/>
    <n v="0.90625"/>
    <n v="0.90347222222222223"/>
    <n v="6"/>
    <x v="0"/>
    <x v="0"/>
    <n v="759"/>
    <n v="-4"/>
    <s v="February"/>
    <x v="0"/>
    <x v="0"/>
    <x v="3"/>
    <x v="0"/>
  </r>
  <r>
    <s v="SK-00498"/>
    <x v="165"/>
    <x v="387"/>
    <x v="11"/>
    <s v="Chicago"/>
    <x v="3"/>
    <n v="0.29166666666666669"/>
    <n v="0.28680555555555548"/>
    <n v="-12"/>
    <x v="0"/>
    <x v="0"/>
    <n v="1199"/>
    <n v="-7"/>
    <s v="February"/>
    <x v="1"/>
    <x v="0"/>
    <x v="0"/>
    <x v="0"/>
  </r>
  <r>
    <s v="SK-00499"/>
    <x v="165"/>
    <x v="388"/>
    <x v="5"/>
    <s v="Boston"/>
    <x v="0"/>
    <n v="0.44791666666666669"/>
    <n v="0.4465277777777778"/>
    <n v="1"/>
    <x v="0"/>
    <x v="0"/>
    <n v="864"/>
    <n v="-2"/>
    <s v="February"/>
    <x v="1"/>
    <x v="0"/>
    <x v="0"/>
    <x v="0"/>
  </r>
  <r>
    <s v="SK-00500"/>
    <x v="165"/>
    <x v="389"/>
    <x v="5"/>
    <s v="Dallas"/>
    <x v="1"/>
    <n v="0.63541666666666663"/>
    <n v="0.64236111111111116"/>
    <n v="-1"/>
    <x v="0"/>
    <x v="0"/>
    <n v="802"/>
    <n v="10"/>
    <s v="February"/>
    <x v="1"/>
    <x v="0"/>
    <x v="1"/>
    <x v="0"/>
  </r>
  <r>
    <s v="SK-00501"/>
    <x v="165"/>
    <x v="97"/>
    <x v="7"/>
    <s v="Chicago"/>
    <x v="0"/>
    <n v="0.67013888888888884"/>
    <n v="0.66597222222222219"/>
    <n v="-11"/>
    <x v="0"/>
    <x v="0"/>
    <n v="606"/>
    <n v="-6"/>
    <s v="February"/>
    <x v="1"/>
    <x v="0"/>
    <x v="1"/>
    <x v="0"/>
  </r>
  <r>
    <s v="SK-00502"/>
    <x v="165"/>
    <x v="390"/>
    <x v="0"/>
    <s v="Boston"/>
    <x v="0"/>
    <n v="0.76041666666666663"/>
    <n v="0.80208333333333337"/>
    <n v="48"/>
    <x v="1"/>
    <x v="0"/>
    <n v="2606"/>
    <n v="60"/>
    <s v="February"/>
    <x v="1"/>
    <x v="1"/>
    <x v="2"/>
    <x v="1"/>
  </r>
  <r>
    <s v="SK-00503"/>
    <x v="165"/>
    <x v="391"/>
    <x v="11"/>
    <s v="Atlanta"/>
    <x v="2"/>
    <n v="0.82638888888888884"/>
    <n v="0.82847222222222228"/>
    <n v="6"/>
    <x v="0"/>
    <x v="0"/>
    <n v="596"/>
    <n v="3"/>
    <s v="February"/>
    <x v="1"/>
    <x v="0"/>
    <x v="2"/>
    <x v="0"/>
  </r>
  <r>
    <s v="SK-00504"/>
    <x v="166"/>
    <x v="392"/>
    <x v="1"/>
    <s v="Miami"/>
    <x v="1"/>
    <n v="0.38541666666666669"/>
    <n v="0.38333333333333341"/>
    <n v="-13"/>
    <x v="0"/>
    <x v="0"/>
    <n v="1092"/>
    <n v="-3"/>
    <s v="February"/>
    <x v="2"/>
    <x v="0"/>
    <x v="0"/>
    <x v="0"/>
  </r>
  <r>
    <s v="SK-00505"/>
    <x v="166"/>
    <x v="393"/>
    <x v="0"/>
    <s v="Dallas"/>
    <x v="1"/>
    <n v="0.70486111111111116"/>
    <n v="0.70972222222222225"/>
    <n v="15"/>
    <x v="0"/>
    <x v="0"/>
    <n v="1232"/>
    <n v="7"/>
    <s v="February"/>
    <x v="2"/>
    <x v="0"/>
    <x v="1"/>
    <x v="0"/>
  </r>
  <r>
    <s v="SK-00506"/>
    <x v="166"/>
    <x v="394"/>
    <x v="3"/>
    <s v="Boston"/>
    <x v="0"/>
    <n v="0.76736111111111116"/>
    <n v="0.77361111111111114"/>
    <n v="-2"/>
    <x v="0"/>
    <x v="0"/>
    <n v="2375"/>
    <n v="9"/>
    <s v="February"/>
    <x v="2"/>
    <x v="0"/>
    <x v="2"/>
    <x v="0"/>
  </r>
  <r>
    <s v="SK-00507"/>
    <x v="166"/>
    <x v="395"/>
    <x v="9"/>
    <s v="New York"/>
    <x v="2"/>
    <n v="0.78125"/>
    <n v="0.80138888888888893"/>
    <n v="28"/>
    <x v="3"/>
    <x v="0"/>
    <n v="1622"/>
    <n v="29"/>
    <s v="February"/>
    <x v="2"/>
    <x v="1"/>
    <x v="2"/>
    <x v="2"/>
  </r>
  <r>
    <s v="SK-00508"/>
    <x v="167"/>
    <x v="40"/>
    <x v="7"/>
    <s v="Los Angeles"/>
    <x v="3"/>
    <n v="0.3263888888888889"/>
    <n v="0.35486111111111113"/>
    <n v="39"/>
    <x v="1"/>
    <x v="0"/>
    <n v="1942"/>
    <n v="41"/>
    <s v="February"/>
    <x v="4"/>
    <x v="1"/>
    <x v="0"/>
    <x v="1"/>
  </r>
  <r>
    <s v="SK-00509"/>
    <x v="167"/>
    <x v="396"/>
    <x v="0"/>
    <s v="Atlanta"/>
    <x v="3"/>
    <n v="0.47569444444444442"/>
    <m/>
    <m/>
    <x v="2"/>
    <x v="1"/>
    <n v="1942"/>
    <m/>
    <s v="February"/>
    <x v="4"/>
    <x v="2"/>
    <x v="0"/>
    <x v="1"/>
  </r>
  <r>
    <s v="SK-00510"/>
    <x v="167"/>
    <x v="174"/>
    <x v="9"/>
    <s v="Chicago"/>
    <x v="0"/>
    <n v="0.72569444444444442"/>
    <n v="0.72916666666666663"/>
    <n v="10"/>
    <x v="0"/>
    <x v="0"/>
    <n v="886"/>
    <n v="5"/>
    <s v="February"/>
    <x v="4"/>
    <x v="0"/>
    <x v="2"/>
    <x v="0"/>
  </r>
  <r>
    <s v="SK-00511"/>
    <x v="167"/>
    <x v="397"/>
    <x v="11"/>
    <s v="Chicago"/>
    <x v="2"/>
    <n v="0.74305555555555558"/>
    <n v="0.78055555555555556"/>
    <n v="48"/>
    <x v="1"/>
    <x v="0"/>
    <n v="1199"/>
    <n v="54"/>
    <s v="February"/>
    <x v="4"/>
    <x v="1"/>
    <x v="2"/>
    <x v="1"/>
  </r>
  <r>
    <s v="SK-00512"/>
    <x v="168"/>
    <x v="398"/>
    <x v="10"/>
    <s v="Dallas"/>
    <x v="3"/>
    <n v="0.53125"/>
    <n v="0.53680555555555554"/>
    <n v="4"/>
    <x v="0"/>
    <x v="0"/>
    <n v="866"/>
    <n v="8"/>
    <s v="February"/>
    <x v="5"/>
    <x v="0"/>
    <x v="1"/>
    <x v="0"/>
  </r>
  <r>
    <s v="SK-00513"/>
    <x v="168"/>
    <x v="241"/>
    <x v="11"/>
    <s v="San Francisco"/>
    <x v="1"/>
    <n v="0.71875"/>
    <m/>
    <m/>
    <x v="3"/>
    <x v="1"/>
    <n v="2582"/>
    <m/>
    <s v="February"/>
    <x v="5"/>
    <x v="2"/>
    <x v="2"/>
    <x v="2"/>
  </r>
  <r>
    <s v="SK-00514"/>
    <x v="168"/>
    <x v="399"/>
    <x v="0"/>
    <s v="Phoenix"/>
    <x v="3"/>
    <n v="0.74305555555555558"/>
    <n v="0.76458333333333328"/>
    <n v="31"/>
    <x v="2"/>
    <x v="0"/>
    <n v="370"/>
    <n v="31"/>
    <s v="February"/>
    <x v="5"/>
    <x v="1"/>
    <x v="2"/>
    <x v="1"/>
  </r>
  <r>
    <s v="SK-00515"/>
    <x v="169"/>
    <x v="400"/>
    <x v="2"/>
    <s v="Denver"/>
    <x v="0"/>
    <n v="0.27430555555555558"/>
    <n v="0.27638888888888891"/>
    <n v="-5"/>
    <x v="0"/>
    <x v="0"/>
    <n v="641"/>
    <n v="3"/>
    <s v="March"/>
    <x v="6"/>
    <x v="0"/>
    <x v="0"/>
    <x v="0"/>
  </r>
  <r>
    <s v="SK-00516"/>
    <x v="169"/>
    <x v="46"/>
    <x v="5"/>
    <s v="San Francisco"/>
    <x v="1"/>
    <n v="0.3923611111111111"/>
    <n v="0.39444444444444438"/>
    <n v="-9"/>
    <x v="0"/>
    <x v="0"/>
    <n v="1842"/>
    <n v="3"/>
    <s v="March"/>
    <x v="6"/>
    <x v="0"/>
    <x v="0"/>
    <x v="0"/>
  </r>
  <r>
    <s v="SK-00517"/>
    <x v="169"/>
    <x v="401"/>
    <x v="4"/>
    <s v="Chicago"/>
    <x v="0"/>
    <n v="0.41666666666666669"/>
    <n v="0.41597222222222219"/>
    <n v="-10"/>
    <x v="0"/>
    <x v="0"/>
    <n v="1717"/>
    <n v="-1"/>
    <s v="March"/>
    <x v="6"/>
    <x v="0"/>
    <x v="0"/>
    <x v="0"/>
  </r>
  <r>
    <s v="SK-00518"/>
    <x v="169"/>
    <x v="249"/>
    <x v="0"/>
    <s v="Chicago"/>
    <x v="2"/>
    <n v="0.71875"/>
    <n v="0.73611111111111116"/>
    <n v="16"/>
    <x v="1"/>
    <x v="0"/>
    <n v="1742"/>
    <n v="25"/>
    <s v="March"/>
    <x v="6"/>
    <x v="1"/>
    <x v="2"/>
    <x v="1"/>
  </r>
  <r>
    <s v="SK-00519"/>
    <x v="170"/>
    <x v="402"/>
    <x v="10"/>
    <s v="Seattle"/>
    <x v="3"/>
    <n v="0.30902777777777779"/>
    <n v="0.3125"/>
    <n v="2"/>
    <x v="0"/>
    <x v="0"/>
    <n v="1108"/>
    <n v="5"/>
    <s v="March"/>
    <x v="0"/>
    <x v="0"/>
    <x v="0"/>
    <x v="0"/>
  </r>
  <r>
    <s v="SK-00520"/>
    <x v="170"/>
    <x v="403"/>
    <x v="7"/>
    <s v="Dallas"/>
    <x v="0"/>
    <n v="0.46875"/>
    <n v="0.47152777777777782"/>
    <n v="9"/>
    <x v="0"/>
    <x v="0"/>
    <n v="730"/>
    <n v="4"/>
    <s v="March"/>
    <x v="0"/>
    <x v="0"/>
    <x v="0"/>
    <x v="0"/>
  </r>
  <r>
    <s v="SK-00521"/>
    <x v="170"/>
    <x v="404"/>
    <x v="0"/>
    <s v="Atlanta"/>
    <x v="1"/>
    <n v="0.71180555555555558"/>
    <n v="0.70833333333333337"/>
    <n v="4"/>
    <x v="0"/>
    <x v="0"/>
    <n v="1942"/>
    <n v="-5"/>
    <s v="March"/>
    <x v="0"/>
    <x v="0"/>
    <x v="2"/>
    <x v="0"/>
  </r>
  <r>
    <s v="SK-00522"/>
    <x v="170"/>
    <x v="405"/>
    <x v="9"/>
    <s v="Atlanta"/>
    <x v="3"/>
    <n v="0.73611111111111116"/>
    <n v="0.82361111111111107"/>
    <n v="127"/>
    <x v="1"/>
    <x v="0"/>
    <n v="1197"/>
    <n v="126"/>
    <s v="March"/>
    <x v="0"/>
    <x v="1"/>
    <x v="2"/>
    <x v="1"/>
  </r>
  <r>
    <s v="SK-00523"/>
    <x v="170"/>
    <x v="156"/>
    <x v="2"/>
    <s v="Atlanta"/>
    <x v="0"/>
    <n v="0.74305555555555558"/>
    <n v="0.74375000000000002"/>
    <n v="4"/>
    <x v="0"/>
    <x v="0"/>
    <n v="730"/>
    <n v="1"/>
    <s v="March"/>
    <x v="0"/>
    <x v="0"/>
    <x v="2"/>
    <x v="0"/>
  </r>
  <r>
    <s v="SK-00524"/>
    <x v="171"/>
    <x v="406"/>
    <x v="5"/>
    <s v="Los Angeles"/>
    <x v="1"/>
    <n v="0.32291666666666669"/>
    <n v="0.31944444444444442"/>
    <n v="-6"/>
    <x v="0"/>
    <x v="0"/>
    <n v="1742"/>
    <n v="-5"/>
    <s v="March"/>
    <x v="1"/>
    <x v="0"/>
    <x v="0"/>
    <x v="0"/>
  </r>
  <r>
    <s v="SK-00525"/>
    <x v="171"/>
    <x v="407"/>
    <x v="2"/>
    <s v="Atlanta"/>
    <x v="0"/>
    <n v="0.51736111111111116"/>
    <n v="0.54305555555555551"/>
    <n v="32"/>
    <x v="3"/>
    <x v="0"/>
    <n v="730"/>
    <n v="37"/>
    <s v="March"/>
    <x v="1"/>
    <x v="1"/>
    <x v="1"/>
    <x v="2"/>
  </r>
  <r>
    <s v="SK-00526"/>
    <x v="172"/>
    <x v="402"/>
    <x v="9"/>
    <s v="New York"/>
    <x v="3"/>
    <n v="0.35416666666666669"/>
    <n v="0.35138888888888892"/>
    <n v="-11"/>
    <x v="0"/>
    <x v="0"/>
    <n v="1622"/>
    <n v="-4"/>
    <s v="March"/>
    <x v="2"/>
    <x v="0"/>
    <x v="0"/>
    <x v="0"/>
  </r>
  <r>
    <s v="SK-00527"/>
    <x v="172"/>
    <x v="313"/>
    <x v="9"/>
    <s v="Los Angeles"/>
    <x v="0"/>
    <n v="0.4826388888888889"/>
    <n v="0.47986111111111113"/>
    <n v="-1"/>
    <x v="0"/>
    <x v="0"/>
    <n v="861"/>
    <n v="-4"/>
    <s v="March"/>
    <x v="2"/>
    <x v="0"/>
    <x v="0"/>
    <x v="0"/>
  </r>
  <r>
    <s v="SK-00528"/>
    <x v="172"/>
    <x v="3"/>
    <x v="2"/>
    <s v="Atlanta"/>
    <x v="0"/>
    <n v="0.71875"/>
    <n v="0.71527777777777779"/>
    <n v="-9"/>
    <x v="0"/>
    <x v="0"/>
    <n v="730"/>
    <n v="-5"/>
    <s v="March"/>
    <x v="2"/>
    <x v="0"/>
    <x v="2"/>
    <x v="0"/>
  </r>
  <r>
    <s v="SK-00529"/>
    <x v="172"/>
    <x v="408"/>
    <x v="0"/>
    <s v="Miami"/>
    <x v="0"/>
    <n v="0.92708333333333337"/>
    <n v="0.9291666666666667"/>
    <n v="9"/>
    <x v="0"/>
    <x v="0"/>
    <n v="2338"/>
    <n v="3"/>
    <s v="March"/>
    <x v="2"/>
    <x v="0"/>
    <x v="3"/>
    <x v="0"/>
  </r>
  <r>
    <s v="SK-00530"/>
    <x v="173"/>
    <x v="409"/>
    <x v="9"/>
    <s v="Atlanta"/>
    <x v="1"/>
    <n v="0.51041666666666663"/>
    <n v="0.5131944444444444"/>
    <n v="8"/>
    <x v="0"/>
    <x v="0"/>
    <n v="1197"/>
    <n v="4"/>
    <s v="March"/>
    <x v="4"/>
    <x v="0"/>
    <x v="1"/>
    <x v="0"/>
  </r>
  <r>
    <s v="SK-00531"/>
    <x v="174"/>
    <x v="410"/>
    <x v="4"/>
    <s v="Los Angeles"/>
    <x v="0"/>
    <n v="0.31944444444444442"/>
    <n v="0.3215277777777778"/>
    <n v="-8"/>
    <x v="0"/>
    <x v="0"/>
    <n v="955"/>
    <n v="3"/>
    <s v="March"/>
    <x v="5"/>
    <x v="0"/>
    <x v="0"/>
    <x v="0"/>
  </r>
  <r>
    <s v="SK-00532"/>
    <x v="174"/>
    <x v="69"/>
    <x v="7"/>
    <s v="Phoenix"/>
    <x v="3"/>
    <n v="0.4861111111111111"/>
    <n v="0.49791666666666667"/>
    <n v="2"/>
    <x v="1"/>
    <x v="0"/>
    <n v="1584"/>
    <n v="17"/>
    <s v="March"/>
    <x v="5"/>
    <x v="0"/>
    <x v="0"/>
    <x v="1"/>
  </r>
  <r>
    <s v="SK-00533"/>
    <x v="175"/>
    <x v="411"/>
    <x v="0"/>
    <s v="Dallas"/>
    <x v="1"/>
    <n v="0.47916666666666669"/>
    <n v="0.47986111111111113"/>
    <n v="4"/>
    <x v="0"/>
    <x v="0"/>
    <n v="1232"/>
    <n v="1"/>
    <s v="March"/>
    <x v="6"/>
    <x v="0"/>
    <x v="0"/>
    <x v="0"/>
  </r>
  <r>
    <s v="SK-00534"/>
    <x v="176"/>
    <x v="412"/>
    <x v="11"/>
    <s v="Phoenix"/>
    <x v="0"/>
    <n v="0.77083333333333337"/>
    <n v="0.84236111111111112"/>
    <n v="100"/>
    <x v="4"/>
    <x v="0"/>
    <n v="1969"/>
    <n v="103"/>
    <s v="March"/>
    <x v="0"/>
    <x v="1"/>
    <x v="2"/>
    <x v="2"/>
  </r>
  <r>
    <s v="SK-00535"/>
    <x v="177"/>
    <x v="245"/>
    <x v="1"/>
    <s v="Denver"/>
    <x v="1"/>
    <n v="0.59027777777777779"/>
    <n v="0.59861111111111109"/>
    <n v="13"/>
    <x v="0"/>
    <x v="0"/>
    <n v="1622"/>
    <n v="12"/>
    <s v="March"/>
    <x v="1"/>
    <x v="0"/>
    <x v="1"/>
    <x v="0"/>
  </r>
  <r>
    <s v="SK-00536"/>
    <x v="177"/>
    <x v="206"/>
    <x v="2"/>
    <s v="San Francisco"/>
    <x v="0"/>
    <n v="0.79513888888888884"/>
    <n v="0.7993055555555556"/>
    <n v="8"/>
    <x v="0"/>
    <x v="0"/>
    <n v="1462"/>
    <n v="6"/>
    <s v="March"/>
    <x v="1"/>
    <x v="0"/>
    <x v="2"/>
    <x v="0"/>
  </r>
  <r>
    <s v="SK-00537"/>
    <x v="178"/>
    <x v="413"/>
    <x v="7"/>
    <s v="Dallas"/>
    <x v="0"/>
    <n v="0.39930555555555558"/>
    <n v="0.39583333333333331"/>
    <n v="-3"/>
    <x v="0"/>
    <x v="0"/>
    <n v="730"/>
    <n v="-5"/>
    <s v="March"/>
    <x v="2"/>
    <x v="0"/>
    <x v="0"/>
    <x v="0"/>
  </r>
  <r>
    <s v="SK-00538"/>
    <x v="178"/>
    <x v="224"/>
    <x v="1"/>
    <s v="Los Angeles"/>
    <x v="0"/>
    <n v="0.49305555555555558"/>
    <n v="0.49166666666666659"/>
    <n v="0"/>
    <x v="0"/>
    <x v="0"/>
    <n v="2470"/>
    <n v="-2"/>
    <s v="March"/>
    <x v="2"/>
    <x v="0"/>
    <x v="0"/>
    <x v="0"/>
  </r>
  <r>
    <s v="SK-00539"/>
    <x v="179"/>
    <x v="414"/>
    <x v="5"/>
    <s v="Dallas"/>
    <x v="1"/>
    <n v="0.72569444444444442"/>
    <n v="0.72847222222222219"/>
    <n v="3"/>
    <x v="0"/>
    <x v="0"/>
    <n v="802"/>
    <n v="4"/>
    <s v="March"/>
    <x v="3"/>
    <x v="0"/>
    <x v="2"/>
    <x v="0"/>
  </r>
  <r>
    <s v="SK-00540"/>
    <x v="179"/>
    <x v="39"/>
    <x v="5"/>
    <s v="Atlanta"/>
    <x v="1"/>
    <n v="0.77083333333333337"/>
    <n v="0.77500000000000002"/>
    <n v="4"/>
    <x v="0"/>
    <x v="0"/>
    <n v="606"/>
    <n v="6"/>
    <s v="March"/>
    <x v="3"/>
    <x v="0"/>
    <x v="2"/>
    <x v="0"/>
  </r>
  <r>
    <s v="SK-00541"/>
    <x v="180"/>
    <x v="264"/>
    <x v="5"/>
    <s v="Seattle"/>
    <x v="1"/>
    <n v="0.31944444444444442"/>
    <n v="0.33750000000000002"/>
    <n v="26"/>
    <x v="3"/>
    <x v="0"/>
    <n v="1717"/>
    <n v="26"/>
    <s v="March"/>
    <x v="5"/>
    <x v="1"/>
    <x v="0"/>
    <x v="2"/>
  </r>
  <r>
    <s v="SK-00542"/>
    <x v="180"/>
    <x v="415"/>
    <x v="0"/>
    <s v="Phoenix"/>
    <x v="3"/>
    <n v="0.63888888888888884"/>
    <n v="0.63402777777777775"/>
    <n v="-16"/>
    <x v="0"/>
    <x v="0"/>
    <n v="370"/>
    <n v="-7"/>
    <s v="March"/>
    <x v="5"/>
    <x v="0"/>
    <x v="1"/>
    <x v="0"/>
  </r>
  <r>
    <s v="SK-00543"/>
    <x v="180"/>
    <x v="416"/>
    <x v="0"/>
    <s v="Atlanta"/>
    <x v="2"/>
    <n v="0.80208333333333337"/>
    <n v="0.80486111111111114"/>
    <n v="-5"/>
    <x v="0"/>
    <x v="0"/>
    <n v="1942"/>
    <n v="4"/>
    <s v="March"/>
    <x v="5"/>
    <x v="0"/>
    <x v="2"/>
    <x v="0"/>
  </r>
  <r>
    <s v="SK-00544"/>
    <x v="181"/>
    <x v="417"/>
    <x v="5"/>
    <s v="Atlanta"/>
    <x v="0"/>
    <n v="0.57291666666666663"/>
    <n v="0.59861111111111109"/>
    <n v="35"/>
    <x v="2"/>
    <x v="0"/>
    <n v="606"/>
    <n v="37"/>
    <s v="March"/>
    <x v="6"/>
    <x v="1"/>
    <x v="1"/>
    <x v="1"/>
  </r>
  <r>
    <s v="SK-00545"/>
    <x v="181"/>
    <x v="418"/>
    <x v="7"/>
    <s v="Denver"/>
    <x v="2"/>
    <n v="0.58680555555555558"/>
    <m/>
    <m/>
    <x v="2"/>
    <x v="1"/>
    <n v="1197"/>
    <m/>
    <s v="March"/>
    <x v="6"/>
    <x v="2"/>
    <x v="1"/>
    <x v="1"/>
  </r>
  <r>
    <s v="SK-00546"/>
    <x v="182"/>
    <x v="314"/>
    <x v="1"/>
    <s v="Los Angeles"/>
    <x v="2"/>
    <n v="0.25"/>
    <n v="0.32430555555555562"/>
    <n v="95"/>
    <x v="2"/>
    <x v="0"/>
    <n v="2470"/>
    <n v="107"/>
    <s v="March"/>
    <x v="0"/>
    <x v="1"/>
    <x v="0"/>
    <x v="1"/>
  </r>
  <r>
    <s v="SK-00547"/>
    <x v="182"/>
    <x v="419"/>
    <x v="2"/>
    <s v="Chicago"/>
    <x v="3"/>
    <n v="0.78819444444444442"/>
    <n v="0.80277777777777781"/>
    <n v="19"/>
    <x v="4"/>
    <x v="0"/>
    <n v="802"/>
    <n v="21"/>
    <s v="March"/>
    <x v="0"/>
    <x v="1"/>
    <x v="2"/>
    <x v="2"/>
  </r>
  <r>
    <s v="SK-00548"/>
    <x v="183"/>
    <x v="420"/>
    <x v="5"/>
    <s v="San Francisco"/>
    <x v="2"/>
    <n v="0.5625"/>
    <n v="0.56944444444444442"/>
    <n v="17"/>
    <x v="0"/>
    <x v="0"/>
    <n v="1842"/>
    <n v="10"/>
    <s v="March"/>
    <x v="1"/>
    <x v="1"/>
    <x v="1"/>
    <x v="0"/>
  </r>
  <r>
    <s v="SK-00549"/>
    <x v="183"/>
    <x v="421"/>
    <x v="8"/>
    <s v="Chicago"/>
    <x v="1"/>
    <n v="0.66319444444444442"/>
    <n v="0.66041666666666665"/>
    <n v="-4"/>
    <x v="0"/>
    <x v="0"/>
    <n v="864"/>
    <n v="-4"/>
    <s v="March"/>
    <x v="1"/>
    <x v="0"/>
    <x v="1"/>
    <x v="0"/>
  </r>
  <r>
    <s v="SK-00550"/>
    <x v="183"/>
    <x v="422"/>
    <x v="5"/>
    <s v="Dallas"/>
    <x v="1"/>
    <n v="0.78125"/>
    <n v="0.78472222222222221"/>
    <n v="-2"/>
    <x v="0"/>
    <x v="0"/>
    <n v="802"/>
    <n v="5"/>
    <s v="March"/>
    <x v="1"/>
    <x v="0"/>
    <x v="2"/>
    <x v="0"/>
  </r>
  <r>
    <s v="SK-00551"/>
    <x v="184"/>
    <x v="291"/>
    <x v="5"/>
    <s v="New York"/>
    <x v="2"/>
    <n v="0.2638888888888889"/>
    <n v="0.2951388888888889"/>
    <n v="50"/>
    <x v="2"/>
    <x v="0"/>
    <n v="738"/>
    <n v="45"/>
    <s v="March"/>
    <x v="2"/>
    <x v="1"/>
    <x v="0"/>
    <x v="1"/>
  </r>
  <r>
    <s v="SK-00552"/>
    <x v="184"/>
    <x v="423"/>
    <x v="9"/>
    <s v="San Francisco"/>
    <x v="2"/>
    <n v="0.46875"/>
    <n v="0.46666666666666667"/>
    <n v="-7"/>
    <x v="0"/>
    <x v="0"/>
    <n v="965"/>
    <n v="-3"/>
    <s v="March"/>
    <x v="2"/>
    <x v="0"/>
    <x v="0"/>
    <x v="0"/>
  </r>
  <r>
    <s v="SK-00553"/>
    <x v="184"/>
    <x v="226"/>
    <x v="7"/>
    <s v="Boston"/>
    <x v="2"/>
    <n v="0.59722222222222221"/>
    <n v="0.70416666666666672"/>
    <n v="153"/>
    <x v="1"/>
    <x v="0"/>
    <n v="945"/>
    <n v="154"/>
    <s v="March"/>
    <x v="2"/>
    <x v="1"/>
    <x v="1"/>
    <x v="1"/>
  </r>
  <r>
    <s v="SK-00554"/>
    <x v="184"/>
    <x v="424"/>
    <x v="7"/>
    <s v="Chicago"/>
    <x v="2"/>
    <n v="0.60069444444444442"/>
    <n v="0.60555555555555551"/>
    <n v="-1"/>
    <x v="0"/>
    <x v="0"/>
    <n v="606"/>
    <n v="7"/>
    <s v="March"/>
    <x v="2"/>
    <x v="0"/>
    <x v="1"/>
    <x v="0"/>
  </r>
  <r>
    <s v="SK-00555"/>
    <x v="185"/>
    <x v="223"/>
    <x v="11"/>
    <s v="Chicago"/>
    <x v="1"/>
    <n v="0.4826388888888889"/>
    <n v="0.48194444444444451"/>
    <n v="-3"/>
    <x v="0"/>
    <x v="0"/>
    <n v="1199"/>
    <n v="-1"/>
    <s v="March"/>
    <x v="3"/>
    <x v="0"/>
    <x v="0"/>
    <x v="0"/>
  </r>
  <r>
    <s v="SK-00556"/>
    <x v="185"/>
    <x v="4"/>
    <x v="7"/>
    <s v="New York"/>
    <x v="0"/>
    <n v="0.64930555555555558"/>
    <n v="0.64652777777777781"/>
    <n v="-1"/>
    <x v="0"/>
    <x v="0"/>
    <n v="759"/>
    <n v="-4"/>
    <s v="March"/>
    <x v="3"/>
    <x v="0"/>
    <x v="1"/>
    <x v="0"/>
  </r>
  <r>
    <s v="SK-00557"/>
    <x v="185"/>
    <x v="7"/>
    <x v="5"/>
    <s v="Atlanta"/>
    <x v="2"/>
    <n v="0.76736111111111116"/>
    <n v="0.76458333333333328"/>
    <n v="-9"/>
    <x v="0"/>
    <x v="0"/>
    <n v="606"/>
    <n v="-4"/>
    <s v="March"/>
    <x v="3"/>
    <x v="0"/>
    <x v="2"/>
    <x v="0"/>
  </r>
  <r>
    <s v="SK-00558"/>
    <x v="186"/>
    <x v="324"/>
    <x v="2"/>
    <s v="Chicago"/>
    <x v="2"/>
    <n v="0.47569444444444442"/>
    <n v="0.4826388888888889"/>
    <n v="6"/>
    <x v="0"/>
    <x v="0"/>
    <n v="802"/>
    <n v="10"/>
    <s v="March"/>
    <x v="4"/>
    <x v="0"/>
    <x v="0"/>
    <x v="0"/>
  </r>
  <r>
    <s v="SK-00559"/>
    <x v="186"/>
    <x v="425"/>
    <x v="9"/>
    <s v="New York"/>
    <x v="0"/>
    <n v="0.65277777777777779"/>
    <n v="0.65"/>
    <n v="-14"/>
    <x v="0"/>
    <x v="0"/>
    <n v="1622"/>
    <n v="-4"/>
    <s v="March"/>
    <x v="4"/>
    <x v="0"/>
    <x v="1"/>
    <x v="0"/>
  </r>
  <r>
    <s v="SK-00560"/>
    <x v="187"/>
    <x v="426"/>
    <x v="8"/>
    <s v="Atlanta"/>
    <x v="1"/>
    <n v="0.34722222222222221"/>
    <n v="0.35347222222222219"/>
    <n v="-2"/>
    <x v="0"/>
    <x v="0"/>
    <n v="945"/>
    <n v="9"/>
    <s v="March"/>
    <x v="5"/>
    <x v="0"/>
    <x v="0"/>
    <x v="0"/>
  </r>
  <r>
    <s v="SK-00561"/>
    <x v="187"/>
    <x v="427"/>
    <x v="9"/>
    <s v="Chicago"/>
    <x v="1"/>
    <n v="0.74305555555555558"/>
    <n v="0.73819444444444449"/>
    <n v="-16"/>
    <x v="0"/>
    <x v="0"/>
    <n v="886"/>
    <n v="-7"/>
    <s v="March"/>
    <x v="5"/>
    <x v="0"/>
    <x v="2"/>
    <x v="0"/>
  </r>
  <r>
    <s v="SK-00562"/>
    <x v="188"/>
    <x v="428"/>
    <x v="7"/>
    <s v="New York"/>
    <x v="2"/>
    <n v="0.30208333333333331"/>
    <n v="0.31041666666666667"/>
    <n v="17"/>
    <x v="0"/>
    <x v="0"/>
    <n v="759"/>
    <n v="12"/>
    <s v="March"/>
    <x v="6"/>
    <x v="1"/>
    <x v="0"/>
    <x v="0"/>
  </r>
  <r>
    <s v="SK-00563"/>
    <x v="188"/>
    <x v="407"/>
    <x v="7"/>
    <s v="Chicago"/>
    <x v="2"/>
    <n v="0.46180555555555558"/>
    <n v="0.46944444444444439"/>
    <n v="18"/>
    <x v="0"/>
    <x v="0"/>
    <n v="606"/>
    <n v="11"/>
    <s v="March"/>
    <x v="6"/>
    <x v="1"/>
    <x v="0"/>
    <x v="0"/>
  </r>
  <r>
    <s v="SK-00564"/>
    <x v="188"/>
    <x v="389"/>
    <x v="0"/>
    <s v="Phoenix"/>
    <x v="1"/>
    <n v="0.67708333333333337"/>
    <n v="0.68263888888888891"/>
    <n v="9"/>
    <x v="0"/>
    <x v="0"/>
    <n v="370"/>
    <n v="8"/>
    <s v="March"/>
    <x v="6"/>
    <x v="0"/>
    <x v="1"/>
    <x v="0"/>
  </r>
  <r>
    <s v="SK-00565"/>
    <x v="188"/>
    <x v="421"/>
    <x v="2"/>
    <s v="Atlanta"/>
    <x v="0"/>
    <n v="0.76041666666666663"/>
    <n v="0.77777777777777779"/>
    <n v="10"/>
    <x v="2"/>
    <x v="0"/>
    <n v="730"/>
    <n v="25"/>
    <s v="March"/>
    <x v="6"/>
    <x v="0"/>
    <x v="2"/>
    <x v="1"/>
  </r>
  <r>
    <s v="SK-00566"/>
    <x v="188"/>
    <x v="427"/>
    <x v="10"/>
    <s v="Dallas"/>
    <x v="1"/>
    <n v="0.77083333333333337"/>
    <n v="0.81805555555555554"/>
    <n v="59"/>
    <x v="2"/>
    <x v="0"/>
    <n v="866"/>
    <n v="68"/>
    <s v="March"/>
    <x v="6"/>
    <x v="1"/>
    <x v="2"/>
    <x v="1"/>
  </r>
  <r>
    <s v="SK-00567"/>
    <x v="188"/>
    <x v="352"/>
    <x v="2"/>
    <s v="Phoenix"/>
    <x v="2"/>
    <n v="0.90972222222222221"/>
    <n v="0.91527777777777775"/>
    <n v="14"/>
    <x v="0"/>
    <x v="0"/>
    <n v="866"/>
    <n v="8"/>
    <s v="March"/>
    <x v="6"/>
    <x v="0"/>
    <x v="3"/>
    <x v="0"/>
  </r>
  <r>
    <s v="SK-00568"/>
    <x v="188"/>
    <x v="333"/>
    <x v="4"/>
    <s v="Phoenix"/>
    <x v="2"/>
    <n v="0.95138888888888884"/>
    <n v="0.99583333333333335"/>
    <n v="62"/>
    <x v="2"/>
    <x v="0"/>
    <n v="1108"/>
    <n v="64"/>
    <s v="March"/>
    <x v="6"/>
    <x v="1"/>
    <x v="3"/>
    <x v="1"/>
  </r>
  <r>
    <s v="SK-00569"/>
    <x v="189"/>
    <x v="33"/>
    <x v="9"/>
    <s v="Dallas"/>
    <x v="2"/>
    <n v="0.35416666666666669"/>
    <n v="0.44861111111111113"/>
    <n v="140"/>
    <x v="1"/>
    <x v="0"/>
    <n v="641"/>
    <n v="136"/>
    <s v="March"/>
    <x v="0"/>
    <x v="1"/>
    <x v="0"/>
    <x v="1"/>
  </r>
  <r>
    <s v="SK-00570"/>
    <x v="190"/>
    <x v="429"/>
    <x v="7"/>
    <s v="Denver"/>
    <x v="2"/>
    <n v="0.65277777777777779"/>
    <m/>
    <m/>
    <x v="3"/>
    <x v="1"/>
    <n v="1197"/>
    <m/>
    <s v="March"/>
    <x v="1"/>
    <x v="2"/>
    <x v="1"/>
    <x v="2"/>
  </r>
  <r>
    <s v="SK-00571"/>
    <x v="191"/>
    <x v="430"/>
    <x v="8"/>
    <s v="Seattle"/>
    <x v="1"/>
    <n v="0.2986111111111111"/>
    <n v="0.30625000000000002"/>
    <n v="8"/>
    <x v="0"/>
    <x v="0"/>
    <n v="2489"/>
    <n v="11"/>
    <s v="March"/>
    <x v="2"/>
    <x v="0"/>
    <x v="0"/>
    <x v="0"/>
  </r>
  <r>
    <s v="SK-00572"/>
    <x v="191"/>
    <x v="431"/>
    <x v="0"/>
    <s v="New York"/>
    <x v="1"/>
    <n v="0.39583333333333331"/>
    <n v="0.3972222222222222"/>
    <n v="12"/>
    <x v="0"/>
    <x v="0"/>
    <n v="2470"/>
    <n v="2"/>
    <s v="March"/>
    <x v="2"/>
    <x v="0"/>
    <x v="0"/>
    <x v="0"/>
  </r>
  <r>
    <s v="SK-00573"/>
    <x v="192"/>
    <x v="432"/>
    <x v="2"/>
    <s v="Chicago"/>
    <x v="0"/>
    <n v="0.64930555555555558"/>
    <n v="0.65416666666666667"/>
    <n v="3"/>
    <x v="0"/>
    <x v="0"/>
    <n v="802"/>
    <n v="7"/>
    <s v="March"/>
    <x v="3"/>
    <x v="0"/>
    <x v="1"/>
    <x v="0"/>
  </r>
  <r>
    <s v="SK-00574"/>
    <x v="192"/>
    <x v="433"/>
    <x v="5"/>
    <s v="New York"/>
    <x v="1"/>
    <n v="0.86458333333333337"/>
    <n v="0.88541666666666663"/>
    <n v="17"/>
    <x v="1"/>
    <x v="0"/>
    <n v="738"/>
    <n v="30"/>
    <s v="March"/>
    <x v="3"/>
    <x v="1"/>
    <x v="2"/>
    <x v="1"/>
  </r>
  <r>
    <s v="SK-00575"/>
    <x v="193"/>
    <x v="359"/>
    <x v="5"/>
    <s v="Atlanta"/>
    <x v="0"/>
    <n v="0.55902777777777779"/>
    <n v="0.56180555555555556"/>
    <n v="3"/>
    <x v="0"/>
    <x v="0"/>
    <n v="606"/>
    <n v="4"/>
    <s v="March"/>
    <x v="4"/>
    <x v="0"/>
    <x v="1"/>
    <x v="0"/>
  </r>
  <r>
    <s v="SK-00576"/>
    <x v="193"/>
    <x v="291"/>
    <x v="1"/>
    <s v="Seattle"/>
    <x v="2"/>
    <n v="0.60069444444444442"/>
    <n v="0.63888888888888884"/>
    <n v="51"/>
    <x v="2"/>
    <x v="0"/>
    <n v="2415"/>
    <m/>
    <s v="March"/>
    <x v="4"/>
    <x v="1"/>
    <x v="1"/>
    <x v="1"/>
  </r>
  <r>
    <s v="SK-00577"/>
    <x v="193"/>
    <x v="423"/>
    <x v="5"/>
    <s v="Boston"/>
    <x v="2"/>
    <n v="0.72916666666666663"/>
    <n v="0.73402777777777772"/>
    <n v="-1"/>
    <x v="0"/>
    <x v="0"/>
    <n v="864"/>
    <n v="7"/>
    <s v="March"/>
    <x v="4"/>
    <x v="0"/>
    <x v="2"/>
    <x v="0"/>
  </r>
  <r>
    <s v="SK-00578"/>
    <x v="194"/>
    <x v="48"/>
    <x v="3"/>
    <s v="Atlanta"/>
    <x v="3"/>
    <n v="0.2673611111111111"/>
    <n v="0.27986111111111112"/>
    <n v="13"/>
    <x v="1"/>
    <x v="0"/>
    <n v="1743"/>
    <n v="18"/>
    <s v="March"/>
    <x v="5"/>
    <x v="0"/>
    <x v="0"/>
    <x v="1"/>
  </r>
  <r>
    <s v="SK-00579"/>
    <x v="194"/>
    <x v="399"/>
    <x v="11"/>
    <s v="Los Angeles"/>
    <x v="0"/>
    <n v="0.33333333333333331"/>
    <n v="0.33124999999999999"/>
    <n v="-4"/>
    <x v="0"/>
    <x v="0"/>
    <n v="2338"/>
    <n v="-3"/>
    <s v="March"/>
    <x v="5"/>
    <x v="0"/>
    <x v="0"/>
    <x v="0"/>
  </r>
  <r>
    <s v="SK-00580"/>
    <x v="194"/>
    <x v="418"/>
    <x v="0"/>
    <s v="Chicago"/>
    <x v="2"/>
    <n v="0.41666666666666669"/>
    <n v="0.43055555555555558"/>
    <n v="7"/>
    <x v="2"/>
    <x v="0"/>
    <n v="1742"/>
    <n v="20"/>
    <s v="March"/>
    <x v="5"/>
    <x v="0"/>
    <x v="0"/>
    <x v="1"/>
  </r>
  <r>
    <s v="SK-00581"/>
    <x v="194"/>
    <x v="434"/>
    <x v="1"/>
    <s v="Boston"/>
    <x v="3"/>
    <n v="0.62152777777777779"/>
    <n v="0.62222222222222223"/>
    <n v="-8"/>
    <x v="0"/>
    <x v="0"/>
    <n v="186"/>
    <n v="1"/>
    <s v="March"/>
    <x v="5"/>
    <x v="0"/>
    <x v="1"/>
    <x v="0"/>
  </r>
  <r>
    <s v="SK-00582"/>
    <x v="195"/>
    <x v="435"/>
    <x v="4"/>
    <s v="Chicago"/>
    <x v="0"/>
    <n v="0.30902777777777779"/>
    <n v="0.3347222222222222"/>
    <n v="33"/>
    <x v="3"/>
    <x v="0"/>
    <n v="1717"/>
    <n v="37"/>
    <s v="March"/>
    <x v="6"/>
    <x v="1"/>
    <x v="0"/>
    <x v="2"/>
  </r>
  <r>
    <s v="SK-00583"/>
    <x v="195"/>
    <x v="436"/>
    <x v="1"/>
    <s v="Chicago"/>
    <x v="1"/>
    <n v="0.34722222222222221"/>
    <n v="0.34236111111111112"/>
    <n v="-12"/>
    <x v="0"/>
    <x v="0"/>
    <n v="738"/>
    <n v="-7"/>
    <s v="March"/>
    <x v="6"/>
    <x v="0"/>
    <x v="0"/>
    <x v="0"/>
  </r>
  <r>
    <s v="SK-00584"/>
    <x v="195"/>
    <x v="437"/>
    <x v="8"/>
    <s v="San Francisco"/>
    <x v="3"/>
    <n v="0.53125"/>
    <n v="0.53541666666666665"/>
    <n v="14"/>
    <x v="0"/>
    <x v="0"/>
    <n v="2698"/>
    <n v="6"/>
    <s v="March"/>
    <x v="6"/>
    <x v="0"/>
    <x v="1"/>
    <x v="0"/>
  </r>
  <r>
    <s v="SK-00585"/>
    <x v="196"/>
    <x v="282"/>
    <x v="3"/>
    <s v="Boston"/>
    <x v="1"/>
    <n v="0.27083333333333331"/>
    <n v="0.26805555555555549"/>
    <n v="-8"/>
    <x v="0"/>
    <x v="0"/>
    <n v="2375"/>
    <n v="-4"/>
    <s v="March"/>
    <x v="0"/>
    <x v="0"/>
    <x v="0"/>
    <x v="0"/>
  </r>
  <r>
    <s v="SK-00586"/>
    <x v="196"/>
    <x v="438"/>
    <x v="2"/>
    <s v="Seattle"/>
    <x v="0"/>
    <n v="0.58333333333333337"/>
    <n v="0.59097222222222223"/>
    <n v="3"/>
    <x v="0"/>
    <x v="0"/>
    <n v="1658"/>
    <n v="11"/>
    <s v="March"/>
    <x v="0"/>
    <x v="0"/>
    <x v="1"/>
    <x v="0"/>
  </r>
  <r>
    <s v="SK-00587"/>
    <x v="197"/>
    <x v="313"/>
    <x v="7"/>
    <s v="Chicago"/>
    <x v="1"/>
    <n v="0.46180555555555558"/>
    <n v="0.46597222222222218"/>
    <n v="-1"/>
    <x v="0"/>
    <x v="0"/>
    <n v="606"/>
    <n v="6"/>
    <s v="March"/>
    <x v="1"/>
    <x v="0"/>
    <x v="0"/>
    <x v="0"/>
  </r>
  <r>
    <s v="SK-00588"/>
    <x v="197"/>
    <x v="439"/>
    <x v="1"/>
    <s v="San Francisco"/>
    <x v="3"/>
    <n v="0.70833333333333337"/>
    <n v="0.7055555555555556"/>
    <n v="-14"/>
    <x v="0"/>
    <x v="0"/>
    <n v="2580"/>
    <n v="-4"/>
    <s v="March"/>
    <x v="1"/>
    <x v="0"/>
    <x v="2"/>
    <x v="0"/>
  </r>
  <r>
    <s v="SK-00589"/>
    <x v="198"/>
    <x v="439"/>
    <x v="7"/>
    <s v="Seattle"/>
    <x v="1"/>
    <n v="0.40277777777777779"/>
    <n v="0.4"/>
    <n v="2"/>
    <x v="0"/>
    <x v="0"/>
    <n v="2178"/>
    <n v="-4"/>
    <s v="April"/>
    <x v="2"/>
    <x v="0"/>
    <x v="0"/>
    <x v="0"/>
  </r>
  <r>
    <s v="SK-00590"/>
    <x v="198"/>
    <x v="90"/>
    <x v="5"/>
    <s v="Dallas"/>
    <x v="2"/>
    <n v="0.46527777777777779"/>
    <n v="0.46666666666666667"/>
    <n v="2"/>
    <x v="0"/>
    <x v="0"/>
    <n v="802"/>
    <n v="2"/>
    <s v="April"/>
    <x v="2"/>
    <x v="0"/>
    <x v="0"/>
    <x v="0"/>
  </r>
  <r>
    <s v="SK-00591"/>
    <x v="198"/>
    <x v="440"/>
    <x v="7"/>
    <s v="New York"/>
    <x v="0"/>
    <n v="0.53819444444444442"/>
    <n v="0.54305555555555551"/>
    <n v="5"/>
    <x v="0"/>
    <x v="0"/>
    <n v="759"/>
    <n v="7"/>
    <s v="April"/>
    <x v="2"/>
    <x v="0"/>
    <x v="1"/>
    <x v="0"/>
  </r>
  <r>
    <s v="SK-00592"/>
    <x v="198"/>
    <x v="82"/>
    <x v="2"/>
    <s v="San Francisco"/>
    <x v="3"/>
    <n v="0.65625"/>
    <n v="0.65486111111111112"/>
    <n v="-6"/>
    <x v="0"/>
    <x v="0"/>
    <n v="1462"/>
    <n v="-2"/>
    <s v="April"/>
    <x v="2"/>
    <x v="0"/>
    <x v="1"/>
    <x v="0"/>
  </r>
  <r>
    <s v="SK-00593"/>
    <x v="198"/>
    <x v="109"/>
    <x v="8"/>
    <s v="Phoenix"/>
    <x v="1"/>
    <n v="0.87847222222222221"/>
    <n v="0.89444444444444449"/>
    <n v="11"/>
    <x v="2"/>
    <x v="0"/>
    <n v="2295"/>
    <n v="23"/>
    <s v="April"/>
    <x v="2"/>
    <x v="0"/>
    <x v="3"/>
    <x v="1"/>
  </r>
  <r>
    <s v="SK-00594"/>
    <x v="199"/>
    <x v="2"/>
    <x v="6"/>
    <s v="Atlanta"/>
    <x v="2"/>
    <n v="0.46180555555555558"/>
    <n v="0.50555555555555554"/>
    <n v="67"/>
    <x v="1"/>
    <x v="0"/>
    <n v="2134"/>
    <n v="63"/>
    <s v="April"/>
    <x v="3"/>
    <x v="1"/>
    <x v="0"/>
    <x v="1"/>
  </r>
  <r>
    <s v="SK-00595"/>
    <x v="200"/>
    <x v="441"/>
    <x v="7"/>
    <s v="Phoenix"/>
    <x v="2"/>
    <n v="0.3611111111111111"/>
    <n v="0.3611111111111111"/>
    <n v="-12"/>
    <x v="0"/>
    <x v="0"/>
    <n v="1584"/>
    <n v="0"/>
    <s v="April"/>
    <x v="4"/>
    <x v="0"/>
    <x v="0"/>
    <x v="0"/>
  </r>
  <r>
    <s v="SK-00596"/>
    <x v="200"/>
    <x v="402"/>
    <x v="7"/>
    <s v="Chicago"/>
    <x v="0"/>
    <n v="0.86111111111111116"/>
    <n v="0.91388888888888886"/>
    <n v="65"/>
    <x v="4"/>
    <x v="0"/>
    <n v="606"/>
    <n v="76"/>
    <s v="April"/>
    <x v="4"/>
    <x v="1"/>
    <x v="2"/>
    <x v="2"/>
  </r>
  <r>
    <s v="SK-00597"/>
    <x v="201"/>
    <x v="442"/>
    <x v="9"/>
    <s v="San Francisco"/>
    <x v="0"/>
    <n v="0.31597222222222221"/>
    <n v="0.33055555555555549"/>
    <n v="13"/>
    <x v="4"/>
    <x v="0"/>
    <n v="965"/>
    <n v="21"/>
    <s v="April"/>
    <x v="5"/>
    <x v="0"/>
    <x v="0"/>
    <x v="2"/>
  </r>
  <r>
    <s v="SK-00598"/>
    <x v="201"/>
    <x v="443"/>
    <x v="4"/>
    <s v="San Francisco"/>
    <x v="1"/>
    <n v="0.87152777777777779"/>
    <n v="0.87291666666666667"/>
    <n v="7"/>
    <x v="0"/>
    <x v="0"/>
    <n v="679"/>
    <n v="2"/>
    <s v="April"/>
    <x v="5"/>
    <x v="0"/>
    <x v="2"/>
    <x v="0"/>
  </r>
  <r>
    <s v="SK-00599"/>
    <x v="202"/>
    <x v="396"/>
    <x v="0"/>
    <s v="Seattle"/>
    <x v="0"/>
    <n v="0.4548611111111111"/>
    <n v="0.53541666666666665"/>
    <n v="112"/>
    <x v="3"/>
    <x v="0"/>
    <n v="955"/>
    <n v="116"/>
    <s v="April"/>
    <x v="6"/>
    <x v="1"/>
    <x v="0"/>
    <x v="2"/>
  </r>
  <r>
    <s v="SK-00600"/>
    <x v="202"/>
    <x v="444"/>
    <x v="4"/>
    <s v="Boston"/>
    <x v="0"/>
    <n v="0.69444444444444442"/>
    <n v="0.70902777777777781"/>
    <n v="18"/>
    <x v="2"/>
    <x v="0"/>
    <n v="2489"/>
    <n v="21"/>
    <s v="April"/>
    <x v="6"/>
    <x v="1"/>
    <x v="1"/>
    <x v="1"/>
  </r>
  <r>
    <s v="SK-00601"/>
    <x v="203"/>
    <x v="445"/>
    <x v="9"/>
    <s v="Atlanta"/>
    <x v="0"/>
    <n v="0.45833333333333331"/>
    <n v="0.49236111111111108"/>
    <n v="41"/>
    <x v="3"/>
    <x v="0"/>
    <n v="1197"/>
    <n v="49"/>
    <s v="April"/>
    <x v="0"/>
    <x v="1"/>
    <x v="0"/>
    <x v="2"/>
  </r>
  <r>
    <s v="SK-00602"/>
    <x v="203"/>
    <x v="40"/>
    <x v="10"/>
    <s v="Denver"/>
    <x v="3"/>
    <n v="0.63194444444444442"/>
    <n v="0.6333333333333333"/>
    <n v="10"/>
    <x v="0"/>
    <x v="0"/>
    <n v="602"/>
    <n v="2"/>
    <s v="April"/>
    <x v="0"/>
    <x v="0"/>
    <x v="1"/>
    <x v="0"/>
  </r>
  <r>
    <s v="SK-00603"/>
    <x v="203"/>
    <x v="446"/>
    <x v="7"/>
    <s v="Denver"/>
    <x v="2"/>
    <n v="0.66319444444444442"/>
    <n v="0.66111111111111109"/>
    <n v="-8"/>
    <x v="0"/>
    <x v="0"/>
    <n v="1197"/>
    <n v="-3"/>
    <s v="April"/>
    <x v="0"/>
    <x v="0"/>
    <x v="1"/>
    <x v="0"/>
  </r>
  <r>
    <s v="SK-00604"/>
    <x v="203"/>
    <x v="447"/>
    <x v="10"/>
    <s v="New York"/>
    <x v="1"/>
    <n v="0.73958333333333337"/>
    <n v="0.74236111111111114"/>
    <n v="9"/>
    <x v="0"/>
    <x v="0"/>
    <n v="2149"/>
    <n v="4"/>
    <s v="April"/>
    <x v="0"/>
    <x v="0"/>
    <x v="2"/>
    <x v="0"/>
  </r>
  <r>
    <s v="SK-00605"/>
    <x v="204"/>
    <x v="111"/>
    <x v="7"/>
    <s v="Los Angeles"/>
    <x v="1"/>
    <n v="0.26041666666666669"/>
    <n v="0.25763888888888892"/>
    <n v="-15"/>
    <x v="0"/>
    <x v="0"/>
    <n v="1942"/>
    <n v="-4"/>
    <s v="April"/>
    <x v="1"/>
    <x v="0"/>
    <x v="0"/>
    <x v="0"/>
  </r>
  <r>
    <s v="SK-00606"/>
    <x v="204"/>
    <x v="448"/>
    <x v="9"/>
    <s v="Los Angeles"/>
    <x v="0"/>
    <n v="0.51388888888888884"/>
    <n v="0.52083333333333337"/>
    <n v="9"/>
    <x v="0"/>
    <x v="0"/>
    <n v="861"/>
    <n v="10"/>
    <s v="April"/>
    <x v="1"/>
    <x v="0"/>
    <x v="1"/>
    <x v="0"/>
  </r>
  <r>
    <s v="SK-00607"/>
    <x v="204"/>
    <x v="449"/>
    <x v="2"/>
    <s v="Boston"/>
    <x v="2"/>
    <n v="0.51736111111111116"/>
    <n v="0.5180555555555556"/>
    <n v="4"/>
    <x v="0"/>
    <x v="0"/>
    <n v="1559"/>
    <n v="1"/>
    <s v="April"/>
    <x v="1"/>
    <x v="0"/>
    <x v="1"/>
    <x v="0"/>
  </r>
  <r>
    <s v="SK-00608"/>
    <x v="204"/>
    <x v="409"/>
    <x v="2"/>
    <s v="Chicago"/>
    <x v="2"/>
    <n v="0.58333333333333337"/>
    <n v="0.60486111111111107"/>
    <n v="21"/>
    <x v="1"/>
    <x v="0"/>
    <n v="802"/>
    <n v="31"/>
    <s v="April"/>
    <x v="1"/>
    <x v="1"/>
    <x v="1"/>
    <x v="1"/>
  </r>
  <r>
    <s v="SK-00609"/>
    <x v="204"/>
    <x v="409"/>
    <x v="11"/>
    <s v="Boston"/>
    <x v="1"/>
    <n v="0.76041666666666663"/>
    <n v="0.75763888888888886"/>
    <n v="4"/>
    <x v="0"/>
    <x v="0"/>
    <n v="1260"/>
    <n v="-4"/>
    <s v="April"/>
    <x v="1"/>
    <x v="0"/>
    <x v="2"/>
    <x v="0"/>
  </r>
  <r>
    <s v="SK-00610"/>
    <x v="204"/>
    <x v="314"/>
    <x v="0"/>
    <s v="Chicago"/>
    <x v="0"/>
    <n v="0.86458333333333337"/>
    <n v="0.90694444444444444"/>
    <n v="49"/>
    <x v="1"/>
    <x v="0"/>
    <n v="1742"/>
    <n v="61"/>
    <s v="April"/>
    <x v="1"/>
    <x v="1"/>
    <x v="2"/>
    <x v="1"/>
  </r>
  <r>
    <s v="SK-00611"/>
    <x v="205"/>
    <x v="426"/>
    <x v="0"/>
    <s v="Dallas"/>
    <x v="1"/>
    <n v="0.59375"/>
    <n v="0.58819444444444446"/>
    <n v="-9"/>
    <x v="0"/>
    <x v="0"/>
    <n v="1232"/>
    <n v="-8"/>
    <s v="April"/>
    <x v="2"/>
    <x v="0"/>
    <x v="1"/>
    <x v="0"/>
  </r>
  <r>
    <s v="SK-00612"/>
    <x v="205"/>
    <x v="450"/>
    <x v="11"/>
    <s v="Chicago"/>
    <x v="2"/>
    <n v="0.64236111111111116"/>
    <n v="0.64930555555555558"/>
    <n v="16"/>
    <x v="0"/>
    <x v="0"/>
    <n v="1199"/>
    <n v="10"/>
    <s v="April"/>
    <x v="2"/>
    <x v="1"/>
    <x v="1"/>
    <x v="0"/>
  </r>
  <r>
    <s v="SK-00613"/>
    <x v="206"/>
    <x v="411"/>
    <x v="7"/>
    <s v="Dallas"/>
    <x v="3"/>
    <n v="0.79513888888888884"/>
    <n v="0.7944444444444444"/>
    <n v="-9"/>
    <x v="0"/>
    <x v="0"/>
    <n v="730"/>
    <m/>
    <s v="April"/>
    <x v="3"/>
    <x v="0"/>
    <x v="2"/>
    <x v="0"/>
  </r>
  <r>
    <s v="SK-00614"/>
    <x v="207"/>
    <x v="312"/>
    <x v="4"/>
    <s v="New York"/>
    <x v="3"/>
    <n v="0.63888888888888884"/>
    <n v="0.65069444444444446"/>
    <n v="13"/>
    <x v="2"/>
    <x v="0"/>
    <n v="2415"/>
    <n v="17"/>
    <s v="April"/>
    <x v="4"/>
    <x v="0"/>
    <x v="1"/>
    <x v="1"/>
  </r>
  <r>
    <s v="SK-00615"/>
    <x v="208"/>
    <x v="65"/>
    <x v="6"/>
    <s v="New York"/>
    <x v="1"/>
    <n v="0.25347222222222221"/>
    <n v="0.25347222222222221"/>
    <n v="-1"/>
    <x v="0"/>
    <x v="0"/>
    <n v="2580"/>
    <n v="0"/>
    <s v="April"/>
    <x v="5"/>
    <x v="0"/>
    <x v="0"/>
    <x v="0"/>
  </r>
  <r>
    <s v="SK-00616"/>
    <x v="208"/>
    <x v="451"/>
    <x v="8"/>
    <s v="Atlanta"/>
    <x v="3"/>
    <n v="0.29166666666666669"/>
    <n v="0.28958333333333341"/>
    <n v="2"/>
    <x v="0"/>
    <x v="0"/>
    <n v="945"/>
    <n v="-3"/>
    <s v="April"/>
    <x v="5"/>
    <x v="0"/>
    <x v="0"/>
    <x v="0"/>
  </r>
  <r>
    <s v="SK-00617"/>
    <x v="208"/>
    <x v="452"/>
    <x v="1"/>
    <s v="Chicago"/>
    <x v="2"/>
    <n v="0.30555555555555558"/>
    <n v="0.31388888888888888"/>
    <n v="18"/>
    <x v="0"/>
    <x v="0"/>
    <n v="738"/>
    <n v="12"/>
    <s v="April"/>
    <x v="5"/>
    <x v="1"/>
    <x v="0"/>
    <x v="0"/>
  </r>
  <r>
    <s v="SK-00618"/>
    <x v="208"/>
    <x v="35"/>
    <x v="9"/>
    <s v="Chicago"/>
    <x v="0"/>
    <n v="0.5625"/>
    <m/>
    <m/>
    <x v="2"/>
    <x v="1"/>
    <n v="886"/>
    <m/>
    <s v="April"/>
    <x v="5"/>
    <x v="2"/>
    <x v="1"/>
    <x v="1"/>
  </r>
  <r>
    <s v="SK-00619"/>
    <x v="208"/>
    <x v="453"/>
    <x v="9"/>
    <s v="Miami"/>
    <x v="2"/>
    <n v="0.82638888888888884"/>
    <n v="0.83125000000000004"/>
    <n v="8"/>
    <x v="0"/>
    <x v="0"/>
    <n v="1708"/>
    <n v="7"/>
    <s v="April"/>
    <x v="5"/>
    <x v="0"/>
    <x v="2"/>
    <x v="0"/>
  </r>
  <r>
    <s v="SK-00620"/>
    <x v="209"/>
    <x v="282"/>
    <x v="5"/>
    <s v="Atlanta"/>
    <x v="1"/>
    <n v="0.72916666666666663"/>
    <n v="0.73333333333333328"/>
    <n v="13"/>
    <x v="0"/>
    <x v="0"/>
    <n v="606"/>
    <n v="6"/>
    <s v="April"/>
    <x v="6"/>
    <x v="0"/>
    <x v="2"/>
    <x v="0"/>
  </r>
  <r>
    <s v="SK-00621"/>
    <x v="209"/>
    <x v="454"/>
    <x v="10"/>
    <s v="Dallas"/>
    <x v="1"/>
    <n v="0.94444444444444442"/>
    <m/>
    <m/>
    <x v="2"/>
    <x v="1"/>
    <n v="866"/>
    <m/>
    <s v="April"/>
    <x v="6"/>
    <x v="2"/>
    <x v="3"/>
    <x v="1"/>
  </r>
  <r>
    <s v="SK-00622"/>
    <x v="210"/>
    <x v="455"/>
    <x v="9"/>
    <s v="Los Angeles"/>
    <x v="0"/>
    <n v="0.4236111111111111"/>
    <n v="0.42152777777777778"/>
    <n v="0"/>
    <x v="0"/>
    <x v="0"/>
    <n v="861"/>
    <n v="-3"/>
    <s v="April"/>
    <x v="0"/>
    <x v="0"/>
    <x v="0"/>
    <x v="0"/>
  </r>
  <r>
    <s v="SK-00623"/>
    <x v="210"/>
    <x v="283"/>
    <x v="7"/>
    <s v="Dallas"/>
    <x v="3"/>
    <n v="0.87847222222222221"/>
    <n v="0.90555555555555556"/>
    <n v="33"/>
    <x v="1"/>
    <x v="0"/>
    <n v="730"/>
    <n v="39"/>
    <s v="April"/>
    <x v="0"/>
    <x v="1"/>
    <x v="3"/>
    <x v="1"/>
  </r>
  <r>
    <s v="SK-00624"/>
    <x v="210"/>
    <x v="393"/>
    <x v="5"/>
    <s v="Miami"/>
    <x v="2"/>
    <n v="0.87847222222222221"/>
    <n v="0.87777777777777777"/>
    <n v="-5"/>
    <x v="0"/>
    <x v="0"/>
    <n v="1199"/>
    <n v="-1"/>
    <s v="April"/>
    <x v="0"/>
    <x v="0"/>
    <x v="3"/>
    <x v="0"/>
  </r>
  <r>
    <s v="SK-00625"/>
    <x v="211"/>
    <x v="37"/>
    <x v="8"/>
    <s v="Los Angeles"/>
    <x v="2"/>
    <n v="0.625"/>
    <n v="0.63263888888888886"/>
    <n v="8"/>
    <x v="0"/>
    <x v="0"/>
    <n v="2606"/>
    <n v="11"/>
    <s v="April"/>
    <x v="1"/>
    <x v="0"/>
    <x v="1"/>
    <x v="0"/>
  </r>
  <r>
    <s v="SK-00626"/>
    <x v="211"/>
    <x v="456"/>
    <x v="9"/>
    <s v="Las Vegas"/>
    <x v="3"/>
    <n v="0.75"/>
    <n v="0.81736111111111109"/>
    <n v="105"/>
    <x v="1"/>
    <x v="0"/>
    <n v="627"/>
    <n v="97"/>
    <s v="April"/>
    <x v="1"/>
    <x v="1"/>
    <x v="2"/>
    <x v="1"/>
  </r>
  <r>
    <s v="SK-00627"/>
    <x v="211"/>
    <x v="248"/>
    <x v="7"/>
    <s v="Denver"/>
    <x v="0"/>
    <n v="0.83333333333333337"/>
    <n v="0.82777777777777772"/>
    <n v="-2"/>
    <x v="0"/>
    <x v="0"/>
    <n v="1197"/>
    <n v="-8"/>
    <s v="April"/>
    <x v="1"/>
    <x v="0"/>
    <x v="2"/>
    <x v="0"/>
  </r>
  <r>
    <s v="SK-00628"/>
    <x v="212"/>
    <x v="306"/>
    <x v="11"/>
    <s v="Chicago"/>
    <x v="0"/>
    <n v="0.3611111111111111"/>
    <n v="0.36319444444444438"/>
    <n v="11"/>
    <x v="0"/>
    <x v="0"/>
    <n v="1199"/>
    <n v="3"/>
    <s v="April"/>
    <x v="2"/>
    <x v="0"/>
    <x v="0"/>
    <x v="0"/>
  </r>
  <r>
    <s v="SK-00629"/>
    <x v="212"/>
    <x v="457"/>
    <x v="2"/>
    <s v="Atlanta"/>
    <x v="0"/>
    <n v="0.46180555555555558"/>
    <n v="0.45694444444444438"/>
    <n v="-11"/>
    <x v="0"/>
    <x v="0"/>
    <n v="730"/>
    <n v="-7"/>
    <s v="April"/>
    <x v="2"/>
    <x v="0"/>
    <x v="0"/>
    <x v="0"/>
  </r>
  <r>
    <s v="SK-00630"/>
    <x v="212"/>
    <x v="188"/>
    <x v="9"/>
    <s v="Miami"/>
    <x v="1"/>
    <n v="0.47916666666666669"/>
    <n v="0.47986111111111113"/>
    <n v="3"/>
    <x v="0"/>
    <x v="0"/>
    <n v="1708"/>
    <n v="1"/>
    <s v="April"/>
    <x v="2"/>
    <x v="0"/>
    <x v="0"/>
    <x v="0"/>
  </r>
  <r>
    <s v="SK-00631"/>
    <x v="212"/>
    <x v="266"/>
    <x v="0"/>
    <s v="Denver"/>
    <x v="0"/>
    <n v="0.69444444444444442"/>
    <n v="0.70277777777777772"/>
    <n v="1"/>
    <x v="0"/>
    <x v="0"/>
    <n v="861"/>
    <n v="12"/>
    <s v="April"/>
    <x v="2"/>
    <x v="0"/>
    <x v="1"/>
    <x v="0"/>
  </r>
  <r>
    <s v="SK-00632"/>
    <x v="212"/>
    <x v="277"/>
    <x v="10"/>
    <s v="Seattle"/>
    <x v="0"/>
    <n v="0.72916666666666663"/>
    <n v="0.74097222222222225"/>
    <n v="13"/>
    <x v="1"/>
    <x v="0"/>
    <n v="1108"/>
    <n v="17"/>
    <s v="April"/>
    <x v="2"/>
    <x v="0"/>
    <x v="2"/>
    <x v="1"/>
  </r>
  <r>
    <s v="SK-00633"/>
    <x v="213"/>
    <x v="305"/>
    <x v="1"/>
    <s v="Boston"/>
    <x v="0"/>
    <n v="0.33333333333333331"/>
    <n v="0.32916666666666672"/>
    <n v="-16"/>
    <x v="0"/>
    <x v="0"/>
    <n v="186"/>
    <n v="-6"/>
    <s v="April"/>
    <x v="3"/>
    <x v="0"/>
    <x v="0"/>
    <x v="0"/>
  </r>
  <r>
    <s v="SK-00634"/>
    <x v="213"/>
    <x v="458"/>
    <x v="7"/>
    <s v="Los Angeles"/>
    <x v="0"/>
    <n v="0.63194444444444442"/>
    <m/>
    <m/>
    <x v="2"/>
    <x v="1"/>
    <n v="1942"/>
    <m/>
    <s v="April"/>
    <x v="3"/>
    <x v="2"/>
    <x v="1"/>
    <x v="1"/>
  </r>
  <r>
    <s v="SK-00635"/>
    <x v="214"/>
    <x v="374"/>
    <x v="0"/>
    <s v="New York"/>
    <x v="1"/>
    <n v="0.32291666666666669"/>
    <n v="0.31805555555555548"/>
    <n v="-12"/>
    <x v="0"/>
    <x v="0"/>
    <n v="2470"/>
    <n v="-7"/>
    <s v="April"/>
    <x v="4"/>
    <x v="0"/>
    <x v="0"/>
    <x v="0"/>
  </r>
  <r>
    <s v="SK-00636"/>
    <x v="214"/>
    <x v="155"/>
    <x v="11"/>
    <s v="Los Angeles"/>
    <x v="2"/>
    <n v="0.67361111111111116"/>
    <n v="0.67291666666666672"/>
    <n v="-7"/>
    <x v="0"/>
    <x v="0"/>
    <n v="2338"/>
    <n v="-1"/>
    <s v="April"/>
    <x v="4"/>
    <x v="0"/>
    <x v="1"/>
    <x v="0"/>
  </r>
  <r>
    <s v="SK-00637"/>
    <x v="214"/>
    <x v="129"/>
    <x v="10"/>
    <s v="Denver"/>
    <x v="2"/>
    <n v="0.71180555555555558"/>
    <n v="0.71111111111111114"/>
    <n v="-6"/>
    <x v="0"/>
    <x v="0"/>
    <n v="602"/>
    <n v="-1"/>
    <s v="April"/>
    <x v="4"/>
    <x v="0"/>
    <x v="2"/>
    <x v="0"/>
  </r>
  <r>
    <s v="SK-00638"/>
    <x v="215"/>
    <x v="459"/>
    <x v="0"/>
    <s v="New York"/>
    <x v="0"/>
    <n v="0.51041666666666663"/>
    <n v="0.50972222222222219"/>
    <n v="9"/>
    <x v="0"/>
    <x v="0"/>
    <n v="2470"/>
    <n v="-1"/>
    <s v="April"/>
    <x v="5"/>
    <x v="0"/>
    <x v="1"/>
    <x v="0"/>
  </r>
  <r>
    <s v="SK-00639"/>
    <x v="215"/>
    <x v="460"/>
    <x v="5"/>
    <s v="Los Angeles"/>
    <x v="0"/>
    <n v="0.63541666666666663"/>
    <n v="0.7416666666666667"/>
    <n v="148"/>
    <x v="2"/>
    <x v="0"/>
    <n v="1742"/>
    <n v="153"/>
    <s v="April"/>
    <x v="5"/>
    <x v="1"/>
    <x v="1"/>
    <x v="1"/>
  </r>
  <r>
    <s v="SK-00640"/>
    <x v="215"/>
    <x v="430"/>
    <x v="7"/>
    <s v="Boston"/>
    <x v="2"/>
    <n v="0.74652777777777779"/>
    <n v="0.75208333333333333"/>
    <n v="11"/>
    <x v="0"/>
    <x v="0"/>
    <n v="945"/>
    <n v="8"/>
    <s v="April"/>
    <x v="5"/>
    <x v="0"/>
    <x v="2"/>
    <x v="0"/>
  </r>
  <r>
    <s v="SK-00641"/>
    <x v="216"/>
    <x v="461"/>
    <x v="10"/>
    <s v="Los Angeles"/>
    <x v="3"/>
    <n v="0.47916666666666669"/>
    <n v="0.47361111111111109"/>
    <n v="0"/>
    <x v="0"/>
    <x v="0"/>
    <n v="370"/>
    <n v="-8"/>
    <s v="April"/>
    <x v="6"/>
    <x v="0"/>
    <x v="0"/>
    <x v="0"/>
  </r>
  <r>
    <s v="SK-00642"/>
    <x v="216"/>
    <x v="185"/>
    <x v="5"/>
    <s v="Atlanta"/>
    <x v="3"/>
    <n v="0.50694444444444442"/>
    <n v="0.51875000000000004"/>
    <n v="2"/>
    <x v="1"/>
    <x v="0"/>
    <n v="606"/>
    <n v="17"/>
    <s v="April"/>
    <x v="6"/>
    <x v="0"/>
    <x v="1"/>
    <x v="1"/>
  </r>
  <r>
    <s v="SK-00643"/>
    <x v="216"/>
    <x v="307"/>
    <x v="7"/>
    <s v="Boston"/>
    <x v="1"/>
    <n v="0.68402777777777779"/>
    <n v="0.68402777777777779"/>
    <n v="-12"/>
    <x v="0"/>
    <x v="0"/>
    <n v="945"/>
    <n v="0"/>
    <s v="April"/>
    <x v="6"/>
    <x v="0"/>
    <x v="1"/>
    <x v="0"/>
  </r>
  <r>
    <s v="SK-00644"/>
    <x v="216"/>
    <x v="245"/>
    <x v="7"/>
    <s v="San Francisco"/>
    <x v="1"/>
    <n v="0.72916666666666663"/>
    <n v="0.72361111111111109"/>
    <n v="-1"/>
    <x v="0"/>
    <x v="0"/>
    <n v="2134"/>
    <n v="-8"/>
    <s v="April"/>
    <x v="6"/>
    <x v="0"/>
    <x v="2"/>
    <x v="0"/>
  </r>
  <r>
    <s v="SK-00645"/>
    <x v="217"/>
    <x v="462"/>
    <x v="5"/>
    <s v="New York"/>
    <x v="1"/>
    <n v="0.22569444444444439"/>
    <n v="0.22638888888888889"/>
    <n v="0"/>
    <x v="0"/>
    <x v="0"/>
    <n v="738"/>
    <n v="1"/>
    <s v="April"/>
    <x v="0"/>
    <x v="0"/>
    <x v="0"/>
    <x v="0"/>
  </r>
  <r>
    <s v="SK-00646"/>
    <x v="217"/>
    <x v="463"/>
    <x v="10"/>
    <s v="Los Angeles"/>
    <x v="0"/>
    <n v="0.37847222222222221"/>
    <n v="0.37638888888888888"/>
    <n v="2"/>
    <x v="0"/>
    <x v="0"/>
    <n v="370"/>
    <n v="-3"/>
    <s v="April"/>
    <x v="0"/>
    <x v="0"/>
    <x v="0"/>
    <x v="0"/>
  </r>
  <r>
    <s v="SK-00647"/>
    <x v="217"/>
    <x v="443"/>
    <x v="9"/>
    <s v="Chicago"/>
    <x v="2"/>
    <n v="0.63888888888888884"/>
    <n v="0.64236111111111116"/>
    <n v="3"/>
    <x v="0"/>
    <x v="0"/>
    <n v="886"/>
    <n v="5"/>
    <s v="April"/>
    <x v="0"/>
    <x v="0"/>
    <x v="1"/>
    <x v="0"/>
  </r>
  <r>
    <s v="SK-00648"/>
    <x v="217"/>
    <x v="464"/>
    <x v="5"/>
    <s v="Los Angeles"/>
    <x v="2"/>
    <n v="0.71180555555555558"/>
    <m/>
    <n v="-3"/>
    <x v="0"/>
    <x v="0"/>
    <n v="1742"/>
    <n v="2"/>
    <s v="April"/>
    <x v="0"/>
    <x v="0"/>
    <x v="2"/>
    <x v="0"/>
  </r>
  <r>
    <s v="SK-00649"/>
    <x v="218"/>
    <x v="109"/>
    <x v="7"/>
    <s v="Chicago"/>
    <x v="0"/>
    <n v="0.60416666666666663"/>
    <n v="0.6166666666666667"/>
    <n v="7"/>
    <x v="1"/>
    <x v="0"/>
    <n v="606"/>
    <n v="18"/>
    <s v="April"/>
    <x v="1"/>
    <x v="0"/>
    <x v="1"/>
    <x v="1"/>
  </r>
  <r>
    <s v="SK-00650"/>
    <x v="218"/>
    <x v="330"/>
    <x v="2"/>
    <s v="Los Angeles"/>
    <x v="2"/>
    <n v="0.62847222222222221"/>
    <m/>
    <m/>
    <x v="3"/>
    <x v="1"/>
    <n v="1232"/>
    <m/>
    <s v="April"/>
    <x v="1"/>
    <x v="2"/>
    <x v="1"/>
    <x v="2"/>
  </r>
  <r>
    <s v="SK-00651"/>
    <x v="218"/>
    <x v="117"/>
    <x v="4"/>
    <s v="Boston"/>
    <x v="0"/>
    <n v="0.86458333333333337"/>
    <n v="0.85972222222222228"/>
    <n v="-12"/>
    <x v="0"/>
    <x v="0"/>
    <n v="2489"/>
    <n v="-7"/>
    <s v="April"/>
    <x v="1"/>
    <x v="0"/>
    <x v="2"/>
    <x v="0"/>
  </r>
  <r>
    <s v="SK-00652"/>
    <x v="219"/>
    <x v="465"/>
    <x v="7"/>
    <s v="Miami"/>
    <x v="0"/>
    <n v="0.31944444444444442"/>
    <n v="0.32291666666666669"/>
    <n v="-1"/>
    <x v="0"/>
    <x v="0"/>
    <n v="596"/>
    <n v="5"/>
    <s v="April"/>
    <x v="2"/>
    <x v="0"/>
    <x v="0"/>
    <x v="0"/>
  </r>
  <r>
    <s v="SK-00653"/>
    <x v="219"/>
    <x v="466"/>
    <x v="0"/>
    <s v="Chicago"/>
    <x v="1"/>
    <n v="0.53125"/>
    <n v="0.53333333333333333"/>
    <n v="13"/>
    <x v="0"/>
    <x v="0"/>
    <n v="1742"/>
    <n v="3"/>
    <s v="April"/>
    <x v="2"/>
    <x v="0"/>
    <x v="1"/>
    <x v="0"/>
  </r>
  <r>
    <s v="SK-00654"/>
    <x v="219"/>
    <x v="61"/>
    <x v="3"/>
    <s v="Atlanta"/>
    <x v="0"/>
    <n v="0.59027777777777779"/>
    <n v="0.59652777777777777"/>
    <n v="6"/>
    <x v="0"/>
    <x v="0"/>
    <n v="1743"/>
    <n v="9"/>
    <s v="April"/>
    <x v="2"/>
    <x v="0"/>
    <x v="1"/>
    <x v="0"/>
  </r>
  <r>
    <s v="SK-00655"/>
    <x v="220"/>
    <x v="331"/>
    <x v="11"/>
    <s v="Seattle"/>
    <x v="2"/>
    <n v="0.46180555555555558"/>
    <n v="0.46597222222222218"/>
    <n v="1"/>
    <x v="0"/>
    <x v="0"/>
    <n v="2722"/>
    <n v="6"/>
    <s v="April"/>
    <x v="3"/>
    <x v="0"/>
    <x v="0"/>
    <x v="0"/>
  </r>
  <r>
    <s v="SK-00656"/>
    <x v="220"/>
    <x v="414"/>
    <x v="4"/>
    <s v="Dallas"/>
    <x v="0"/>
    <n v="0.625"/>
    <n v="0.64652777777777781"/>
    <n v="23"/>
    <x v="4"/>
    <x v="0"/>
    <n v="1658"/>
    <n v="31"/>
    <s v="April"/>
    <x v="3"/>
    <x v="1"/>
    <x v="1"/>
    <x v="2"/>
  </r>
  <r>
    <s v="SK-00657"/>
    <x v="220"/>
    <x v="227"/>
    <x v="1"/>
    <s v="Chicago"/>
    <x v="1"/>
    <n v="0.79513888888888884"/>
    <n v="0.80277777777777781"/>
    <n v="3"/>
    <x v="0"/>
    <x v="0"/>
    <n v="738"/>
    <n v="11"/>
    <s v="April"/>
    <x v="3"/>
    <x v="0"/>
    <x v="2"/>
    <x v="0"/>
  </r>
  <r>
    <s v="SK-00658"/>
    <x v="220"/>
    <x v="467"/>
    <x v="5"/>
    <s v="Phoenix"/>
    <x v="1"/>
    <n v="0.81597222222222221"/>
    <n v="0.8125"/>
    <n v="-10"/>
    <x v="0"/>
    <x v="0"/>
    <n v="1438"/>
    <n v="-5"/>
    <s v="April"/>
    <x v="3"/>
    <x v="0"/>
    <x v="2"/>
    <x v="0"/>
  </r>
  <r>
    <s v="SK-00659"/>
    <x v="221"/>
    <x v="77"/>
    <x v="7"/>
    <s v="Boston"/>
    <x v="2"/>
    <n v="0.46527777777777779"/>
    <n v="0.46805555555555561"/>
    <n v="14"/>
    <x v="0"/>
    <x v="0"/>
    <n v="945"/>
    <n v="4"/>
    <s v="April"/>
    <x v="4"/>
    <x v="0"/>
    <x v="0"/>
    <x v="0"/>
  </r>
  <r>
    <s v="SK-00660"/>
    <x v="221"/>
    <x v="313"/>
    <x v="5"/>
    <s v="Las Vegas"/>
    <x v="2"/>
    <n v="0.53819444444444442"/>
    <n v="0.56111111111111112"/>
    <n v="25"/>
    <x v="4"/>
    <x v="0"/>
    <n v="1511"/>
    <n v="33"/>
    <s v="April"/>
    <x v="4"/>
    <x v="1"/>
    <x v="1"/>
    <x v="2"/>
  </r>
  <r>
    <s v="SK-00661"/>
    <x v="221"/>
    <x v="49"/>
    <x v="2"/>
    <s v="Chicago"/>
    <x v="3"/>
    <n v="0.73611111111111116"/>
    <n v="0.8208333333333333"/>
    <n v="127"/>
    <x v="3"/>
    <x v="0"/>
    <n v="802"/>
    <n v="122"/>
    <s v="April"/>
    <x v="4"/>
    <x v="1"/>
    <x v="2"/>
    <x v="2"/>
  </r>
  <r>
    <s v="SK-00662"/>
    <x v="222"/>
    <x v="59"/>
    <x v="0"/>
    <s v="Las Vegas"/>
    <x v="2"/>
    <n v="0.25347222222222221"/>
    <n v="0.25069444444444439"/>
    <n v="6"/>
    <x v="0"/>
    <x v="0"/>
    <n v="236"/>
    <n v="-4"/>
    <s v="April"/>
    <x v="5"/>
    <x v="0"/>
    <x v="0"/>
    <x v="0"/>
  </r>
  <r>
    <s v="SK-00663"/>
    <x v="222"/>
    <x v="468"/>
    <x v="5"/>
    <s v="Atlanta"/>
    <x v="0"/>
    <n v="0.57638888888888884"/>
    <n v="0.58263888888888893"/>
    <n v="0"/>
    <x v="0"/>
    <x v="0"/>
    <n v="606"/>
    <n v="9"/>
    <s v="April"/>
    <x v="5"/>
    <x v="0"/>
    <x v="1"/>
    <x v="0"/>
  </r>
  <r>
    <s v="SK-00664"/>
    <x v="222"/>
    <x v="303"/>
    <x v="0"/>
    <s v="Denver"/>
    <x v="1"/>
    <n v="0.68055555555555558"/>
    <n v="0.69791666666666663"/>
    <n v="20"/>
    <x v="2"/>
    <x v="0"/>
    <n v="861"/>
    <n v="25"/>
    <s v="April"/>
    <x v="5"/>
    <x v="1"/>
    <x v="1"/>
    <x v="1"/>
  </r>
  <r>
    <s v="SK-00665"/>
    <x v="223"/>
    <x v="469"/>
    <x v="5"/>
    <s v="Dallas"/>
    <x v="2"/>
    <n v="0.64236111111111116"/>
    <n v="0.64375000000000004"/>
    <n v="9"/>
    <x v="0"/>
    <x v="0"/>
    <n v="802"/>
    <n v="2"/>
    <s v="April"/>
    <x v="6"/>
    <x v="0"/>
    <x v="1"/>
    <x v="0"/>
  </r>
  <r>
    <s v="SK-00666"/>
    <x v="224"/>
    <x v="470"/>
    <x v="5"/>
    <s v="Atlanta"/>
    <x v="1"/>
    <n v="0.2673611111111111"/>
    <n v="0.26805555555555549"/>
    <n v="10"/>
    <x v="0"/>
    <x v="0"/>
    <n v="606"/>
    <n v="1"/>
    <s v="April"/>
    <x v="0"/>
    <x v="0"/>
    <x v="0"/>
    <x v="0"/>
  </r>
  <r>
    <s v="SK-00667"/>
    <x v="224"/>
    <x v="471"/>
    <x v="2"/>
    <s v="Los Angeles"/>
    <x v="1"/>
    <n v="0.82291666666666663"/>
    <n v="0.83125000000000004"/>
    <n v="8"/>
    <x v="0"/>
    <x v="0"/>
    <n v="1232"/>
    <n v="12"/>
    <s v="April"/>
    <x v="0"/>
    <x v="0"/>
    <x v="2"/>
    <x v="0"/>
  </r>
  <r>
    <s v="SK-00668"/>
    <x v="225"/>
    <x v="333"/>
    <x v="11"/>
    <s v="Atlanta"/>
    <x v="0"/>
    <n v="0.41666666666666669"/>
    <n v="0.42152777777777778"/>
    <n v="8"/>
    <x v="0"/>
    <x v="0"/>
    <n v="596"/>
    <n v="7"/>
    <s v="April"/>
    <x v="1"/>
    <x v="0"/>
    <x v="0"/>
    <x v="0"/>
  </r>
  <r>
    <s v="SK-00669"/>
    <x v="225"/>
    <x v="472"/>
    <x v="1"/>
    <s v="Las Vegas"/>
    <x v="1"/>
    <n v="0.50347222222222221"/>
    <n v="0.5083333333333333"/>
    <n v="-4"/>
    <x v="0"/>
    <x v="0"/>
    <n v="2243"/>
    <n v="7"/>
    <s v="April"/>
    <x v="1"/>
    <x v="0"/>
    <x v="1"/>
    <x v="0"/>
  </r>
  <r>
    <s v="SK-00670"/>
    <x v="225"/>
    <x v="473"/>
    <x v="7"/>
    <s v="San Francisco"/>
    <x v="0"/>
    <n v="0.59375"/>
    <n v="0.59097222222222223"/>
    <n v="-5"/>
    <x v="0"/>
    <x v="0"/>
    <n v="2134"/>
    <n v="-4"/>
    <s v="April"/>
    <x v="1"/>
    <x v="0"/>
    <x v="1"/>
    <x v="0"/>
  </r>
  <r>
    <s v="SK-00671"/>
    <x v="225"/>
    <x v="331"/>
    <x v="0"/>
    <s v="Dallas"/>
    <x v="1"/>
    <n v="0.67708333333333337"/>
    <n v="0.67361111111111116"/>
    <n v="-4"/>
    <x v="0"/>
    <x v="0"/>
    <n v="1232"/>
    <n v="-5"/>
    <s v="April"/>
    <x v="1"/>
    <x v="0"/>
    <x v="1"/>
    <x v="0"/>
  </r>
  <r>
    <s v="SK-00672"/>
    <x v="225"/>
    <x v="28"/>
    <x v="0"/>
    <s v="Seattle"/>
    <x v="3"/>
    <n v="0.80208333333333337"/>
    <n v="0.80347222222222225"/>
    <n v="-10"/>
    <x v="0"/>
    <x v="0"/>
    <n v="955"/>
    <n v="2"/>
    <s v="April"/>
    <x v="1"/>
    <x v="0"/>
    <x v="2"/>
    <x v="0"/>
  </r>
  <r>
    <s v="SK-00673"/>
    <x v="225"/>
    <x v="474"/>
    <x v="7"/>
    <s v="Phoenix"/>
    <x v="1"/>
    <n v="0.82638888888888884"/>
    <n v="0.8208333333333333"/>
    <n v="-5"/>
    <x v="0"/>
    <x v="0"/>
    <n v="1584"/>
    <n v="-8"/>
    <s v="April"/>
    <x v="1"/>
    <x v="0"/>
    <x v="2"/>
    <x v="0"/>
  </r>
  <r>
    <s v="SK-00674"/>
    <x v="226"/>
    <x v="475"/>
    <x v="1"/>
    <s v="Phoenix"/>
    <x v="1"/>
    <n v="0.3888888888888889"/>
    <n v="0.38958333333333328"/>
    <n v="-9"/>
    <x v="0"/>
    <x v="0"/>
    <n v="2149"/>
    <n v="1"/>
    <s v="April"/>
    <x v="2"/>
    <x v="0"/>
    <x v="0"/>
    <x v="0"/>
  </r>
  <r>
    <s v="SK-00675"/>
    <x v="226"/>
    <x v="309"/>
    <x v="0"/>
    <s v="Seattle"/>
    <x v="2"/>
    <n v="0.66666666666666663"/>
    <n v="0.67222222222222228"/>
    <n v="0"/>
    <x v="0"/>
    <x v="0"/>
    <n v="955"/>
    <n v="8"/>
    <s v="April"/>
    <x v="2"/>
    <x v="0"/>
    <x v="1"/>
    <x v="0"/>
  </r>
  <r>
    <s v="SK-00676"/>
    <x v="226"/>
    <x v="45"/>
    <x v="1"/>
    <s v="Seattle"/>
    <x v="1"/>
    <n v="0.73263888888888884"/>
    <n v="0.72777777777777775"/>
    <n v="-13"/>
    <x v="0"/>
    <x v="0"/>
    <n v="2415"/>
    <n v="-7"/>
    <s v="April"/>
    <x v="2"/>
    <x v="0"/>
    <x v="2"/>
    <x v="0"/>
  </r>
  <r>
    <s v="SK-00677"/>
    <x v="227"/>
    <x v="476"/>
    <x v="9"/>
    <s v="Chicago"/>
    <x v="0"/>
    <n v="0.59722222222222221"/>
    <n v="0.6020833333333333"/>
    <n v="11"/>
    <x v="0"/>
    <x v="0"/>
    <n v="886"/>
    <n v="7"/>
    <s v="April"/>
    <x v="3"/>
    <x v="0"/>
    <x v="1"/>
    <x v="0"/>
  </r>
  <r>
    <s v="SK-00678"/>
    <x v="227"/>
    <x v="477"/>
    <x v="5"/>
    <s v="Dallas"/>
    <x v="2"/>
    <n v="0.73611111111111116"/>
    <n v="0.73958333333333337"/>
    <n v="7"/>
    <x v="0"/>
    <x v="0"/>
    <n v="802"/>
    <n v="5"/>
    <s v="April"/>
    <x v="3"/>
    <x v="0"/>
    <x v="2"/>
    <x v="0"/>
  </r>
  <r>
    <s v="SK-00679"/>
    <x v="227"/>
    <x v="478"/>
    <x v="8"/>
    <s v="Denver"/>
    <x v="0"/>
    <n v="0.82291666666666663"/>
    <n v="0.81874999999999998"/>
    <n v="-6"/>
    <x v="0"/>
    <x v="0"/>
    <n v="1749"/>
    <n v="-6"/>
    <s v="April"/>
    <x v="3"/>
    <x v="0"/>
    <x v="2"/>
    <x v="0"/>
  </r>
  <r>
    <s v="SK-00680"/>
    <x v="228"/>
    <x v="251"/>
    <x v="7"/>
    <s v="Las Vegas"/>
    <x v="0"/>
    <n v="0.3263888888888889"/>
    <n v="0.3347222222222222"/>
    <n v="12"/>
    <x v="0"/>
    <x v="0"/>
    <n v="1743"/>
    <n v="12"/>
    <s v="May"/>
    <x v="4"/>
    <x v="0"/>
    <x v="0"/>
    <x v="0"/>
  </r>
  <r>
    <s v="SK-00681"/>
    <x v="228"/>
    <x v="121"/>
    <x v="9"/>
    <s v="Dallas"/>
    <x v="1"/>
    <n v="0.47916666666666669"/>
    <n v="0.47430555555555548"/>
    <n v="-10"/>
    <x v="0"/>
    <x v="0"/>
    <n v="641"/>
    <n v="-7"/>
    <s v="May"/>
    <x v="4"/>
    <x v="0"/>
    <x v="0"/>
    <x v="0"/>
  </r>
  <r>
    <s v="SK-00682"/>
    <x v="228"/>
    <x v="479"/>
    <x v="9"/>
    <s v="Phoenix"/>
    <x v="3"/>
    <n v="0.73263888888888884"/>
    <n v="0.7270833333333333"/>
    <n v="0"/>
    <x v="0"/>
    <x v="0"/>
    <n v="602"/>
    <n v="-8"/>
    <s v="May"/>
    <x v="4"/>
    <x v="0"/>
    <x v="2"/>
    <x v="0"/>
  </r>
  <r>
    <s v="SK-00683"/>
    <x v="229"/>
    <x v="446"/>
    <x v="0"/>
    <s v="Phoenix"/>
    <x v="1"/>
    <n v="0.40972222222222221"/>
    <n v="0.41597222222222219"/>
    <n v="19"/>
    <x v="0"/>
    <x v="0"/>
    <n v="370"/>
    <n v="9"/>
    <s v="May"/>
    <x v="5"/>
    <x v="1"/>
    <x v="0"/>
    <x v="0"/>
  </r>
  <r>
    <s v="SK-00684"/>
    <x v="229"/>
    <x v="216"/>
    <x v="0"/>
    <s v="Dallas"/>
    <x v="1"/>
    <n v="0.70138888888888884"/>
    <m/>
    <m/>
    <x v="3"/>
    <x v="1"/>
    <n v="1232"/>
    <m/>
    <s v="May"/>
    <x v="5"/>
    <x v="2"/>
    <x v="1"/>
    <x v="2"/>
  </r>
  <r>
    <s v="SK-00685"/>
    <x v="229"/>
    <x v="322"/>
    <x v="9"/>
    <s v="Los Angeles"/>
    <x v="2"/>
    <n v="0.83680555555555558"/>
    <n v="0.83680555555555558"/>
    <n v="-9"/>
    <x v="0"/>
    <x v="0"/>
    <n v="861"/>
    <n v="0"/>
    <s v="May"/>
    <x v="5"/>
    <x v="0"/>
    <x v="2"/>
    <x v="0"/>
  </r>
  <r>
    <s v="SK-00686"/>
    <x v="230"/>
    <x v="480"/>
    <x v="3"/>
    <s v="Chicago"/>
    <x v="3"/>
    <n v="0.45833333333333331"/>
    <n v="0.50972222222222219"/>
    <n v="72"/>
    <x v="2"/>
    <x v="0"/>
    <n v="1511"/>
    <n v="74"/>
    <s v="May"/>
    <x v="6"/>
    <x v="1"/>
    <x v="0"/>
    <x v="1"/>
  </r>
  <r>
    <s v="SK-00687"/>
    <x v="230"/>
    <x v="145"/>
    <x v="7"/>
    <s v="Chicago"/>
    <x v="2"/>
    <n v="0.47569444444444442"/>
    <n v="0.47708333333333341"/>
    <n v="4"/>
    <x v="0"/>
    <x v="0"/>
    <n v="606"/>
    <n v="2"/>
    <s v="May"/>
    <x v="6"/>
    <x v="0"/>
    <x v="0"/>
    <x v="0"/>
  </r>
  <r>
    <s v="SK-00688"/>
    <x v="230"/>
    <x v="302"/>
    <x v="7"/>
    <s v="Miami"/>
    <x v="0"/>
    <n v="0.58333333333333337"/>
    <n v="0.63541666666666663"/>
    <n v="63"/>
    <x v="1"/>
    <x v="0"/>
    <n v="596"/>
    <n v="75"/>
    <s v="May"/>
    <x v="6"/>
    <x v="1"/>
    <x v="1"/>
    <x v="1"/>
  </r>
  <r>
    <s v="SK-00689"/>
    <x v="230"/>
    <x v="323"/>
    <x v="8"/>
    <s v="Atlanta"/>
    <x v="0"/>
    <n v="0.69097222222222221"/>
    <n v="0.68819444444444444"/>
    <n v="6"/>
    <x v="0"/>
    <x v="0"/>
    <n v="945"/>
    <n v="-4"/>
    <s v="May"/>
    <x v="6"/>
    <x v="0"/>
    <x v="1"/>
    <x v="0"/>
  </r>
  <r>
    <s v="SK-00690"/>
    <x v="231"/>
    <x v="314"/>
    <x v="9"/>
    <s v="Miami"/>
    <x v="1"/>
    <n v="0.25347222222222221"/>
    <n v="0.25138888888888888"/>
    <n v="7"/>
    <x v="0"/>
    <x v="0"/>
    <n v="1708"/>
    <n v="-3"/>
    <s v="May"/>
    <x v="0"/>
    <x v="0"/>
    <x v="0"/>
    <x v="0"/>
  </r>
  <r>
    <s v="SK-00691"/>
    <x v="231"/>
    <x v="111"/>
    <x v="11"/>
    <s v="Dallas"/>
    <x v="1"/>
    <n v="0.2951388888888889"/>
    <n v="0.29652777777777778"/>
    <n v="8"/>
    <x v="0"/>
    <x v="0"/>
    <n v="1120"/>
    <n v="2"/>
    <s v="May"/>
    <x v="0"/>
    <x v="0"/>
    <x v="0"/>
    <x v="0"/>
  </r>
  <r>
    <s v="SK-00692"/>
    <x v="232"/>
    <x v="399"/>
    <x v="9"/>
    <s v="New York"/>
    <x v="0"/>
    <n v="0.24305555555555561"/>
    <n v="0.25138888888888888"/>
    <n v="1"/>
    <x v="0"/>
    <x v="0"/>
    <n v="1622"/>
    <n v="12"/>
    <s v="May"/>
    <x v="1"/>
    <x v="0"/>
    <x v="0"/>
    <x v="0"/>
  </r>
  <r>
    <s v="SK-00693"/>
    <x v="232"/>
    <x v="481"/>
    <x v="7"/>
    <s v="New York"/>
    <x v="3"/>
    <n v="0.71527777777777779"/>
    <n v="0.81180555555555556"/>
    <n v="124"/>
    <x v="4"/>
    <x v="0"/>
    <n v="759"/>
    <n v="139"/>
    <s v="May"/>
    <x v="1"/>
    <x v="1"/>
    <x v="2"/>
    <x v="2"/>
  </r>
  <r>
    <s v="SK-00694"/>
    <x v="232"/>
    <x v="482"/>
    <x v="2"/>
    <s v="New York"/>
    <x v="0"/>
    <n v="0.78472222222222221"/>
    <n v="0.78888888888888886"/>
    <n v="3"/>
    <x v="0"/>
    <x v="0"/>
    <n v="1389"/>
    <n v="6"/>
    <s v="May"/>
    <x v="1"/>
    <x v="0"/>
    <x v="2"/>
    <x v="0"/>
  </r>
  <r>
    <s v="SK-00695"/>
    <x v="233"/>
    <x v="371"/>
    <x v="5"/>
    <s v="Atlanta"/>
    <x v="1"/>
    <n v="0.3263888888888889"/>
    <n v="0.36249999999999999"/>
    <n v="41"/>
    <x v="1"/>
    <x v="0"/>
    <n v="606"/>
    <n v="52"/>
    <s v="May"/>
    <x v="2"/>
    <x v="1"/>
    <x v="0"/>
    <x v="1"/>
  </r>
  <r>
    <s v="SK-00696"/>
    <x v="233"/>
    <x v="238"/>
    <x v="6"/>
    <s v="New York"/>
    <x v="1"/>
    <n v="0.51736111111111116"/>
    <m/>
    <n v="32"/>
    <x v="1"/>
    <x v="0"/>
    <n v="2580"/>
    <n v="28"/>
    <s v="May"/>
    <x v="2"/>
    <x v="1"/>
    <x v="1"/>
    <x v="1"/>
  </r>
  <r>
    <s v="SK-00697"/>
    <x v="233"/>
    <x v="442"/>
    <x v="9"/>
    <s v="Los Angeles"/>
    <x v="0"/>
    <n v="0.61111111111111116"/>
    <n v="0.60972222222222228"/>
    <n v="-12"/>
    <x v="0"/>
    <x v="0"/>
    <n v="861"/>
    <n v="-2"/>
    <s v="May"/>
    <x v="2"/>
    <x v="0"/>
    <x v="1"/>
    <x v="0"/>
  </r>
  <r>
    <s v="SK-00698"/>
    <x v="233"/>
    <x v="483"/>
    <x v="2"/>
    <s v="Atlanta"/>
    <x v="0"/>
    <n v="0.63888888888888884"/>
    <n v="0.66597222222222219"/>
    <m/>
    <x v="2"/>
    <x v="0"/>
    <n v="730"/>
    <n v="39"/>
    <s v="May"/>
    <x v="2"/>
    <x v="2"/>
    <x v="1"/>
    <x v="1"/>
  </r>
  <r>
    <s v="SK-00699"/>
    <x v="234"/>
    <x v="484"/>
    <x v="10"/>
    <s v="Las Vegas"/>
    <x v="1"/>
    <n v="0.31944444444444442"/>
    <n v="0.32500000000000001"/>
    <n v="5"/>
    <x v="0"/>
    <x v="0"/>
    <n v="256"/>
    <n v="8"/>
    <s v="May"/>
    <x v="3"/>
    <x v="0"/>
    <x v="0"/>
    <x v="0"/>
  </r>
  <r>
    <s v="SK-00700"/>
    <x v="234"/>
    <x v="485"/>
    <x v="0"/>
    <s v="Denver"/>
    <x v="3"/>
    <n v="0.36805555555555558"/>
    <n v="0.36319444444444438"/>
    <n v="-3"/>
    <x v="0"/>
    <x v="0"/>
    <n v="861"/>
    <n v="-7"/>
    <s v="May"/>
    <x v="3"/>
    <x v="0"/>
    <x v="0"/>
    <x v="0"/>
  </r>
  <r>
    <s v="SK-00701"/>
    <x v="234"/>
    <x v="313"/>
    <x v="2"/>
    <s v="Denver"/>
    <x v="0"/>
    <n v="0.64236111111111116"/>
    <n v="0.64166666666666672"/>
    <n v="-9"/>
    <x v="0"/>
    <x v="0"/>
    <n v="641"/>
    <n v="-1"/>
    <s v="May"/>
    <x v="3"/>
    <x v="0"/>
    <x v="1"/>
    <x v="0"/>
  </r>
  <r>
    <s v="SK-00702"/>
    <x v="234"/>
    <x v="173"/>
    <x v="11"/>
    <s v="Chicago"/>
    <x v="3"/>
    <n v="0.65277777777777779"/>
    <n v="0.66111111111111109"/>
    <n v="5"/>
    <x v="0"/>
    <x v="0"/>
    <n v="1199"/>
    <n v="12"/>
    <s v="May"/>
    <x v="3"/>
    <x v="0"/>
    <x v="1"/>
    <x v="0"/>
  </r>
  <r>
    <s v="SK-00703"/>
    <x v="235"/>
    <x v="475"/>
    <x v="6"/>
    <s v="Denver"/>
    <x v="0"/>
    <n v="0.59027777777777779"/>
    <n v="0.58680555555555558"/>
    <n v="-4"/>
    <x v="0"/>
    <x v="0"/>
    <n v="965"/>
    <n v="-5"/>
    <s v="May"/>
    <x v="4"/>
    <x v="0"/>
    <x v="1"/>
    <x v="0"/>
  </r>
  <r>
    <s v="SK-00704"/>
    <x v="235"/>
    <x v="338"/>
    <x v="6"/>
    <s v="Atlanta"/>
    <x v="0"/>
    <n v="0.67013888888888884"/>
    <n v="0.6645833333333333"/>
    <n v="1"/>
    <x v="0"/>
    <x v="0"/>
    <n v="2134"/>
    <n v="-8"/>
    <s v="May"/>
    <x v="4"/>
    <x v="0"/>
    <x v="1"/>
    <x v="0"/>
  </r>
  <r>
    <s v="SK-00705"/>
    <x v="236"/>
    <x v="274"/>
    <x v="1"/>
    <s v="Dallas"/>
    <x v="0"/>
    <n v="0.42708333333333331"/>
    <n v="0.43402777777777779"/>
    <n v="13"/>
    <x v="0"/>
    <x v="0"/>
    <n v="1389"/>
    <n v="10"/>
    <s v="May"/>
    <x v="5"/>
    <x v="0"/>
    <x v="0"/>
    <x v="0"/>
  </r>
  <r>
    <s v="SK-00706"/>
    <x v="236"/>
    <x v="272"/>
    <x v="8"/>
    <s v="Dallas"/>
    <x v="0"/>
    <n v="0.61111111111111116"/>
    <n v="0.60763888888888884"/>
    <n v="2"/>
    <x v="0"/>
    <x v="0"/>
    <n v="1559"/>
    <n v="-5"/>
    <s v="May"/>
    <x v="5"/>
    <x v="0"/>
    <x v="1"/>
    <x v="0"/>
  </r>
  <r>
    <s v="SK-00707"/>
    <x v="236"/>
    <x v="350"/>
    <x v="11"/>
    <s v="Dallas"/>
    <x v="0"/>
    <n v="0.70833333333333337"/>
    <n v="0.73541666666666672"/>
    <n v="41"/>
    <x v="1"/>
    <x v="0"/>
    <n v="1120"/>
    <n v="39"/>
    <s v="May"/>
    <x v="5"/>
    <x v="1"/>
    <x v="2"/>
    <x v="1"/>
  </r>
  <r>
    <s v="SK-00708"/>
    <x v="237"/>
    <x v="361"/>
    <x v="8"/>
    <s v="San Francisco"/>
    <x v="1"/>
    <n v="0.30208333333333331"/>
    <n v="0.29722222222222222"/>
    <n v="-14"/>
    <x v="0"/>
    <x v="0"/>
    <n v="2698"/>
    <n v="-7"/>
    <s v="May"/>
    <x v="6"/>
    <x v="0"/>
    <x v="0"/>
    <x v="0"/>
  </r>
  <r>
    <s v="SK-00709"/>
    <x v="237"/>
    <x v="144"/>
    <x v="5"/>
    <s v="Boston"/>
    <x v="3"/>
    <n v="0.40972222222222221"/>
    <n v="0.40694444444444439"/>
    <n v="-6"/>
    <x v="0"/>
    <x v="0"/>
    <n v="864"/>
    <n v="-4"/>
    <s v="May"/>
    <x v="6"/>
    <x v="0"/>
    <x v="0"/>
    <x v="0"/>
  </r>
  <r>
    <s v="SK-00710"/>
    <x v="237"/>
    <x v="486"/>
    <x v="9"/>
    <s v="Dallas"/>
    <x v="0"/>
    <n v="0.63888888888888884"/>
    <n v="0.66319444444444442"/>
    <n v="36"/>
    <x v="2"/>
    <x v="0"/>
    <n v="641"/>
    <n v="35"/>
    <s v="May"/>
    <x v="6"/>
    <x v="1"/>
    <x v="1"/>
    <x v="1"/>
  </r>
  <r>
    <s v="SK-00711"/>
    <x v="238"/>
    <x v="487"/>
    <x v="1"/>
    <s v="Los Angeles"/>
    <x v="1"/>
    <n v="0.29166666666666669"/>
    <n v="0.31180555555555561"/>
    <n v="32"/>
    <x v="1"/>
    <x v="0"/>
    <n v="2470"/>
    <n v="29"/>
    <s v="May"/>
    <x v="0"/>
    <x v="1"/>
    <x v="0"/>
    <x v="1"/>
  </r>
  <r>
    <s v="SK-00712"/>
    <x v="238"/>
    <x v="188"/>
    <x v="0"/>
    <s v="Atlanta"/>
    <x v="0"/>
    <n v="0.61111111111111116"/>
    <n v="0.6069444444444444"/>
    <n v="-11"/>
    <x v="0"/>
    <x v="0"/>
    <n v="1942"/>
    <n v="-6"/>
    <s v="May"/>
    <x v="0"/>
    <x v="0"/>
    <x v="1"/>
    <x v="0"/>
  </r>
  <r>
    <s v="SK-00713"/>
    <x v="239"/>
    <x v="294"/>
    <x v="11"/>
    <s v="Phoenix"/>
    <x v="0"/>
    <n v="0.43055555555555558"/>
    <n v="0.42916666666666659"/>
    <n v="-8"/>
    <x v="0"/>
    <x v="0"/>
    <n v="1969"/>
    <n v="-2"/>
    <s v="May"/>
    <x v="1"/>
    <x v="0"/>
    <x v="0"/>
    <x v="0"/>
  </r>
  <r>
    <s v="SK-00714"/>
    <x v="239"/>
    <x v="488"/>
    <x v="11"/>
    <s v="Phoenix"/>
    <x v="1"/>
    <n v="0.64583333333333337"/>
    <m/>
    <n v="-4"/>
    <x v="0"/>
    <x v="0"/>
    <n v="1969"/>
    <n v="-2"/>
    <s v="May"/>
    <x v="1"/>
    <x v="0"/>
    <x v="1"/>
    <x v="0"/>
  </r>
  <r>
    <s v="SK-00715"/>
    <x v="240"/>
    <x v="49"/>
    <x v="4"/>
    <s v="Boston"/>
    <x v="0"/>
    <n v="0.53472222222222221"/>
    <n v="0.55625000000000002"/>
    <n v="26"/>
    <x v="2"/>
    <x v="0"/>
    <n v="2489"/>
    <n v="31"/>
    <s v="May"/>
    <x v="2"/>
    <x v="1"/>
    <x v="1"/>
    <x v="1"/>
  </r>
  <r>
    <s v="SK-00716"/>
    <x v="240"/>
    <x v="312"/>
    <x v="9"/>
    <s v="Seattle"/>
    <x v="1"/>
    <n v="0.73958333333333337"/>
    <n v="0.74652777777777779"/>
    <n v="10"/>
    <x v="0"/>
    <x v="0"/>
    <n v="1023"/>
    <n v="10"/>
    <s v="May"/>
    <x v="2"/>
    <x v="0"/>
    <x v="2"/>
    <x v="0"/>
  </r>
  <r>
    <s v="SK-00717"/>
    <x v="240"/>
    <x v="426"/>
    <x v="9"/>
    <s v="New York"/>
    <x v="3"/>
    <n v="0.74652777777777779"/>
    <n v="0.75277777777777777"/>
    <n v="15"/>
    <x v="0"/>
    <x v="0"/>
    <n v="1622"/>
    <n v="9"/>
    <s v="May"/>
    <x v="2"/>
    <x v="0"/>
    <x v="2"/>
    <x v="0"/>
  </r>
  <r>
    <s v="SK-00718"/>
    <x v="241"/>
    <x v="489"/>
    <x v="5"/>
    <s v="Las Vegas"/>
    <x v="2"/>
    <n v="0.39583333333333331"/>
    <n v="0.39791666666666659"/>
    <n v="-5"/>
    <x v="0"/>
    <x v="0"/>
    <n v="1511"/>
    <n v="3"/>
    <s v="May"/>
    <x v="3"/>
    <x v="0"/>
    <x v="0"/>
    <x v="0"/>
  </r>
  <r>
    <s v="SK-00719"/>
    <x v="242"/>
    <x v="490"/>
    <x v="2"/>
    <s v="San Francisco"/>
    <x v="2"/>
    <n v="0.5625"/>
    <n v="0.56111111111111112"/>
    <n v="0"/>
    <x v="0"/>
    <x v="0"/>
    <n v="1462"/>
    <n v="-2"/>
    <s v="May"/>
    <x v="4"/>
    <x v="0"/>
    <x v="1"/>
    <x v="0"/>
  </r>
  <r>
    <s v="SK-00720"/>
    <x v="242"/>
    <x v="491"/>
    <x v="2"/>
    <s v="Las Vegas"/>
    <x v="0"/>
    <n v="0.66319444444444442"/>
    <n v="0.67013888888888884"/>
    <n v="7"/>
    <x v="0"/>
    <x v="0"/>
    <n v="1053"/>
    <n v="10"/>
    <s v="May"/>
    <x v="4"/>
    <x v="0"/>
    <x v="1"/>
    <x v="0"/>
  </r>
  <r>
    <s v="SK-00721"/>
    <x v="243"/>
    <x v="61"/>
    <x v="7"/>
    <s v="Chicago"/>
    <x v="1"/>
    <n v="0.4513888888888889"/>
    <n v="0.45347222222222222"/>
    <n v="3"/>
    <x v="0"/>
    <x v="0"/>
    <n v="606"/>
    <n v="3"/>
    <s v="May"/>
    <x v="5"/>
    <x v="0"/>
    <x v="0"/>
    <x v="0"/>
  </r>
  <r>
    <s v="SK-00722"/>
    <x v="243"/>
    <x v="157"/>
    <x v="5"/>
    <s v="Seattle"/>
    <x v="0"/>
    <n v="0.67361111111111116"/>
    <n v="0.68472222222222223"/>
    <n v="13"/>
    <x v="1"/>
    <x v="0"/>
    <n v="1717"/>
    <n v="16"/>
    <s v="May"/>
    <x v="5"/>
    <x v="0"/>
    <x v="1"/>
    <x v="1"/>
  </r>
  <r>
    <s v="SK-00723"/>
    <x v="244"/>
    <x v="177"/>
    <x v="8"/>
    <s v="New York"/>
    <x v="0"/>
    <n v="0.3923611111111111"/>
    <n v="0.38750000000000001"/>
    <n v="-11"/>
    <x v="0"/>
    <x v="0"/>
    <n v="186"/>
    <n v="-7"/>
    <s v="May"/>
    <x v="0"/>
    <x v="0"/>
    <x v="0"/>
    <x v="0"/>
  </r>
  <r>
    <s v="SK-00724"/>
    <x v="244"/>
    <x v="294"/>
    <x v="1"/>
    <s v="Dallas"/>
    <x v="0"/>
    <n v="0.69444444444444442"/>
    <n v="0.69097222222222221"/>
    <n v="3"/>
    <x v="0"/>
    <x v="0"/>
    <n v="1389"/>
    <n v="-5"/>
    <s v="May"/>
    <x v="0"/>
    <x v="0"/>
    <x v="1"/>
    <x v="0"/>
  </r>
  <r>
    <s v="SK-00725"/>
    <x v="244"/>
    <x v="86"/>
    <x v="11"/>
    <s v="Chicago"/>
    <x v="0"/>
    <n v="0.85416666666666663"/>
    <n v="0.90277777777777779"/>
    <n v="61"/>
    <x v="2"/>
    <x v="0"/>
    <n v="1199"/>
    <n v="70"/>
    <s v="May"/>
    <x v="0"/>
    <x v="1"/>
    <x v="2"/>
    <x v="1"/>
  </r>
  <r>
    <s v="SK-00726"/>
    <x v="245"/>
    <x v="492"/>
    <x v="6"/>
    <s v="Dallas"/>
    <x v="2"/>
    <n v="0.35069444444444442"/>
    <n v="0.37916666666666671"/>
    <n v="27"/>
    <x v="2"/>
    <x v="0"/>
    <n v="1462"/>
    <n v="41"/>
    <s v="May"/>
    <x v="1"/>
    <x v="1"/>
    <x v="0"/>
    <x v="1"/>
  </r>
  <r>
    <s v="SK-00727"/>
    <x v="245"/>
    <x v="399"/>
    <x v="6"/>
    <s v="Los Angeles"/>
    <x v="1"/>
    <n v="0.4236111111111111"/>
    <n v="0.41805555555555562"/>
    <n v="1"/>
    <x v="0"/>
    <x v="0"/>
    <n v="338"/>
    <n v="-8"/>
    <s v="May"/>
    <x v="1"/>
    <x v="0"/>
    <x v="0"/>
    <x v="0"/>
  </r>
  <r>
    <s v="SK-00728"/>
    <x v="245"/>
    <x v="169"/>
    <x v="2"/>
    <s v="Chicago"/>
    <x v="0"/>
    <n v="0.56597222222222221"/>
    <n v="0.56458333333333333"/>
    <n v="6"/>
    <x v="0"/>
    <x v="0"/>
    <n v="802"/>
    <n v="-2"/>
    <s v="May"/>
    <x v="1"/>
    <x v="0"/>
    <x v="1"/>
    <x v="0"/>
  </r>
  <r>
    <s v="SK-00729"/>
    <x v="246"/>
    <x v="493"/>
    <x v="5"/>
    <s v="Phoenix"/>
    <x v="3"/>
    <n v="0.34722222222222221"/>
    <n v="0.37569444444444439"/>
    <n v="39"/>
    <x v="1"/>
    <x v="0"/>
    <n v="1438"/>
    <n v="41"/>
    <s v="May"/>
    <x v="2"/>
    <x v="1"/>
    <x v="0"/>
    <x v="1"/>
  </r>
  <r>
    <s v="SK-00730"/>
    <x v="246"/>
    <x v="494"/>
    <x v="5"/>
    <s v="San Francisco"/>
    <x v="3"/>
    <n v="0.53819444444444442"/>
    <n v="0.54027777777777775"/>
    <n v="-5"/>
    <x v="0"/>
    <x v="0"/>
    <n v="1842"/>
    <n v="3"/>
    <s v="May"/>
    <x v="2"/>
    <x v="0"/>
    <x v="1"/>
    <x v="0"/>
  </r>
  <r>
    <s v="SK-00731"/>
    <x v="247"/>
    <x v="478"/>
    <x v="9"/>
    <s v="New York"/>
    <x v="2"/>
    <n v="0.28819444444444442"/>
    <n v="0.31944444444444442"/>
    <n v="31"/>
    <x v="1"/>
    <x v="0"/>
    <n v="1622"/>
    <n v="45"/>
    <s v="May"/>
    <x v="3"/>
    <x v="1"/>
    <x v="0"/>
    <x v="1"/>
  </r>
  <r>
    <s v="SK-00732"/>
    <x v="247"/>
    <x v="495"/>
    <x v="4"/>
    <s v="Atlanta"/>
    <x v="0"/>
    <n v="0.30555555555555558"/>
    <n v="0.32708333333333328"/>
    <n v="25"/>
    <x v="2"/>
    <x v="0"/>
    <n v="2178"/>
    <n v="31"/>
    <s v="May"/>
    <x v="3"/>
    <x v="1"/>
    <x v="0"/>
    <x v="1"/>
  </r>
  <r>
    <s v="SK-00733"/>
    <x v="247"/>
    <x v="412"/>
    <x v="5"/>
    <s v="Dallas"/>
    <x v="1"/>
    <n v="0.46875"/>
    <n v="0.47638888888888892"/>
    <n v="13"/>
    <x v="0"/>
    <x v="0"/>
    <n v="802"/>
    <n v="11"/>
    <s v="May"/>
    <x v="3"/>
    <x v="0"/>
    <x v="0"/>
    <x v="0"/>
  </r>
  <r>
    <s v="SK-00734"/>
    <x v="247"/>
    <x v="496"/>
    <x v="4"/>
    <s v="Atlanta"/>
    <x v="0"/>
    <n v="0.53472222222222221"/>
    <n v="0.57499999999999996"/>
    <m/>
    <x v="3"/>
    <x v="0"/>
    <n v="2178"/>
    <n v="58"/>
    <s v="May"/>
    <x v="3"/>
    <x v="2"/>
    <x v="1"/>
    <x v="2"/>
  </r>
  <r>
    <s v="SK-00735"/>
    <x v="247"/>
    <x v="195"/>
    <x v="5"/>
    <s v="Dallas"/>
    <x v="2"/>
    <n v="0.57986111111111116"/>
    <n v="0.57777777777777772"/>
    <n v="-5"/>
    <x v="0"/>
    <x v="0"/>
    <n v="802"/>
    <n v="-3"/>
    <s v="May"/>
    <x v="3"/>
    <x v="0"/>
    <x v="1"/>
    <x v="0"/>
  </r>
  <r>
    <s v="SK-00736"/>
    <x v="247"/>
    <x v="147"/>
    <x v="1"/>
    <s v="Boston"/>
    <x v="3"/>
    <n v="0.71527777777777779"/>
    <n v="0.70972222222222225"/>
    <n v="-14"/>
    <x v="0"/>
    <x v="0"/>
    <n v="186"/>
    <n v="-8"/>
    <s v="May"/>
    <x v="3"/>
    <x v="0"/>
    <x v="2"/>
    <x v="0"/>
  </r>
  <r>
    <s v="SK-00737"/>
    <x v="247"/>
    <x v="497"/>
    <x v="1"/>
    <s v="San Francisco"/>
    <x v="0"/>
    <n v="0.875"/>
    <n v="0.88055555555555554"/>
    <n v="4"/>
    <x v="0"/>
    <x v="0"/>
    <n v="2580"/>
    <n v="8"/>
    <s v="May"/>
    <x v="3"/>
    <x v="0"/>
    <x v="3"/>
    <x v="0"/>
  </r>
  <r>
    <s v="SK-00738"/>
    <x v="248"/>
    <x v="498"/>
    <x v="3"/>
    <s v="Denver"/>
    <x v="2"/>
    <n v="0.37847222222222221"/>
    <n v="0.43472222222222218"/>
    <n v="70"/>
    <x v="1"/>
    <x v="0"/>
    <n v="627"/>
    <n v="81"/>
    <s v="May"/>
    <x v="5"/>
    <x v="1"/>
    <x v="0"/>
    <x v="1"/>
  </r>
  <r>
    <s v="SK-00739"/>
    <x v="248"/>
    <x v="499"/>
    <x v="7"/>
    <s v="Las Vegas"/>
    <x v="0"/>
    <n v="0.51041666666666663"/>
    <n v="0.51249999999999996"/>
    <n v="-5"/>
    <x v="0"/>
    <x v="0"/>
    <n v="1743"/>
    <n v="3"/>
    <s v="May"/>
    <x v="5"/>
    <x v="0"/>
    <x v="1"/>
    <x v="0"/>
  </r>
  <r>
    <s v="SK-00740"/>
    <x v="248"/>
    <x v="9"/>
    <x v="7"/>
    <s v="Seattle"/>
    <x v="0"/>
    <n v="0.52430555555555558"/>
    <n v="0.53611111111111109"/>
    <n v="21"/>
    <x v="1"/>
    <x v="0"/>
    <n v="2178"/>
    <n v="17"/>
    <s v="May"/>
    <x v="5"/>
    <x v="1"/>
    <x v="1"/>
    <x v="1"/>
  </r>
  <r>
    <s v="SK-00741"/>
    <x v="248"/>
    <x v="277"/>
    <x v="11"/>
    <s v="New York"/>
    <x v="0"/>
    <n v="0.62152777777777779"/>
    <n v="0.6166666666666667"/>
    <n v="1"/>
    <x v="0"/>
    <x v="0"/>
    <n v="1092"/>
    <n v="-7"/>
    <s v="May"/>
    <x v="5"/>
    <x v="0"/>
    <x v="1"/>
    <x v="0"/>
  </r>
  <r>
    <s v="SK-00742"/>
    <x v="248"/>
    <x v="9"/>
    <x v="3"/>
    <s v="Denver"/>
    <x v="0"/>
    <n v="0.71180555555555558"/>
    <n v="0.71736111111111112"/>
    <n v="15"/>
    <x v="0"/>
    <x v="0"/>
    <n v="627"/>
    <n v="8"/>
    <s v="May"/>
    <x v="5"/>
    <x v="0"/>
    <x v="2"/>
    <x v="0"/>
  </r>
  <r>
    <s v="SK-00743"/>
    <x v="249"/>
    <x v="82"/>
    <x v="6"/>
    <s v="Phoenix"/>
    <x v="1"/>
    <n v="0.2951388888888889"/>
    <n v="0.33680555555555558"/>
    <n v="65"/>
    <x v="2"/>
    <x v="0"/>
    <n v="651"/>
    <n v="60"/>
    <s v="May"/>
    <x v="0"/>
    <x v="1"/>
    <x v="0"/>
    <x v="1"/>
  </r>
  <r>
    <s v="SK-00744"/>
    <x v="249"/>
    <x v="357"/>
    <x v="10"/>
    <s v="Miami"/>
    <x v="0"/>
    <n v="0.38194444444444442"/>
    <n v="0.41388888888888892"/>
    <n v="50"/>
    <x v="4"/>
    <x v="0"/>
    <n v="1969"/>
    <n v="46"/>
    <s v="May"/>
    <x v="0"/>
    <x v="1"/>
    <x v="0"/>
    <x v="2"/>
  </r>
  <r>
    <s v="SK-00745"/>
    <x v="249"/>
    <x v="387"/>
    <x v="0"/>
    <s v="Miami"/>
    <x v="3"/>
    <n v="0.68055555555555558"/>
    <n v="0.68819444444444444"/>
    <n v="1"/>
    <x v="0"/>
    <x v="0"/>
    <n v="2338"/>
    <n v="11"/>
    <s v="May"/>
    <x v="0"/>
    <x v="0"/>
    <x v="1"/>
    <x v="0"/>
  </r>
  <r>
    <s v="SK-00746"/>
    <x v="250"/>
    <x v="500"/>
    <x v="2"/>
    <s v="Seattle"/>
    <x v="3"/>
    <n v="0.39930555555555558"/>
    <n v="0.4284722222222222"/>
    <m/>
    <x v="4"/>
    <x v="0"/>
    <n v="1658"/>
    <n v="42"/>
    <s v="May"/>
    <x v="1"/>
    <x v="2"/>
    <x v="0"/>
    <x v="2"/>
  </r>
  <r>
    <s v="SK-00747"/>
    <x v="250"/>
    <x v="501"/>
    <x v="7"/>
    <s v="Dallas"/>
    <x v="3"/>
    <n v="0.43402777777777779"/>
    <n v="0.43194444444444452"/>
    <n v="-15"/>
    <x v="0"/>
    <x v="0"/>
    <n v="730"/>
    <n v="-3"/>
    <s v="May"/>
    <x v="1"/>
    <x v="0"/>
    <x v="0"/>
    <x v="0"/>
  </r>
  <r>
    <s v="SK-00748"/>
    <x v="250"/>
    <x v="89"/>
    <x v="3"/>
    <s v="Denver"/>
    <x v="0"/>
    <n v="0.4375"/>
    <n v="0.4375"/>
    <n v="-2"/>
    <x v="0"/>
    <x v="0"/>
    <n v="627"/>
    <n v="0"/>
    <s v="May"/>
    <x v="1"/>
    <x v="0"/>
    <x v="0"/>
    <x v="0"/>
  </r>
  <r>
    <s v="SK-00749"/>
    <x v="250"/>
    <x v="329"/>
    <x v="10"/>
    <s v="Dallas"/>
    <x v="2"/>
    <n v="0.52430555555555558"/>
    <n v="0.55625000000000002"/>
    <n v="42"/>
    <x v="3"/>
    <x v="0"/>
    <n v="866"/>
    <n v="46"/>
    <s v="May"/>
    <x v="1"/>
    <x v="1"/>
    <x v="1"/>
    <x v="2"/>
  </r>
  <r>
    <s v="SK-00750"/>
    <x v="250"/>
    <x v="502"/>
    <x v="9"/>
    <s v="Dallas"/>
    <x v="2"/>
    <n v="0.70833333333333337"/>
    <n v="0.73888888888888893"/>
    <n v="37"/>
    <x v="2"/>
    <x v="0"/>
    <n v="641"/>
    <n v="44"/>
    <s v="May"/>
    <x v="1"/>
    <x v="1"/>
    <x v="2"/>
    <x v="1"/>
  </r>
  <r>
    <s v="SK-00751"/>
    <x v="251"/>
    <x v="17"/>
    <x v="2"/>
    <s v="Atlanta"/>
    <x v="0"/>
    <n v="0.4201388888888889"/>
    <n v="0.4152777777777778"/>
    <n v="-8"/>
    <x v="0"/>
    <x v="0"/>
    <n v="730"/>
    <n v="-7"/>
    <s v="May"/>
    <x v="2"/>
    <x v="0"/>
    <x v="0"/>
    <x v="0"/>
  </r>
  <r>
    <s v="SK-00752"/>
    <x v="252"/>
    <x v="503"/>
    <x v="5"/>
    <s v="New York"/>
    <x v="1"/>
    <n v="0.77083333333333337"/>
    <n v="0.8354166666666667"/>
    <n v="98"/>
    <x v="2"/>
    <x v="0"/>
    <n v="738"/>
    <n v="93"/>
    <s v="May"/>
    <x v="3"/>
    <x v="1"/>
    <x v="2"/>
    <x v="1"/>
  </r>
  <r>
    <s v="SK-00753"/>
    <x v="252"/>
    <x v="504"/>
    <x v="4"/>
    <s v="Atlanta"/>
    <x v="1"/>
    <n v="0.79861111111111116"/>
    <n v="0.83402777777777781"/>
    <n v="38"/>
    <x v="3"/>
    <x v="0"/>
    <n v="2178"/>
    <n v="51"/>
    <s v="May"/>
    <x v="3"/>
    <x v="1"/>
    <x v="2"/>
    <x v="2"/>
  </r>
  <r>
    <s v="SK-00754"/>
    <x v="253"/>
    <x v="505"/>
    <x v="5"/>
    <s v="Phoenix"/>
    <x v="2"/>
    <n v="0.34722222222222221"/>
    <n v="0.34652777777777782"/>
    <n v="4"/>
    <x v="0"/>
    <x v="0"/>
    <n v="1438"/>
    <n v="-1"/>
    <s v="May"/>
    <x v="4"/>
    <x v="0"/>
    <x v="0"/>
    <x v="0"/>
  </r>
  <r>
    <s v="SK-00755"/>
    <x v="253"/>
    <x v="34"/>
    <x v="7"/>
    <s v="Dallas"/>
    <x v="1"/>
    <n v="0.68402777777777779"/>
    <n v="0.73333333333333328"/>
    <n v="74"/>
    <x v="1"/>
    <x v="0"/>
    <n v="730"/>
    <n v="71"/>
    <s v="May"/>
    <x v="4"/>
    <x v="1"/>
    <x v="1"/>
    <x v="1"/>
  </r>
  <r>
    <s v="SK-00756"/>
    <x v="254"/>
    <x v="495"/>
    <x v="5"/>
    <s v="Los Angeles"/>
    <x v="0"/>
    <n v="0.27083333333333331"/>
    <n v="0.28680555555555548"/>
    <n v="14"/>
    <x v="1"/>
    <x v="0"/>
    <n v="1742"/>
    <n v="23"/>
    <s v="May"/>
    <x v="5"/>
    <x v="0"/>
    <x v="0"/>
    <x v="1"/>
  </r>
  <r>
    <s v="SK-00757"/>
    <x v="254"/>
    <x v="392"/>
    <x v="0"/>
    <s v="Atlanta"/>
    <x v="1"/>
    <n v="0.66319444444444442"/>
    <n v="0.6645833333333333"/>
    <n v="-7"/>
    <x v="0"/>
    <x v="0"/>
    <n v="1942"/>
    <n v="2"/>
    <s v="May"/>
    <x v="5"/>
    <x v="0"/>
    <x v="1"/>
    <x v="0"/>
  </r>
  <r>
    <s v="SK-00758"/>
    <x v="254"/>
    <x v="506"/>
    <x v="7"/>
    <s v="Dallas"/>
    <x v="1"/>
    <n v="0.78819444444444442"/>
    <n v="0.79652777777777772"/>
    <m/>
    <x v="0"/>
    <x v="0"/>
    <n v="730"/>
    <n v="12"/>
    <s v="May"/>
    <x v="5"/>
    <x v="2"/>
    <x v="2"/>
    <x v="0"/>
  </r>
  <r>
    <s v="SK-00759"/>
    <x v="255"/>
    <x v="507"/>
    <x v="2"/>
    <s v="Chicago"/>
    <x v="0"/>
    <n v="0.24652777777777779"/>
    <n v="0.27777777777777779"/>
    <n v="33"/>
    <x v="1"/>
    <x v="0"/>
    <n v="802"/>
    <n v="45"/>
    <s v="May"/>
    <x v="6"/>
    <x v="1"/>
    <x v="0"/>
    <x v="1"/>
  </r>
  <r>
    <s v="SK-00760"/>
    <x v="255"/>
    <x v="256"/>
    <x v="5"/>
    <s v="Denver"/>
    <x v="1"/>
    <n v="0.31944444444444442"/>
    <n v="0.35833333333333328"/>
    <n v="62"/>
    <x v="3"/>
    <x v="0"/>
    <n v="886"/>
    <n v="56"/>
    <s v="May"/>
    <x v="6"/>
    <x v="1"/>
    <x v="0"/>
    <x v="2"/>
  </r>
  <r>
    <s v="SK-00761"/>
    <x v="255"/>
    <x v="398"/>
    <x v="0"/>
    <s v="Phoenix"/>
    <x v="3"/>
    <n v="0.53819444444444442"/>
    <n v="0.54236111111111107"/>
    <n v="11"/>
    <x v="0"/>
    <x v="0"/>
    <n v="370"/>
    <n v="6"/>
    <s v="May"/>
    <x v="6"/>
    <x v="0"/>
    <x v="1"/>
    <x v="0"/>
  </r>
  <r>
    <s v="SK-00762"/>
    <x v="255"/>
    <x v="508"/>
    <x v="6"/>
    <s v="Atlanta"/>
    <x v="2"/>
    <n v="0.58680555555555558"/>
    <n v="0.59027777777777779"/>
    <n v="15"/>
    <x v="0"/>
    <x v="0"/>
    <n v="2134"/>
    <n v="5"/>
    <s v="May"/>
    <x v="6"/>
    <x v="0"/>
    <x v="1"/>
    <x v="0"/>
  </r>
  <r>
    <s v="SK-00763"/>
    <x v="256"/>
    <x v="509"/>
    <x v="2"/>
    <s v="Las Vegas"/>
    <x v="1"/>
    <n v="0.84722222222222221"/>
    <n v="0.875"/>
    <m/>
    <x v="3"/>
    <x v="0"/>
    <n v="1053"/>
    <n v="40"/>
    <s v="June"/>
    <x v="0"/>
    <x v="2"/>
    <x v="2"/>
    <x v="2"/>
  </r>
  <r>
    <s v="SK-00764"/>
    <x v="256"/>
    <x v="510"/>
    <x v="6"/>
    <s v="New York"/>
    <x v="1"/>
    <n v="0.88194444444444442"/>
    <n v="0.88958333333333328"/>
    <n v="20"/>
    <x v="0"/>
    <x v="0"/>
    <n v="2580"/>
    <n v="11"/>
    <s v="June"/>
    <x v="0"/>
    <x v="1"/>
    <x v="3"/>
    <x v="0"/>
  </r>
  <r>
    <s v="SK-00765"/>
    <x v="257"/>
    <x v="487"/>
    <x v="1"/>
    <s v="Chicago"/>
    <x v="1"/>
    <n v="0.55208333333333337"/>
    <n v="0.55555555555555558"/>
    <n v="13"/>
    <x v="0"/>
    <x v="0"/>
    <n v="738"/>
    <n v="5"/>
    <s v="June"/>
    <x v="1"/>
    <x v="0"/>
    <x v="1"/>
    <x v="0"/>
  </r>
  <r>
    <s v="SK-00766"/>
    <x v="257"/>
    <x v="87"/>
    <x v="9"/>
    <s v="Chicago"/>
    <x v="1"/>
    <n v="0.63888888888888884"/>
    <n v="0.63680555555555551"/>
    <n v="-6"/>
    <x v="0"/>
    <x v="0"/>
    <n v="886"/>
    <n v="-3"/>
    <s v="June"/>
    <x v="1"/>
    <x v="0"/>
    <x v="1"/>
    <x v="0"/>
  </r>
  <r>
    <s v="SK-00767"/>
    <x v="257"/>
    <x v="511"/>
    <x v="9"/>
    <s v="Dallas"/>
    <x v="2"/>
    <n v="0.72222222222222221"/>
    <n v="0.72083333333333333"/>
    <n v="3"/>
    <x v="0"/>
    <x v="0"/>
    <n v="641"/>
    <n v="-2"/>
    <s v="June"/>
    <x v="1"/>
    <x v="0"/>
    <x v="2"/>
    <x v="0"/>
  </r>
  <r>
    <s v="SK-00768"/>
    <x v="257"/>
    <x v="512"/>
    <x v="5"/>
    <s v="Atlanta"/>
    <x v="2"/>
    <n v="0.79166666666666663"/>
    <n v="0.80347222222222225"/>
    <n v="13"/>
    <x v="2"/>
    <x v="0"/>
    <n v="606"/>
    <n v="17"/>
    <s v="June"/>
    <x v="1"/>
    <x v="0"/>
    <x v="2"/>
    <x v="1"/>
  </r>
  <r>
    <s v="SK-00769"/>
    <x v="258"/>
    <x v="513"/>
    <x v="10"/>
    <s v="Atlanta"/>
    <x v="0"/>
    <n v="0.80208333333333337"/>
    <n v="0.80833333333333335"/>
    <n v="12"/>
    <x v="0"/>
    <x v="0"/>
    <n v="1584"/>
    <n v="9"/>
    <s v="June"/>
    <x v="2"/>
    <x v="0"/>
    <x v="2"/>
    <x v="0"/>
  </r>
  <r>
    <s v="SK-00770"/>
    <x v="258"/>
    <x v="514"/>
    <x v="10"/>
    <s v="Atlanta"/>
    <x v="1"/>
    <n v="0.86458333333333337"/>
    <n v="0.88958333333333328"/>
    <n v="44"/>
    <x v="1"/>
    <x v="0"/>
    <n v="1584"/>
    <n v="36"/>
    <s v="June"/>
    <x v="2"/>
    <x v="1"/>
    <x v="2"/>
    <x v="1"/>
  </r>
  <r>
    <s v="SK-00771"/>
    <x v="259"/>
    <x v="190"/>
    <x v="4"/>
    <s v="Chicago"/>
    <x v="0"/>
    <n v="0.35416666666666669"/>
    <n v="0.34930555555555548"/>
    <n v="1"/>
    <x v="0"/>
    <x v="0"/>
    <n v="1717"/>
    <n v="-7"/>
    <s v="June"/>
    <x v="3"/>
    <x v="0"/>
    <x v="0"/>
    <x v="0"/>
  </r>
  <r>
    <s v="SK-00772"/>
    <x v="259"/>
    <x v="406"/>
    <x v="7"/>
    <s v="Chicago"/>
    <x v="1"/>
    <n v="0.55902777777777779"/>
    <n v="0.58402777777777781"/>
    <n v="36"/>
    <x v="1"/>
    <x v="0"/>
    <n v="606"/>
    <n v="36"/>
    <s v="June"/>
    <x v="3"/>
    <x v="1"/>
    <x v="1"/>
    <x v="1"/>
  </r>
  <r>
    <s v="SK-00773"/>
    <x v="259"/>
    <x v="116"/>
    <x v="7"/>
    <s v="San Francisco"/>
    <x v="1"/>
    <n v="0.71180555555555558"/>
    <n v="0.70833333333333337"/>
    <n v="-3"/>
    <x v="0"/>
    <x v="0"/>
    <n v="2134"/>
    <n v="-5"/>
    <s v="June"/>
    <x v="3"/>
    <x v="0"/>
    <x v="2"/>
    <x v="0"/>
  </r>
  <r>
    <s v="SK-00774"/>
    <x v="259"/>
    <x v="515"/>
    <x v="4"/>
    <s v="Phoenix"/>
    <x v="1"/>
    <n v="0.71180555555555558"/>
    <n v="0.7104166666666667"/>
    <n v="-2"/>
    <x v="0"/>
    <x v="0"/>
    <n v="1108"/>
    <n v="-2"/>
    <s v="June"/>
    <x v="3"/>
    <x v="0"/>
    <x v="2"/>
    <x v="0"/>
  </r>
  <r>
    <s v="SK-00775"/>
    <x v="259"/>
    <x v="271"/>
    <x v="0"/>
    <s v="Miami"/>
    <x v="3"/>
    <n v="0.72916666666666663"/>
    <n v="0.72916666666666663"/>
    <n v="5"/>
    <x v="0"/>
    <x v="0"/>
    <n v="2338"/>
    <n v="0"/>
    <s v="June"/>
    <x v="3"/>
    <x v="0"/>
    <x v="2"/>
    <x v="0"/>
  </r>
  <r>
    <s v="SK-00776"/>
    <x v="260"/>
    <x v="516"/>
    <x v="11"/>
    <s v="Las Vegas"/>
    <x v="0"/>
    <n v="0.3263888888888889"/>
    <n v="0.32361111111111113"/>
    <n v="-13"/>
    <x v="0"/>
    <x v="0"/>
    <n v="2171"/>
    <n v="-4"/>
    <s v="June"/>
    <x v="4"/>
    <x v="0"/>
    <x v="0"/>
    <x v="0"/>
  </r>
  <r>
    <s v="SK-00777"/>
    <x v="260"/>
    <x v="517"/>
    <x v="11"/>
    <s v="Boston"/>
    <x v="2"/>
    <n v="0.40625"/>
    <n v="0.40833333333333333"/>
    <n v="-5"/>
    <x v="0"/>
    <x v="0"/>
    <n v="1260"/>
    <n v="3"/>
    <s v="June"/>
    <x v="4"/>
    <x v="0"/>
    <x v="0"/>
    <x v="0"/>
  </r>
  <r>
    <s v="SK-00778"/>
    <x v="260"/>
    <x v="518"/>
    <x v="0"/>
    <s v="Atlanta"/>
    <x v="2"/>
    <n v="0.69791666666666663"/>
    <n v="0.70208333333333328"/>
    <n v="7"/>
    <x v="0"/>
    <x v="0"/>
    <n v="1942"/>
    <n v="6"/>
    <s v="June"/>
    <x v="4"/>
    <x v="0"/>
    <x v="1"/>
    <x v="0"/>
  </r>
  <r>
    <s v="SK-00779"/>
    <x v="261"/>
    <x v="519"/>
    <x v="5"/>
    <s v="Dallas"/>
    <x v="1"/>
    <n v="0.34027777777777779"/>
    <n v="0.34097222222222218"/>
    <n v="-5"/>
    <x v="0"/>
    <x v="0"/>
    <n v="802"/>
    <n v="1"/>
    <s v="June"/>
    <x v="5"/>
    <x v="0"/>
    <x v="0"/>
    <x v="0"/>
  </r>
  <r>
    <s v="SK-00780"/>
    <x v="261"/>
    <x v="384"/>
    <x v="5"/>
    <s v="San Francisco"/>
    <x v="2"/>
    <n v="0.63541666666666663"/>
    <n v="0.63680555555555551"/>
    <n v="10"/>
    <x v="0"/>
    <x v="0"/>
    <n v="1842"/>
    <n v="2"/>
    <s v="June"/>
    <x v="5"/>
    <x v="0"/>
    <x v="1"/>
    <x v="0"/>
  </r>
  <r>
    <s v="SK-00781"/>
    <x v="261"/>
    <x v="106"/>
    <x v="0"/>
    <s v="New York"/>
    <x v="0"/>
    <n v="0.77430555555555558"/>
    <n v="0.77986111111111112"/>
    <n v="15"/>
    <x v="0"/>
    <x v="0"/>
    <n v="2470"/>
    <n v="8"/>
    <s v="June"/>
    <x v="5"/>
    <x v="0"/>
    <x v="2"/>
    <x v="0"/>
  </r>
  <r>
    <s v="SK-00782"/>
    <x v="262"/>
    <x v="520"/>
    <x v="7"/>
    <s v="San Francisco"/>
    <x v="1"/>
    <n v="0.40277777777777779"/>
    <n v="0.41805555555555562"/>
    <n v="19"/>
    <x v="2"/>
    <x v="0"/>
    <n v="2134"/>
    <n v="22"/>
    <s v="June"/>
    <x v="6"/>
    <x v="1"/>
    <x v="0"/>
    <x v="1"/>
  </r>
  <r>
    <s v="SK-00783"/>
    <x v="262"/>
    <x v="410"/>
    <x v="1"/>
    <s v="Las Vegas"/>
    <x v="1"/>
    <n v="0.58333333333333337"/>
    <n v="0.58333333333333337"/>
    <n v="10"/>
    <x v="0"/>
    <x v="0"/>
    <n v="2243"/>
    <n v="0"/>
    <s v="June"/>
    <x v="6"/>
    <x v="0"/>
    <x v="1"/>
    <x v="0"/>
  </r>
  <r>
    <s v="SK-00784"/>
    <x v="262"/>
    <x v="94"/>
    <x v="4"/>
    <s v="Boston"/>
    <x v="0"/>
    <n v="0.79861111111111116"/>
    <n v="0.81944444444444442"/>
    <n v="25"/>
    <x v="1"/>
    <x v="0"/>
    <n v="2489"/>
    <n v="30"/>
    <s v="June"/>
    <x v="6"/>
    <x v="1"/>
    <x v="2"/>
    <x v="1"/>
  </r>
  <r>
    <s v="SK-00785"/>
    <x v="263"/>
    <x v="192"/>
    <x v="10"/>
    <s v="Chicago"/>
    <x v="0"/>
    <n v="0.36805555555555558"/>
    <n v="0.37291666666666667"/>
    <n v="13"/>
    <x v="0"/>
    <x v="0"/>
    <n v="1438"/>
    <n v="7"/>
    <s v="June"/>
    <x v="0"/>
    <x v="0"/>
    <x v="0"/>
    <x v="0"/>
  </r>
  <r>
    <s v="SK-00786"/>
    <x v="263"/>
    <x v="280"/>
    <x v="1"/>
    <s v="Atlanta"/>
    <x v="1"/>
    <n v="0.71875"/>
    <n v="0.71805555555555556"/>
    <n v="-11"/>
    <x v="0"/>
    <x v="0"/>
    <n v="759"/>
    <n v="-1"/>
    <s v="June"/>
    <x v="0"/>
    <x v="0"/>
    <x v="2"/>
    <x v="0"/>
  </r>
  <r>
    <s v="SK-00787"/>
    <x v="264"/>
    <x v="521"/>
    <x v="6"/>
    <s v="Boston"/>
    <x v="3"/>
    <n v="0.71180555555555558"/>
    <n v="0.71388888888888891"/>
    <n v="-5"/>
    <x v="0"/>
    <x v="0"/>
    <n v="2698"/>
    <n v="3"/>
    <s v="June"/>
    <x v="1"/>
    <x v="0"/>
    <x v="2"/>
    <x v="0"/>
  </r>
  <r>
    <s v="SK-00788"/>
    <x v="264"/>
    <x v="91"/>
    <x v="7"/>
    <s v="New York"/>
    <x v="1"/>
    <n v="0.76736111111111116"/>
    <n v="0.80694444444444446"/>
    <n v="61"/>
    <x v="1"/>
    <x v="0"/>
    <n v="759"/>
    <n v="57"/>
    <s v="June"/>
    <x v="1"/>
    <x v="1"/>
    <x v="2"/>
    <x v="1"/>
  </r>
  <r>
    <s v="SK-00789"/>
    <x v="265"/>
    <x v="116"/>
    <x v="3"/>
    <s v="Atlanta"/>
    <x v="0"/>
    <n v="0.24652777777777779"/>
    <n v="0.2416666666666667"/>
    <n v="-12"/>
    <x v="0"/>
    <x v="0"/>
    <n v="1743"/>
    <m/>
    <s v="June"/>
    <x v="2"/>
    <x v="0"/>
    <x v="0"/>
    <x v="0"/>
  </r>
  <r>
    <s v="SK-00790"/>
    <x v="265"/>
    <x v="425"/>
    <x v="5"/>
    <s v="New York"/>
    <x v="2"/>
    <n v="0.73611111111111116"/>
    <n v="0.76388888888888884"/>
    <n v="27"/>
    <x v="2"/>
    <x v="0"/>
    <n v="738"/>
    <n v="40"/>
    <s v="June"/>
    <x v="2"/>
    <x v="1"/>
    <x v="2"/>
    <x v="1"/>
  </r>
  <r>
    <s v="SK-00791"/>
    <x v="265"/>
    <x v="187"/>
    <x v="1"/>
    <s v="Miami"/>
    <x v="0"/>
    <n v="0.82638888888888884"/>
    <n v="0.87847222222222221"/>
    <n v="62"/>
    <x v="3"/>
    <x v="0"/>
    <n v="1092"/>
    <n v="75"/>
    <s v="June"/>
    <x v="2"/>
    <x v="1"/>
    <x v="2"/>
    <x v="2"/>
  </r>
  <r>
    <s v="SK-00792"/>
    <x v="266"/>
    <x v="395"/>
    <x v="1"/>
    <s v="San Francisco"/>
    <x v="0"/>
    <n v="0.71875"/>
    <n v="0.75"/>
    <n v="47"/>
    <x v="1"/>
    <x v="0"/>
    <n v="2580"/>
    <n v="45"/>
    <s v="June"/>
    <x v="3"/>
    <x v="1"/>
    <x v="2"/>
    <x v="1"/>
  </r>
  <r>
    <s v="SK-00793"/>
    <x v="267"/>
    <x v="381"/>
    <x v="4"/>
    <s v="Denver"/>
    <x v="0"/>
    <n v="0.56597222222222221"/>
    <n v="0.56805555555555554"/>
    <n v="11"/>
    <x v="0"/>
    <x v="0"/>
    <n v="1023"/>
    <n v="3"/>
    <s v="June"/>
    <x v="4"/>
    <x v="0"/>
    <x v="1"/>
    <x v="0"/>
  </r>
  <r>
    <s v="SK-00794"/>
    <x v="267"/>
    <x v="246"/>
    <x v="4"/>
    <s v="Chicago"/>
    <x v="0"/>
    <n v="0.85069444444444442"/>
    <n v="0.85277777777777775"/>
    <n v="12"/>
    <x v="0"/>
    <x v="0"/>
    <n v="1717"/>
    <n v="3"/>
    <s v="June"/>
    <x v="4"/>
    <x v="0"/>
    <x v="2"/>
    <x v="0"/>
  </r>
  <r>
    <s v="SK-00795"/>
    <x v="268"/>
    <x v="522"/>
    <x v="6"/>
    <s v="Phoenix"/>
    <x v="0"/>
    <n v="0.53472222222222221"/>
    <n v="0.54305555555555551"/>
    <n v="18"/>
    <x v="0"/>
    <x v="0"/>
    <n v="651"/>
    <n v="12"/>
    <s v="June"/>
    <x v="5"/>
    <x v="1"/>
    <x v="1"/>
    <x v="0"/>
  </r>
  <r>
    <s v="SK-00796"/>
    <x v="269"/>
    <x v="342"/>
    <x v="9"/>
    <s v="Las Vegas"/>
    <x v="0"/>
    <n v="0.33333333333333331"/>
    <n v="0.33124999999999999"/>
    <n v="4"/>
    <x v="0"/>
    <x v="0"/>
    <n v="627"/>
    <n v="-3"/>
    <s v="June"/>
    <x v="6"/>
    <x v="0"/>
    <x v="0"/>
    <x v="0"/>
  </r>
  <r>
    <s v="SK-00797"/>
    <x v="269"/>
    <x v="243"/>
    <x v="5"/>
    <s v="Atlanta"/>
    <x v="1"/>
    <n v="0.34027777777777779"/>
    <n v="0.34444444444444439"/>
    <n v="-6"/>
    <x v="0"/>
    <x v="0"/>
    <n v="606"/>
    <n v="6"/>
    <s v="June"/>
    <x v="6"/>
    <x v="0"/>
    <x v="0"/>
    <x v="0"/>
  </r>
  <r>
    <s v="SK-00798"/>
    <x v="269"/>
    <x v="114"/>
    <x v="9"/>
    <s v="New York"/>
    <x v="3"/>
    <n v="0.34722222222222221"/>
    <n v="0.35416666666666669"/>
    <n v="11"/>
    <x v="0"/>
    <x v="0"/>
    <n v="1622"/>
    <n v="10"/>
    <s v="June"/>
    <x v="6"/>
    <x v="0"/>
    <x v="0"/>
    <x v="0"/>
  </r>
  <r>
    <s v="SK-00799"/>
    <x v="269"/>
    <x v="523"/>
    <x v="7"/>
    <s v="Denver"/>
    <x v="2"/>
    <n v="0.52430555555555558"/>
    <n v="0.54236111111111107"/>
    <n v="12"/>
    <x v="5"/>
    <x v="0"/>
    <n v="1197"/>
    <n v="26"/>
    <s v="June"/>
    <x v="6"/>
    <x v="0"/>
    <x v="1"/>
    <x v="2"/>
  </r>
  <r>
    <s v="SK-00800"/>
    <x v="269"/>
    <x v="524"/>
    <x v="1"/>
    <s v="Chicago"/>
    <x v="0"/>
    <n v="0.62152777777777779"/>
    <n v="0.62430555555555556"/>
    <n v="7"/>
    <x v="0"/>
    <x v="0"/>
    <n v="738"/>
    <n v="4"/>
    <s v="June"/>
    <x v="6"/>
    <x v="0"/>
    <x v="1"/>
    <x v="0"/>
  </r>
  <r>
    <s v="SK-00801"/>
    <x v="269"/>
    <x v="83"/>
    <x v="2"/>
    <s v="Miami"/>
    <x v="2"/>
    <n v="0.69444444444444442"/>
    <n v="0.70763888888888893"/>
    <n v="4"/>
    <x v="1"/>
    <x v="0"/>
    <n v="1120"/>
    <n v="19"/>
    <s v="June"/>
    <x v="6"/>
    <x v="0"/>
    <x v="1"/>
    <x v="1"/>
  </r>
  <r>
    <s v="SK-00802"/>
    <x v="269"/>
    <x v="506"/>
    <x v="4"/>
    <s v="Denver"/>
    <x v="2"/>
    <n v="0.71180555555555558"/>
    <n v="0.71944444444444444"/>
    <n v="13"/>
    <x v="0"/>
    <x v="0"/>
    <n v="1023"/>
    <n v="11"/>
    <s v="June"/>
    <x v="6"/>
    <x v="0"/>
    <x v="2"/>
    <x v="0"/>
  </r>
  <r>
    <s v="SK-00803"/>
    <x v="269"/>
    <x v="293"/>
    <x v="0"/>
    <s v="Denver"/>
    <x v="2"/>
    <n v="0.74652777777777779"/>
    <m/>
    <m/>
    <x v="2"/>
    <x v="1"/>
    <n v="861"/>
    <m/>
    <s v="June"/>
    <x v="6"/>
    <x v="2"/>
    <x v="2"/>
    <x v="1"/>
  </r>
  <r>
    <s v="SK-00804"/>
    <x v="269"/>
    <x v="171"/>
    <x v="5"/>
    <s v="Denver"/>
    <x v="0"/>
    <n v="0.81597222222222221"/>
    <n v="0.81041666666666667"/>
    <n v="-1"/>
    <x v="0"/>
    <x v="0"/>
    <n v="886"/>
    <n v="-8"/>
    <s v="June"/>
    <x v="6"/>
    <x v="0"/>
    <x v="2"/>
    <x v="0"/>
  </r>
  <r>
    <s v="SK-00805"/>
    <x v="270"/>
    <x v="224"/>
    <x v="2"/>
    <s v="Las Vegas"/>
    <x v="3"/>
    <n v="0.58333333333333337"/>
    <n v="0.57986111111111116"/>
    <n v="-7"/>
    <x v="0"/>
    <x v="0"/>
    <n v="1053"/>
    <n v="-5"/>
    <s v="June"/>
    <x v="0"/>
    <x v="0"/>
    <x v="1"/>
    <x v="0"/>
  </r>
  <r>
    <s v="SK-00806"/>
    <x v="271"/>
    <x v="214"/>
    <x v="7"/>
    <s v="Miami"/>
    <x v="3"/>
    <n v="0.78472222222222221"/>
    <n v="0.79166666666666663"/>
    <n v="18"/>
    <x v="0"/>
    <x v="0"/>
    <n v="596"/>
    <n v="10"/>
    <s v="June"/>
    <x v="1"/>
    <x v="1"/>
    <x v="2"/>
    <x v="0"/>
  </r>
  <r>
    <s v="SK-00807"/>
    <x v="272"/>
    <x v="525"/>
    <x v="11"/>
    <s v="Los Angeles"/>
    <x v="1"/>
    <n v="0.54513888888888884"/>
    <n v="0.54374999999999996"/>
    <n v="-5"/>
    <x v="0"/>
    <x v="0"/>
    <n v="2338"/>
    <n v="-2"/>
    <s v="June"/>
    <x v="2"/>
    <x v="0"/>
    <x v="1"/>
    <x v="0"/>
  </r>
  <r>
    <s v="SK-00808"/>
    <x v="272"/>
    <x v="413"/>
    <x v="7"/>
    <s v="Los Angeles"/>
    <x v="0"/>
    <n v="0.61111111111111116"/>
    <n v="0.61250000000000004"/>
    <n v="2"/>
    <x v="0"/>
    <x v="0"/>
    <n v="1942"/>
    <n v="2"/>
    <s v="June"/>
    <x v="2"/>
    <x v="0"/>
    <x v="1"/>
    <x v="0"/>
  </r>
  <r>
    <s v="SK-00809"/>
    <x v="272"/>
    <x v="54"/>
    <x v="7"/>
    <s v="Denver"/>
    <x v="2"/>
    <n v="0.69444444444444442"/>
    <n v="0.72499999999999998"/>
    <n v="52"/>
    <x v="3"/>
    <x v="0"/>
    <n v="1197"/>
    <n v="44"/>
    <s v="June"/>
    <x v="2"/>
    <x v="1"/>
    <x v="1"/>
    <x v="2"/>
  </r>
  <r>
    <s v="SK-00810"/>
    <x v="273"/>
    <x v="465"/>
    <x v="5"/>
    <s v="Las Vegas"/>
    <x v="0"/>
    <n v="0.30555555555555558"/>
    <n v="0.30972222222222218"/>
    <n v="3"/>
    <x v="0"/>
    <x v="0"/>
    <n v="1511"/>
    <n v="6"/>
    <s v="June"/>
    <x v="3"/>
    <x v="0"/>
    <x v="0"/>
    <x v="0"/>
  </r>
  <r>
    <s v="SK-00811"/>
    <x v="273"/>
    <x v="193"/>
    <x v="5"/>
    <s v="Atlanta"/>
    <x v="2"/>
    <n v="0.41319444444444442"/>
    <n v="0.41736111111111113"/>
    <n v="16"/>
    <x v="0"/>
    <x v="0"/>
    <n v="606"/>
    <n v="6"/>
    <s v="June"/>
    <x v="3"/>
    <x v="1"/>
    <x v="0"/>
    <x v="0"/>
  </r>
  <r>
    <s v="SK-00812"/>
    <x v="273"/>
    <x v="244"/>
    <x v="0"/>
    <s v="Las Vegas"/>
    <x v="3"/>
    <n v="0.65625"/>
    <n v="0.70763888888888893"/>
    <n v="73"/>
    <x v="1"/>
    <x v="0"/>
    <n v="236"/>
    <n v="74"/>
    <s v="June"/>
    <x v="3"/>
    <x v="1"/>
    <x v="1"/>
    <x v="1"/>
  </r>
  <r>
    <s v="SK-00813"/>
    <x v="274"/>
    <x v="88"/>
    <x v="5"/>
    <s v="Dallas"/>
    <x v="1"/>
    <n v="0.39930555555555558"/>
    <n v="0.39791666666666659"/>
    <m/>
    <x v="0"/>
    <x v="0"/>
    <n v="802"/>
    <n v="-2"/>
    <s v="June"/>
    <x v="4"/>
    <x v="2"/>
    <x v="0"/>
    <x v="0"/>
  </r>
  <r>
    <s v="SK-00814"/>
    <x v="274"/>
    <x v="130"/>
    <x v="5"/>
    <s v="Atlanta"/>
    <x v="0"/>
    <n v="0.45833333333333331"/>
    <n v="0.46458333333333329"/>
    <n v="13"/>
    <x v="0"/>
    <x v="0"/>
    <n v="606"/>
    <n v="9"/>
    <s v="June"/>
    <x v="4"/>
    <x v="0"/>
    <x v="0"/>
    <x v="0"/>
  </r>
  <r>
    <s v="SK-00815"/>
    <x v="274"/>
    <x v="437"/>
    <x v="8"/>
    <s v="Phoenix"/>
    <x v="0"/>
    <n v="0.55208333333333337"/>
    <n v="0.59375"/>
    <n v="60"/>
    <x v="2"/>
    <x v="0"/>
    <n v="2295"/>
    <n v="60"/>
    <s v="June"/>
    <x v="4"/>
    <x v="1"/>
    <x v="1"/>
    <x v="1"/>
  </r>
  <r>
    <s v="SK-00816"/>
    <x v="274"/>
    <x v="526"/>
    <x v="7"/>
    <s v="Chicago"/>
    <x v="2"/>
    <n v="0.61111111111111116"/>
    <n v="0.61111111111111116"/>
    <n v="-8"/>
    <x v="0"/>
    <x v="0"/>
    <n v="606"/>
    <n v="0"/>
    <s v="June"/>
    <x v="4"/>
    <x v="0"/>
    <x v="1"/>
    <x v="0"/>
  </r>
  <r>
    <s v="SK-00817"/>
    <x v="274"/>
    <x v="524"/>
    <x v="1"/>
    <s v="Denver"/>
    <x v="0"/>
    <n v="0.75694444444444442"/>
    <n v="0.79791666666666672"/>
    <n v="54"/>
    <x v="4"/>
    <x v="0"/>
    <n v="1622"/>
    <n v="59"/>
    <s v="June"/>
    <x v="4"/>
    <x v="1"/>
    <x v="2"/>
    <x v="2"/>
  </r>
  <r>
    <s v="SK-00818"/>
    <x v="274"/>
    <x v="190"/>
    <x v="5"/>
    <s v="Miami"/>
    <x v="0"/>
    <n v="0.89930555555555558"/>
    <n v="0.93055555555555558"/>
    <n v="35"/>
    <x v="4"/>
    <x v="0"/>
    <n v="1199"/>
    <n v="45"/>
    <s v="June"/>
    <x v="4"/>
    <x v="1"/>
    <x v="3"/>
    <x v="2"/>
  </r>
  <r>
    <s v="SK-00819"/>
    <x v="275"/>
    <x v="7"/>
    <x v="6"/>
    <s v="Los Angeles"/>
    <x v="3"/>
    <n v="0.75694444444444442"/>
    <n v="0.76111111111111107"/>
    <n v="2"/>
    <x v="0"/>
    <x v="0"/>
    <n v="338"/>
    <n v="6"/>
    <s v="June"/>
    <x v="6"/>
    <x v="0"/>
    <x v="2"/>
    <x v="0"/>
  </r>
  <r>
    <s v="SK-00820"/>
    <x v="275"/>
    <x v="474"/>
    <x v="0"/>
    <s v="Denver"/>
    <x v="1"/>
    <n v="0.80902777777777779"/>
    <n v="0.84166666666666667"/>
    <n v="54"/>
    <x v="2"/>
    <x v="0"/>
    <n v="861"/>
    <n v="47"/>
    <s v="June"/>
    <x v="6"/>
    <x v="1"/>
    <x v="2"/>
    <x v="1"/>
  </r>
  <r>
    <s v="SK-00821"/>
    <x v="276"/>
    <x v="310"/>
    <x v="7"/>
    <s v="Chicago"/>
    <x v="1"/>
    <n v="0.36458333333333331"/>
    <n v="0.37152777777777779"/>
    <n v="12"/>
    <x v="0"/>
    <x v="0"/>
    <n v="606"/>
    <n v="10"/>
    <s v="June"/>
    <x v="0"/>
    <x v="0"/>
    <x v="0"/>
    <x v="0"/>
  </r>
  <r>
    <s v="SK-00822"/>
    <x v="276"/>
    <x v="527"/>
    <x v="1"/>
    <s v="Chicago"/>
    <x v="0"/>
    <n v="0.78125"/>
    <n v="0.80277777777777781"/>
    <n v="38"/>
    <x v="1"/>
    <x v="0"/>
    <n v="738"/>
    <n v="31"/>
    <s v="June"/>
    <x v="0"/>
    <x v="1"/>
    <x v="2"/>
    <x v="1"/>
  </r>
  <r>
    <s v="SK-00823"/>
    <x v="276"/>
    <x v="226"/>
    <x v="7"/>
    <s v="New York"/>
    <x v="0"/>
    <n v="0.79861111111111116"/>
    <n v="0.82777777777777772"/>
    <n v="40"/>
    <x v="1"/>
    <x v="0"/>
    <n v="759"/>
    <n v="42"/>
    <s v="June"/>
    <x v="0"/>
    <x v="1"/>
    <x v="2"/>
    <x v="1"/>
  </r>
  <r>
    <s v="SK-00824"/>
    <x v="276"/>
    <x v="150"/>
    <x v="5"/>
    <s v="Miami"/>
    <x v="3"/>
    <n v="0.82638888888888884"/>
    <n v="0.82916666666666672"/>
    <n v="-2"/>
    <x v="0"/>
    <x v="0"/>
    <n v="1199"/>
    <m/>
    <s v="June"/>
    <x v="0"/>
    <x v="0"/>
    <x v="2"/>
    <x v="0"/>
  </r>
  <r>
    <s v="SK-00825"/>
    <x v="277"/>
    <x v="350"/>
    <x v="2"/>
    <s v="Seattle"/>
    <x v="0"/>
    <n v="0.40277777777777779"/>
    <n v="0.39861111111111108"/>
    <n v="-14"/>
    <x v="0"/>
    <x v="0"/>
    <n v="1658"/>
    <n v="-6"/>
    <s v="June"/>
    <x v="1"/>
    <x v="0"/>
    <x v="0"/>
    <x v="0"/>
  </r>
  <r>
    <s v="SK-00826"/>
    <x v="277"/>
    <x v="412"/>
    <x v="11"/>
    <s v="New York"/>
    <x v="3"/>
    <n v="0.71875"/>
    <n v="0.78402777777777777"/>
    <n v="98"/>
    <x v="4"/>
    <x v="0"/>
    <n v="1092"/>
    <n v="94"/>
    <s v="June"/>
    <x v="1"/>
    <x v="1"/>
    <x v="2"/>
    <x v="2"/>
  </r>
  <r>
    <s v="SK-00827"/>
    <x v="277"/>
    <x v="486"/>
    <x v="2"/>
    <s v="Boston"/>
    <x v="0"/>
    <n v="0.72569444444444442"/>
    <n v="0.72638888888888886"/>
    <n v="-2"/>
    <x v="0"/>
    <x v="0"/>
    <n v="1559"/>
    <n v="1"/>
    <s v="June"/>
    <x v="1"/>
    <x v="0"/>
    <x v="2"/>
    <x v="0"/>
  </r>
  <r>
    <s v="SK-00828"/>
    <x v="278"/>
    <x v="528"/>
    <x v="6"/>
    <s v="Los Angeles"/>
    <x v="0"/>
    <n v="0.52083333333333337"/>
    <n v="0.52222222222222225"/>
    <n v="-7"/>
    <x v="0"/>
    <x v="0"/>
    <n v="338"/>
    <n v="2"/>
    <s v="June"/>
    <x v="2"/>
    <x v="0"/>
    <x v="1"/>
    <x v="0"/>
  </r>
  <r>
    <s v="SK-00829"/>
    <x v="278"/>
    <x v="529"/>
    <x v="3"/>
    <s v="Miami"/>
    <x v="2"/>
    <n v="0.87152777777777779"/>
    <n v="0.86736111111111114"/>
    <n v="-3"/>
    <x v="0"/>
    <x v="0"/>
    <n v="2171"/>
    <n v="-6"/>
    <s v="June"/>
    <x v="2"/>
    <x v="0"/>
    <x v="2"/>
    <x v="0"/>
  </r>
  <r>
    <s v="SK-00830"/>
    <x v="279"/>
    <x v="2"/>
    <x v="1"/>
    <s v="Chicago"/>
    <x v="1"/>
    <n v="0.54513888888888884"/>
    <n v="0.5444444444444444"/>
    <n v="-8"/>
    <x v="0"/>
    <x v="0"/>
    <n v="738"/>
    <n v="-1"/>
    <s v="June"/>
    <x v="3"/>
    <x v="0"/>
    <x v="1"/>
    <x v="0"/>
  </r>
  <r>
    <s v="SK-00831"/>
    <x v="279"/>
    <x v="530"/>
    <x v="2"/>
    <s v="Los Angeles"/>
    <x v="2"/>
    <n v="0.55555555555555558"/>
    <n v="0.56041666666666667"/>
    <n v="12"/>
    <x v="0"/>
    <x v="0"/>
    <n v="1232"/>
    <n v="7"/>
    <s v="June"/>
    <x v="3"/>
    <x v="0"/>
    <x v="1"/>
    <x v="0"/>
  </r>
  <r>
    <s v="SK-00832"/>
    <x v="279"/>
    <x v="427"/>
    <x v="9"/>
    <s v="Los Angeles"/>
    <x v="0"/>
    <n v="0.62152777777777779"/>
    <n v="0.62083333333333335"/>
    <n v="8"/>
    <x v="0"/>
    <x v="0"/>
    <n v="861"/>
    <n v="-1"/>
    <s v="June"/>
    <x v="3"/>
    <x v="0"/>
    <x v="1"/>
    <x v="0"/>
  </r>
  <r>
    <s v="SK-00833"/>
    <x v="280"/>
    <x v="531"/>
    <x v="1"/>
    <s v="Dallas"/>
    <x v="2"/>
    <n v="0.72916666666666663"/>
    <n v="0.72569444444444442"/>
    <n v="3"/>
    <x v="0"/>
    <x v="0"/>
    <n v="1389"/>
    <n v="-5"/>
    <s v="June"/>
    <x v="4"/>
    <x v="0"/>
    <x v="2"/>
    <x v="0"/>
  </r>
  <r>
    <s v="SK-00834"/>
    <x v="281"/>
    <x v="290"/>
    <x v="11"/>
    <s v="Phoenix"/>
    <x v="0"/>
    <n v="0.58680555555555558"/>
    <n v="0.59236111111111112"/>
    <n v="-3"/>
    <x v="0"/>
    <x v="0"/>
    <n v="1969"/>
    <n v="8"/>
    <s v="June"/>
    <x v="5"/>
    <x v="0"/>
    <x v="1"/>
    <x v="0"/>
  </r>
  <r>
    <s v="SK-00835"/>
    <x v="281"/>
    <x v="328"/>
    <x v="5"/>
    <s v="Dallas"/>
    <x v="1"/>
    <n v="0.65625"/>
    <n v="0.65763888888888888"/>
    <n v="-2"/>
    <x v="0"/>
    <x v="0"/>
    <n v="802"/>
    <n v="2"/>
    <s v="June"/>
    <x v="5"/>
    <x v="0"/>
    <x v="1"/>
    <x v="0"/>
  </r>
  <r>
    <s v="SK-00836"/>
    <x v="282"/>
    <x v="478"/>
    <x v="5"/>
    <s v="Dallas"/>
    <x v="1"/>
    <n v="0.36458333333333331"/>
    <n v="0.39097222222222222"/>
    <n v="23"/>
    <x v="1"/>
    <x v="0"/>
    <n v="802"/>
    <n v="38"/>
    <s v="June"/>
    <x v="6"/>
    <x v="1"/>
    <x v="0"/>
    <x v="1"/>
  </r>
  <r>
    <s v="SK-00837"/>
    <x v="283"/>
    <x v="532"/>
    <x v="10"/>
    <s v="New York"/>
    <x v="2"/>
    <n v="0.49652777777777779"/>
    <n v="0.49236111111111108"/>
    <n v="-11"/>
    <x v="0"/>
    <x v="0"/>
    <n v="2149"/>
    <n v="-6"/>
    <s v="June"/>
    <x v="0"/>
    <x v="0"/>
    <x v="0"/>
    <x v="0"/>
  </r>
  <r>
    <s v="SK-00838"/>
    <x v="283"/>
    <x v="175"/>
    <x v="9"/>
    <s v="Chicago"/>
    <x v="0"/>
    <n v="0.55902777777777779"/>
    <n v="0.56041666666666667"/>
    <n v="10"/>
    <x v="0"/>
    <x v="0"/>
    <n v="886"/>
    <n v="2"/>
    <s v="June"/>
    <x v="0"/>
    <x v="0"/>
    <x v="1"/>
    <x v="0"/>
  </r>
  <r>
    <s v="SK-00839"/>
    <x v="284"/>
    <x v="326"/>
    <x v="2"/>
    <s v="New York"/>
    <x v="2"/>
    <n v="0.25347222222222221"/>
    <n v="0.30833333333333329"/>
    <n v="83"/>
    <x v="2"/>
    <x v="0"/>
    <n v="1389"/>
    <n v="79"/>
    <s v="June"/>
    <x v="1"/>
    <x v="1"/>
    <x v="0"/>
    <x v="1"/>
  </r>
  <r>
    <s v="SK-00840"/>
    <x v="284"/>
    <x v="533"/>
    <x v="4"/>
    <s v="Atlanta"/>
    <x v="0"/>
    <n v="0.4861111111111111"/>
    <n v="0.49236111111111108"/>
    <n v="12"/>
    <x v="0"/>
    <x v="0"/>
    <n v="2178"/>
    <n v="9"/>
    <s v="June"/>
    <x v="1"/>
    <x v="0"/>
    <x v="0"/>
    <x v="0"/>
  </r>
  <r>
    <s v="SK-00841"/>
    <x v="285"/>
    <x v="216"/>
    <x v="11"/>
    <s v="Dallas"/>
    <x v="1"/>
    <n v="0.33680555555555558"/>
    <n v="0.34375"/>
    <n v="16"/>
    <x v="0"/>
    <x v="0"/>
    <n v="1120"/>
    <n v="10"/>
    <s v="July"/>
    <x v="2"/>
    <x v="1"/>
    <x v="0"/>
    <x v="0"/>
  </r>
  <r>
    <s v="SK-00842"/>
    <x v="285"/>
    <x v="534"/>
    <x v="5"/>
    <s v="Atlanta"/>
    <x v="1"/>
    <n v="0.40972222222222221"/>
    <n v="0.41666666666666669"/>
    <n v="4"/>
    <x v="0"/>
    <x v="0"/>
    <n v="606"/>
    <n v="10"/>
    <s v="July"/>
    <x v="2"/>
    <x v="0"/>
    <x v="0"/>
    <x v="0"/>
  </r>
  <r>
    <s v="SK-00843"/>
    <x v="285"/>
    <x v="532"/>
    <x v="6"/>
    <s v="Atlanta"/>
    <x v="1"/>
    <n v="0.5"/>
    <n v="0.49861111111111112"/>
    <n v="1"/>
    <x v="0"/>
    <x v="0"/>
    <n v="2134"/>
    <n v="-2"/>
    <s v="July"/>
    <x v="2"/>
    <x v="0"/>
    <x v="1"/>
    <x v="0"/>
  </r>
  <r>
    <s v="SK-00844"/>
    <x v="285"/>
    <x v="535"/>
    <x v="5"/>
    <s v="Atlanta"/>
    <x v="1"/>
    <n v="0.63194444444444442"/>
    <n v="0.63472222222222219"/>
    <n v="-1"/>
    <x v="0"/>
    <x v="0"/>
    <n v="606"/>
    <n v="4"/>
    <s v="July"/>
    <x v="2"/>
    <x v="0"/>
    <x v="1"/>
    <x v="0"/>
  </r>
  <r>
    <s v="SK-00845"/>
    <x v="285"/>
    <x v="408"/>
    <x v="4"/>
    <s v="Denver"/>
    <x v="1"/>
    <n v="0.77777777777777779"/>
    <n v="0.79236111111111107"/>
    <n v="13"/>
    <x v="4"/>
    <x v="0"/>
    <n v="1023"/>
    <n v="21"/>
    <s v="July"/>
    <x v="2"/>
    <x v="0"/>
    <x v="2"/>
    <x v="2"/>
  </r>
  <r>
    <s v="SK-00846"/>
    <x v="285"/>
    <x v="536"/>
    <x v="10"/>
    <s v="Chicago"/>
    <x v="0"/>
    <n v="0.80555555555555558"/>
    <n v="0.80833333333333335"/>
    <n v="9"/>
    <x v="0"/>
    <x v="0"/>
    <n v="1438"/>
    <n v="4"/>
    <s v="July"/>
    <x v="2"/>
    <x v="0"/>
    <x v="2"/>
    <x v="0"/>
  </r>
  <r>
    <s v="SK-00847"/>
    <x v="286"/>
    <x v="537"/>
    <x v="8"/>
    <s v="New York"/>
    <x v="1"/>
    <n v="0.74305555555555558"/>
    <n v="0.74791666666666667"/>
    <n v="-3"/>
    <x v="0"/>
    <x v="0"/>
    <n v="186"/>
    <n v="7"/>
    <s v="July"/>
    <x v="3"/>
    <x v="0"/>
    <x v="2"/>
    <x v="0"/>
  </r>
  <r>
    <s v="SK-00848"/>
    <x v="286"/>
    <x v="361"/>
    <x v="4"/>
    <s v="Dallas"/>
    <x v="0"/>
    <n v="0.78819444444444442"/>
    <n v="0.78680555555555554"/>
    <n v="-1"/>
    <x v="0"/>
    <x v="0"/>
    <n v="1658"/>
    <n v="-2"/>
    <s v="July"/>
    <x v="3"/>
    <x v="0"/>
    <x v="2"/>
    <x v="0"/>
  </r>
  <r>
    <s v="SK-00849"/>
    <x v="287"/>
    <x v="446"/>
    <x v="2"/>
    <s v="Boston"/>
    <x v="1"/>
    <n v="0.3125"/>
    <n v="0.35"/>
    <n v="50"/>
    <x v="2"/>
    <x v="0"/>
    <n v="1559"/>
    <n v="54"/>
    <s v="July"/>
    <x v="4"/>
    <x v="1"/>
    <x v="0"/>
    <x v="1"/>
  </r>
  <r>
    <s v="SK-00850"/>
    <x v="287"/>
    <x v="368"/>
    <x v="7"/>
    <s v="Seattle"/>
    <x v="0"/>
    <n v="0.93055555555555558"/>
    <n v="0.93263888888888891"/>
    <n v="1"/>
    <x v="0"/>
    <x v="0"/>
    <n v="2178"/>
    <n v="3"/>
    <s v="July"/>
    <x v="4"/>
    <x v="0"/>
    <x v="3"/>
    <x v="0"/>
  </r>
  <r>
    <s v="SK-00851"/>
    <x v="288"/>
    <x v="115"/>
    <x v="2"/>
    <s v="Chicago"/>
    <x v="2"/>
    <n v="0.2638888888888889"/>
    <n v="0.26458333333333328"/>
    <n v="6"/>
    <x v="0"/>
    <x v="0"/>
    <n v="802"/>
    <n v="1"/>
    <s v="July"/>
    <x v="5"/>
    <x v="0"/>
    <x v="0"/>
    <x v="0"/>
  </r>
  <r>
    <s v="SK-00852"/>
    <x v="288"/>
    <x v="538"/>
    <x v="10"/>
    <s v="New York"/>
    <x v="2"/>
    <n v="0.46527777777777779"/>
    <n v="0.47222222222222221"/>
    <n v="3"/>
    <x v="0"/>
    <x v="0"/>
    <n v="2149"/>
    <n v="10"/>
    <s v="July"/>
    <x v="5"/>
    <x v="0"/>
    <x v="0"/>
    <x v="0"/>
  </r>
  <r>
    <s v="SK-00853"/>
    <x v="288"/>
    <x v="438"/>
    <x v="7"/>
    <s v="Phoenix"/>
    <x v="0"/>
    <n v="0.46875"/>
    <m/>
    <n v="0"/>
    <x v="0"/>
    <x v="0"/>
    <n v="1584"/>
    <n v="-3"/>
    <s v="July"/>
    <x v="5"/>
    <x v="0"/>
    <x v="0"/>
    <x v="0"/>
  </r>
  <r>
    <s v="SK-00854"/>
    <x v="288"/>
    <x v="193"/>
    <x v="7"/>
    <s v="San Francisco"/>
    <x v="1"/>
    <n v="0.69444444444444442"/>
    <n v="0.72013888888888888"/>
    <n v="38"/>
    <x v="3"/>
    <x v="0"/>
    <n v="2134"/>
    <n v="37"/>
    <s v="July"/>
    <x v="5"/>
    <x v="1"/>
    <x v="1"/>
    <x v="2"/>
  </r>
  <r>
    <s v="SK-00855"/>
    <x v="289"/>
    <x v="63"/>
    <x v="4"/>
    <s v="Chicago"/>
    <x v="1"/>
    <n v="0.35416666666666669"/>
    <n v="0.39930555555555558"/>
    <n v="61"/>
    <x v="1"/>
    <x v="0"/>
    <n v="1717"/>
    <n v="65"/>
    <s v="July"/>
    <x v="6"/>
    <x v="1"/>
    <x v="0"/>
    <x v="1"/>
  </r>
  <r>
    <s v="SK-00856"/>
    <x v="289"/>
    <x v="353"/>
    <x v="5"/>
    <s v="Boston"/>
    <x v="1"/>
    <n v="0.60763888888888884"/>
    <n v="0.68125000000000002"/>
    <n v="106"/>
    <x v="2"/>
    <x v="0"/>
    <n v="864"/>
    <n v="106"/>
    <s v="July"/>
    <x v="6"/>
    <x v="1"/>
    <x v="1"/>
    <x v="1"/>
  </r>
  <r>
    <s v="SK-00857"/>
    <x v="289"/>
    <x v="327"/>
    <x v="11"/>
    <s v="Chicago"/>
    <x v="1"/>
    <n v="0.66319444444444442"/>
    <n v="0.66874999999999996"/>
    <n v="-4"/>
    <x v="0"/>
    <x v="0"/>
    <n v="1199"/>
    <n v="8"/>
    <s v="July"/>
    <x v="6"/>
    <x v="0"/>
    <x v="1"/>
    <x v="0"/>
  </r>
  <r>
    <s v="SK-00858"/>
    <x v="289"/>
    <x v="521"/>
    <x v="1"/>
    <s v="Chicago"/>
    <x v="0"/>
    <n v="0.66666666666666663"/>
    <n v="0.67083333333333328"/>
    <n v="-3"/>
    <x v="0"/>
    <x v="0"/>
    <n v="738"/>
    <n v="6"/>
    <s v="July"/>
    <x v="6"/>
    <x v="0"/>
    <x v="1"/>
    <x v="0"/>
  </r>
  <r>
    <s v="SK-00859"/>
    <x v="289"/>
    <x v="66"/>
    <x v="7"/>
    <s v="Phoenix"/>
    <x v="1"/>
    <n v="0.92708333333333337"/>
    <m/>
    <n v="7"/>
    <x v="0"/>
    <x v="0"/>
    <n v="1584"/>
    <n v="4"/>
    <s v="July"/>
    <x v="6"/>
    <x v="0"/>
    <x v="3"/>
    <x v="0"/>
  </r>
  <r>
    <s v="SK-00860"/>
    <x v="290"/>
    <x v="539"/>
    <x v="2"/>
    <s v="Los Angeles"/>
    <x v="0"/>
    <n v="0.41666666666666669"/>
    <n v="0.41388888888888892"/>
    <n v="-7"/>
    <x v="0"/>
    <x v="0"/>
    <n v="1232"/>
    <n v="-4"/>
    <s v="July"/>
    <x v="0"/>
    <x v="0"/>
    <x v="0"/>
    <x v="0"/>
  </r>
  <r>
    <s v="SK-00861"/>
    <x v="291"/>
    <x v="184"/>
    <x v="4"/>
    <s v="New York"/>
    <x v="2"/>
    <n v="0.25694444444444442"/>
    <n v="0.26250000000000001"/>
    <n v="-4"/>
    <x v="0"/>
    <x v="0"/>
    <n v="2415"/>
    <n v="8"/>
    <s v="July"/>
    <x v="1"/>
    <x v="0"/>
    <x v="0"/>
    <x v="0"/>
  </r>
  <r>
    <s v="SK-00862"/>
    <x v="291"/>
    <x v="357"/>
    <x v="2"/>
    <s v="Denver"/>
    <x v="3"/>
    <n v="0.26041666666666669"/>
    <n v="0.26041666666666669"/>
    <n v="8"/>
    <x v="0"/>
    <x v="0"/>
    <n v="641"/>
    <n v="0"/>
    <s v="July"/>
    <x v="1"/>
    <x v="0"/>
    <x v="0"/>
    <x v="0"/>
  </r>
  <r>
    <s v="SK-00863"/>
    <x v="291"/>
    <x v="540"/>
    <x v="5"/>
    <s v="New York"/>
    <x v="3"/>
    <n v="0.30208333333333331"/>
    <n v="0.33611111111111108"/>
    <n v="41"/>
    <x v="1"/>
    <x v="0"/>
    <n v="738"/>
    <n v="49"/>
    <s v="July"/>
    <x v="1"/>
    <x v="1"/>
    <x v="0"/>
    <x v="1"/>
  </r>
  <r>
    <s v="SK-00864"/>
    <x v="291"/>
    <x v="541"/>
    <x v="11"/>
    <s v="Atlanta"/>
    <x v="0"/>
    <n v="0.34027777777777779"/>
    <n v="0.33680555555555558"/>
    <n v="3"/>
    <x v="0"/>
    <x v="0"/>
    <n v="596"/>
    <n v="-5"/>
    <s v="July"/>
    <x v="1"/>
    <x v="0"/>
    <x v="0"/>
    <x v="0"/>
  </r>
  <r>
    <s v="SK-00865"/>
    <x v="291"/>
    <x v="441"/>
    <x v="2"/>
    <s v="Atlanta"/>
    <x v="2"/>
    <n v="0.3576388888888889"/>
    <n v="0.3576388888888889"/>
    <n v="7"/>
    <x v="0"/>
    <x v="0"/>
    <n v="730"/>
    <n v="0"/>
    <s v="July"/>
    <x v="1"/>
    <x v="0"/>
    <x v="0"/>
    <x v="0"/>
  </r>
  <r>
    <s v="SK-00866"/>
    <x v="291"/>
    <x v="451"/>
    <x v="7"/>
    <s v="Chicago"/>
    <x v="1"/>
    <n v="0.3576388888888889"/>
    <n v="0.39652777777777781"/>
    <n v="42"/>
    <x v="2"/>
    <x v="0"/>
    <n v="606"/>
    <n v="56"/>
    <s v="July"/>
    <x v="1"/>
    <x v="1"/>
    <x v="0"/>
    <x v="1"/>
  </r>
  <r>
    <s v="SK-00867"/>
    <x v="291"/>
    <x v="542"/>
    <x v="2"/>
    <s v="Las Vegas"/>
    <x v="1"/>
    <n v="0.65972222222222221"/>
    <n v="0.7055555555555556"/>
    <n v="67"/>
    <x v="3"/>
    <x v="0"/>
    <n v="1053"/>
    <n v="66"/>
    <s v="July"/>
    <x v="1"/>
    <x v="1"/>
    <x v="1"/>
    <x v="2"/>
  </r>
  <r>
    <s v="SK-00868"/>
    <x v="291"/>
    <x v="543"/>
    <x v="5"/>
    <s v="New York"/>
    <x v="1"/>
    <n v="0.78472222222222221"/>
    <n v="0.78055555555555556"/>
    <n v="-8"/>
    <x v="0"/>
    <x v="0"/>
    <n v="738"/>
    <n v="-6"/>
    <s v="July"/>
    <x v="1"/>
    <x v="0"/>
    <x v="2"/>
    <x v="0"/>
  </r>
  <r>
    <s v="SK-00869"/>
    <x v="292"/>
    <x v="327"/>
    <x v="4"/>
    <s v="Boston"/>
    <x v="1"/>
    <n v="0.40277777777777779"/>
    <n v="0.40902777777777782"/>
    <n v="1"/>
    <x v="0"/>
    <x v="0"/>
    <n v="2489"/>
    <n v="9"/>
    <s v="July"/>
    <x v="2"/>
    <x v="0"/>
    <x v="0"/>
    <x v="0"/>
  </r>
  <r>
    <s v="SK-00870"/>
    <x v="292"/>
    <x v="214"/>
    <x v="5"/>
    <s v="Atlanta"/>
    <x v="0"/>
    <n v="0.40277777777777779"/>
    <n v="0.39861111111111108"/>
    <n v="-12"/>
    <x v="0"/>
    <x v="0"/>
    <n v="606"/>
    <n v="-6"/>
    <s v="July"/>
    <x v="2"/>
    <x v="0"/>
    <x v="0"/>
    <x v="0"/>
  </r>
  <r>
    <s v="SK-00871"/>
    <x v="292"/>
    <x v="449"/>
    <x v="7"/>
    <s v="Las Vegas"/>
    <x v="0"/>
    <n v="0.72569444444444442"/>
    <n v="0.81736111111111109"/>
    <n v="134"/>
    <x v="2"/>
    <x v="0"/>
    <n v="1743"/>
    <n v="132"/>
    <s v="July"/>
    <x v="2"/>
    <x v="1"/>
    <x v="2"/>
    <x v="1"/>
  </r>
  <r>
    <s v="SK-00872"/>
    <x v="292"/>
    <x v="249"/>
    <x v="1"/>
    <s v="Atlanta"/>
    <x v="1"/>
    <n v="0.74305555555555558"/>
    <n v="0.73888888888888893"/>
    <n v="-8"/>
    <x v="0"/>
    <x v="0"/>
    <n v="759"/>
    <n v="-6"/>
    <s v="July"/>
    <x v="2"/>
    <x v="0"/>
    <x v="2"/>
    <x v="0"/>
  </r>
  <r>
    <s v="SK-00873"/>
    <x v="292"/>
    <x v="341"/>
    <x v="7"/>
    <s v="Seattle"/>
    <x v="1"/>
    <n v="0.80208333333333337"/>
    <n v="0.81388888888888888"/>
    <n v="17"/>
    <x v="1"/>
    <x v="0"/>
    <n v="2178"/>
    <n v="17"/>
    <s v="July"/>
    <x v="2"/>
    <x v="1"/>
    <x v="2"/>
    <x v="1"/>
  </r>
  <r>
    <s v="SK-00874"/>
    <x v="293"/>
    <x v="277"/>
    <x v="7"/>
    <s v="Denver"/>
    <x v="0"/>
    <n v="0.57638888888888884"/>
    <n v="0.57222222222222219"/>
    <n v="-15"/>
    <x v="0"/>
    <x v="0"/>
    <n v="1197"/>
    <n v="-6"/>
    <s v="July"/>
    <x v="3"/>
    <x v="0"/>
    <x v="1"/>
    <x v="0"/>
  </r>
  <r>
    <s v="SK-00875"/>
    <x v="293"/>
    <x v="173"/>
    <x v="4"/>
    <s v="Denver"/>
    <x v="1"/>
    <n v="0.61805555555555558"/>
    <n v="0.61319444444444449"/>
    <n v="-6"/>
    <x v="0"/>
    <x v="0"/>
    <n v="1023"/>
    <n v="-7"/>
    <s v="July"/>
    <x v="3"/>
    <x v="0"/>
    <x v="1"/>
    <x v="0"/>
  </r>
  <r>
    <s v="SK-00876"/>
    <x v="293"/>
    <x v="544"/>
    <x v="7"/>
    <s v="Los Angeles"/>
    <x v="0"/>
    <n v="0.65625"/>
    <n v="0.65763888888888888"/>
    <n v="3"/>
    <x v="0"/>
    <x v="0"/>
    <n v="1942"/>
    <n v="2"/>
    <s v="July"/>
    <x v="3"/>
    <x v="0"/>
    <x v="1"/>
    <x v="0"/>
  </r>
  <r>
    <s v="SK-00877"/>
    <x v="294"/>
    <x v="107"/>
    <x v="4"/>
    <s v="Las Vegas"/>
    <x v="2"/>
    <n v="0.65972222222222221"/>
    <n v="0.68958333333333333"/>
    <n v="40"/>
    <x v="3"/>
    <x v="0"/>
    <n v="867"/>
    <n v="43"/>
    <s v="July"/>
    <x v="4"/>
    <x v="1"/>
    <x v="1"/>
    <x v="2"/>
  </r>
  <r>
    <s v="SK-00878"/>
    <x v="295"/>
    <x v="9"/>
    <x v="9"/>
    <s v="Phoenix"/>
    <x v="0"/>
    <n v="0.52083333333333337"/>
    <n v="0.52083333333333337"/>
    <n v="1"/>
    <x v="0"/>
    <x v="0"/>
    <n v="602"/>
    <n v="0"/>
    <s v="July"/>
    <x v="5"/>
    <x v="0"/>
    <x v="1"/>
    <x v="0"/>
  </r>
  <r>
    <s v="SK-00879"/>
    <x v="296"/>
    <x v="468"/>
    <x v="10"/>
    <s v="Chicago"/>
    <x v="3"/>
    <n v="0.38541666666666669"/>
    <n v="0.40069444444444452"/>
    <n v="7"/>
    <x v="1"/>
    <x v="0"/>
    <n v="1438"/>
    <n v="22"/>
    <s v="July"/>
    <x v="6"/>
    <x v="0"/>
    <x v="0"/>
    <x v="1"/>
  </r>
  <r>
    <s v="SK-00880"/>
    <x v="296"/>
    <x v="545"/>
    <x v="1"/>
    <s v="Miami"/>
    <x v="2"/>
    <n v="0.46875"/>
    <n v="0.48472222222222222"/>
    <n v="9"/>
    <x v="4"/>
    <x v="0"/>
    <n v="1092"/>
    <n v="23"/>
    <s v="July"/>
    <x v="6"/>
    <x v="0"/>
    <x v="0"/>
    <x v="2"/>
  </r>
  <r>
    <s v="SK-00881"/>
    <x v="296"/>
    <x v="300"/>
    <x v="5"/>
    <s v="Boston"/>
    <x v="2"/>
    <n v="0.65625"/>
    <n v="0.65208333333333335"/>
    <n v="-6"/>
    <x v="0"/>
    <x v="0"/>
    <n v="864"/>
    <n v="-6"/>
    <s v="July"/>
    <x v="6"/>
    <x v="0"/>
    <x v="1"/>
    <x v="0"/>
  </r>
  <r>
    <s v="SK-00882"/>
    <x v="297"/>
    <x v="243"/>
    <x v="9"/>
    <s v="San Francisco"/>
    <x v="0"/>
    <n v="0.27777777777777779"/>
    <n v="0.27986111111111112"/>
    <n v="-7"/>
    <x v="0"/>
    <x v="0"/>
    <n v="965"/>
    <n v="3"/>
    <s v="July"/>
    <x v="1"/>
    <x v="0"/>
    <x v="0"/>
    <x v="0"/>
  </r>
  <r>
    <s v="SK-00883"/>
    <x v="297"/>
    <x v="542"/>
    <x v="5"/>
    <s v="Miami"/>
    <x v="0"/>
    <n v="0.3263888888888889"/>
    <n v="0.34236111111111112"/>
    <n v="26"/>
    <x v="3"/>
    <x v="0"/>
    <n v="1199"/>
    <n v="23"/>
    <s v="July"/>
    <x v="1"/>
    <x v="1"/>
    <x v="0"/>
    <x v="2"/>
  </r>
  <r>
    <s v="SK-00884"/>
    <x v="297"/>
    <x v="102"/>
    <x v="11"/>
    <s v="Phoenix"/>
    <x v="1"/>
    <n v="0.61458333333333337"/>
    <n v="0.61388888888888893"/>
    <n v="6"/>
    <x v="0"/>
    <x v="0"/>
    <n v="1969"/>
    <n v="-1"/>
    <s v="July"/>
    <x v="1"/>
    <x v="0"/>
    <x v="1"/>
    <x v="0"/>
  </r>
  <r>
    <s v="SK-00885"/>
    <x v="297"/>
    <x v="250"/>
    <x v="8"/>
    <s v="Chicago"/>
    <x v="0"/>
    <n v="0.74652777777777779"/>
    <n v="0.76041666666666663"/>
    <n v="20"/>
    <x v="1"/>
    <x v="0"/>
    <n v="864"/>
    <n v="20"/>
    <s v="July"/>
    <x v="1"/>
    <x v="1"/>
    <x v="2"/>
    <x v="1"/>
  </r>
  <r>
    <s v="SK-00886"/>
    <x v="298"/>
    <x v="201"/>
    <x v="0"/>
    <s v="Chicago"/>
    <x v="0"/>
    <n v="0.65972222222222221"/>
    <n v="0.6645833333333333"/>
    <n v="17"/>
    <x v="0"/>
    <x v="0"/>
    <n v="1742"/>
    <n v="7"/>
    <s v="July"/>
    <x v="2"/>
    <x v="1"/>
    <x v="1"/>
    <x v="0"/>
  </r>
  <r>
    <s v="SK-00887"/>
    <x v="299"/>
    <x v="203"/>
    <x v="0"/>
    <s v="Atlanta"/>
    <x v="0"/>
    <n v="0.40277777777777779"/>
    <n v="0.42777777777777781"/>
    <n v="41"/>
    <x v="3"/>
    <x v="0"/>
    <n v="1942"/>
    <n v="36"/>
    <s v="July"/>
    <x v="3"/>
    <x v="1"/>
    <x v="0"/>
    <x v="2"/>
  </r>
  <r>
    <s v="SK-00888"/>
    <x v="299"/>
    <x v="541"/>
    <x v="8"/>
    <s v="Denver"/>
    <x v="3"/>
    <n v="0.59722222222222221"/>
    <n v="0.60486111111111107"/>
    <n v="5"/>
    <x v="0"/>
    <x v="0"/>
    <n v="1749"/>
    <n v="11"/>
    <s v="July"/>
    <x v="3"/>
    <x v="0"/>
    <x v="1"/>
    <x v="0"/>
  </r>
  <r>
    <s v="SK-00889"/>
    <x v="300"/>
    <x v="338"/>
    <x v="10"/>
    <s v="Dallas"/>
    <x v="0"/>
    <n v="0.78819444444444442"/>
    <n v="0.79305555555555551"/>
    <m/>
    <x v="0"/>
    <x v="0"/>
    <n v="866"/>
    <n v="7"/>
    <s v="July"/>
    <x v="5"/>
    <x v="2"/>
    <x v="2"/>
    <x v="0"/>
  </r>
  <r>
    <s v="SK-00890"/>
    <x v="300"/>
    <x v="171"/>
    <x v="7"/>
    <s v="San Francisco"/>
    <x v="0"/>
    <n v="0.79861111111111116"/>
    <n v="0.87430555555555556"/>
    <n v="116"/>
    <x v="3"/>
    <x v="0"/>
    <n v="2134"/>
    <n v="109"/>
    <s v="July"/>
    <x v="5"/>
    <x v="1"/>
    <x v="2"/>
    <x v="2"/>
  </r>
  <r>
    <s v="SK-00891"/>
    <x v="301"/>
    <x v="466"/>
    <x v="7"/>
    <s v="Phoenix"/>
    <x v="2"/>
    <n v="0.25"/>
    <n v="0.24444444444444441"/>
    <n v="-5"/>
    <x v="0"/>
    <x v="0"/>
    <n v="1584"/>
    <n v="-8"/>
    <s v="July"/>
    <x v="0"/>
    <x v="0"/>
    <x v="0"/>
    <x v="0"/>
  </r>
  <r>
    <s v="SK-00892"/>
    <x v="301"/>
    <x v="248"/>
    <x v="8"/>
    <s v="Atlanta"/>
    <x v="1"/>
    <n v="0.2638888888888889"/>
    <n v="0.26597222222222222"/>
    <n v="-5"/>
    <x v="0"/>
    <x v="0"/>
    <n v="945"/>
    <n v="3"/>
    <s v="July"/>
    <x v="0"/>
    <x v="0"/>
    <x v="0"/>
    <x v="0"/>
  </r>
  <r>
    <s v="SK-00893"/>
    <x v="301"/>
    <x v="431"/>
    <x v="5"/>
    <s v="Los Angeles"/>
    <x v="3"/>
    <n v="0.47569444444444442"/>
    <n v="0.48333333333333328"/>
    <n v="11"/>
    <x v="0"/>
    <x v="0"/>
    <n v="1742"/>
    <n v="11"/>
    <s v="July"/>
    <x v="0"/>
    <x v="0"/>
    <x v="0"/>
    <x v="0"/>
  </r>
  <r>
    <s v="SK-00894"/>
    <x v="301"/>
    <x v="546"/>
    <x v="5"/>
    <s v="Las Vegas"/>
    <x v="0"/>
    <n v="0.54513888888888884"/>
    <n v="0.56805555555555554"/>
    <n v="31"/>
    <x v="5"/>
    <x v="0"/>
    <n v="1511"/>
    <n v="33"/>
    <s v="July"/>
    <x v="0"/>
    <x v="1"/>
    <x v="1"/>
    <x v="2"/>
  </r>
  <r>
    <s v="SK-00895"/>
    <x v="301"/>
    <x v="321"/>
    <x v="7"/>
    <s v="Denver"/>
    <x v="0"/>
    <n v="0.69791666666666663"/>
    <n v="0.7006944444444444"/>
    <n v="6"/>
    <x v="0"/>
    <x v="0"/>
    <n v="1197"/>
    <n v="4"/>
    <s v="July"/>
    <x v="0"/>
    <x v="0"/>
    <x v="1"/>
    <x v="0"/>
  </r>
  <r>
    <s v="SK-00896"/>
    <x v="302"/>
    <x v="547"/>
    <x v="5"/>
    <s v="Los Angeles"/>
    <x v="0"/>
    <n v="0.69444444444444442"/>
    <n v="0.69236111111111109"/>
    <n v="7"/>
    <x v="0"/>
    <x v="0"/>
    <n v="1742"/>
    <n v="-3"/>
    <s v="July"/>
    <x v="1"/>
    <x v="0"/>
    <x v="1"/>
    <x v="0"/>
  </r>
  <r>
    <s v="SK-00897"/>
    <x v="303"/>
    <x v="268"/>
    <x v="7"/>
    <s v="Los Angeles"/>
    <x v="0"/>
    <n v="0.24305555555555561"/>
    <n v="0.24236111111111111"/>
    <n v="1"/>
    <x v="0"/>
    <x v="0"/>
    <n v="1942"/>
    <n v="-1"/>
    <s v="July"/>
    <x v="2"/>
    <x v="0"/>
    <x v="0"/>
    <x v="0"/>
  </r>
  <r>
    <s v="SK-00898"/>
    <x v="303"/>
    <x v="548"/>
    <x v="1"/>
    <s v="Phoenix"/>
    <x v="2"/>
    <n v="0.28819444444444442"/>
    <n v="0.28472222222222221"/>
    <n v="-13"/>
    <x v="0"/>
    <x v="0"/>
    <n v="2149"/>
    <n v="-5"/>
    <s v="July"/>
    <x v="2"/>
    <x v="0"/>
    <x v="0"/>
    <x v="0"/>
  </r>
  <r>
    <s v="SK-00899"/>
    <x v="303"/>
    <x v="549"/>
    <x v="0"/>
    <s v="Atlanta"/>
    <x v="3"/>
    <n v="0.375"/>
    <n v="0.45347222222222222"/>
    <n v="105"/>
    <x v="2"/>
    <x v="0"/>
    <n v="1942"/>
    <n v="113"/>
    <s v="July"/>
    <x v="2"/>
    <x v="1"/>
    <x v="0"/>
    <x v="1"/>
  </r>
  <r>
    <s v="SK-00900"/>
    <x v="303"/>
    <x v="545"/>
    <x v="8"/>
    <s v="Atlanta"/>
    <x v="0"/>
    <n v="0.47916666666666669"/>
    <m/>
    <n v="149"/>
    <x v="4"/>
    <x v="0"/>
    <n v="945"/>
    <n v="158"/>
    <s v="July"/>
    <x v="2"/>
    <x v="1"/>
    <x v="0"/>
    <x v="2"/>
  </r>
  <r>
    <s v="SK-00901"/>
    <x v="303"/>
    <x v="155"/>
    <x v="7"/>
    <s v="New York"/>
    <x v="3"/>
    <n v="0.625"/>
    <m/>
    <m/>
    <x v="3"/>
    <x v="1"/>
    <n v="759"/>
    <m/>
    <s v="July"/>
    <x v="2"/>
    <x v="2"/>
    <x v="1"/>
    <x v="2"/>
  </r>
  <r>
    <s v="SK-00902"/>
    <x v="304"/>
    <x v="157"/>
    <x v="7"/>
    <s v="New York"/>
    <x v="1"/>
    <n v="0.5625"/>
    <n v="0.57361111111111107"/>
    <n v="20"/>
    <x v="1"/>
    <x v="0"/>
    <n v="759"/>
    <n v="16"/>
    <s v="July"/>
    <x v="4"/>
    <x v="1"/>
    <x v="1"/>
    <x v="1"/>
  </r>
  <r>
    <s v="SK-00903"/>
    <x v="304"/>
    <x v="550"/>
    <x v="8"/>
    <s v="Chicago"/>
    <x v="0"/>
    <n v="0.67708333333333337"/>
    <n v="0.67847222222222225"/>
    <n v="4"/>
    <x v="0"/>
    <x v="0"/>
    <n v="864"/>
    <n v="2"/>
    <s v="July"/>
    <x v="4"/>
    <x v="0"/>
    <x v="1"/>
    <x v="0"/>
  </r>
  <r>
    <s v="SK-00904"/>
    <x v="305"/>
    <x v="28"/>
    <x v="1"/>
    <s v="Miami"/>
    <x v="1"/>
    <n v="0.2361111111111111"/>
    <n v="0.25972222222222219"/>
    <n v="28"/>
    <x v="2"/>
    <x v="0"/>
    <n v="1092"/>
    <n v="34"/>
    <s v="July"/>
    <x v="5"/>
    <x v="1"/>
    <x v="0"/>
    <x v="1"/>
  </r>
  <r>
    <s v="SK-00905"/>
    <x v="305"/>
    <x v="344"/>
    <x v="7"/>
    <s v="Chicago"/>
    <x v="0"/>
    <n v="0.46875"/>
    <n v="0.46666666666666667"/>
    <n v="-4"/>
    <x v="0"/>
    <x v="0"/>
    <n v="606"/>
    <n v="-3"/>
    <s v="July"/>
    <x v="5"/>
    <x v="0"/>
    <x v="0"/>
    <x v="0"/>
  </r>
  <r>
    <s v="SK-00906"/>
    <x v="305"/>
    <x v="339"/>
    <x v="10"/>
    <s v="Chicago"/>
    <x v="3"/>
    <n v="0.53125"/>
    <n v="0.56805555555555554"/>
    <n v="38"/>
    <x v="1"/>
    <x v="0"/>
    <n v="1438"/>
    <n v="53"/>
    <s v="July"/>
    <x v="5"/>
    <x v="1"/>
    <x v="1"/>
    <x v="1"/>
  </r>
  <r>
    <s v="SK-00907"/>
    <x v="306"/>
    <x v="551"/>
    <x v="5"/>
    <s v="Las Vegas"/>
    <x v="1"/>
    <n v="0.42708333333333331"/>
    <n v="0.4465277777777778"/>
    <m/>
    <x v="2"/>
    <x v="0"/>
    <n v="1511"/>
    <n v="28"/>
    <s v="July"/>
    <x v="6"/>
    <x v="2"/>
    <x v="0"/>
    <x v="1"/>
  </r>
  <r>
    <s v="SK-00908"/>
    <x v="306"/>
    <x v="383"/>
    <x v="1"/>
    <s v="Dallas"/>
    <x v="0"/>
    <n v="0.70138888888888884"/>
    <n v="0.70694444444444449"/>
    <n v="9"/>
    <x v="0"/>
    <x v="0"/>
    <n v="1389"/>
    <n v="8"/>
    <s v="July"/>
    <x v="6"/>
    <x v="0"/>
    <x v="1"/>
    <x v="0"/>
  </r>
  <r>
    <s v="SK-00909"/>
    <x v="306"/>
    <x v="440"/>
    <x v="7"/>
    <s v="Las Vegas"/>
    <x v="0"/>
    <n v="0.77777777777777779"/>
    <n v="0.77847222222222223"/>
    <n v="5"/>
    <x v="0"/>
    <x v="0"/>
    <n v="1743"/>
    <n v="1"/>
    <s v="July"/>
    <x v="6"/>
    <x v="0"/>
    <x v="2"/>
    <x v="0"/>
  </r>
  <r>
    <s v="SK-00910"/>
    <x v="307"/>
    <x v="1"/>
    <x v="7"/>
    <s v="Miami"/>
    <x v="1"/>
    <n v="0.52083333333333337"/>
    <n v="0.53194444444444444"/>
    <n v="8"/>
    <x v="1"/>
    <x v="0"/>
    <n v="596"/>
    <n v="16"/>
    <s v="July"/>
    <x v="0"/>
    <x v="0"/>
    <x v="1"/>
    <x v="1"/>
  </r>
  <r>
    <s v="SK-00911"/>
    <x v="307"/>
    <x v="507"/>
    <x v="7"/>
    <s v="Dallas"/>
    <x v="2"/>
    <n v="0.53125"/>
    <n v="0.52638888888888891"/>
    <m/>
    <x v="0"/>
    <x v="0"/>
    <n v="730"/>
    <n v="-7"/>
    <s v="July"/>
    <x v="0"/>
    <x v="2"/>
    <x v="1"/>
    <x v="0"/>
  </r>
  <r>
    <s v="SK-00912"/>
    <x v="307"/>
    <x v="25"/>
    <x v="2"/>
    <s v="Las Vegas"/>
    <x v="0"/>
    <n v="0.68402777777777779"/>
    <n v="0.67986111111111114"/>
    <n v="-14"/>
    <x v="0"/>
    <x v="0"/>
    <n v="1053"/>
    <m/>
    <s v="July"/>
    <x v="0"/>
    <x v="0"/>
    <x v="1"/>
    <x v="0"/>
  </r>
  <r>
    <s v="SK-00913"/>
    <x v="307"/>
    <x v="552"/>
    <x v="7"/>
    <s v="New York"/>
    <x v="2"/>
    <n v="0.90972222222222221"/>
    <n v="0.90486111111111112"/>
    <n v="-3"/>
    <x v="0"/>
    <x v="0"/>
    <n v="759"/>
    <n v="-7"/>
    <s v="July"/>
    <x v="0"/>
    <x v="0"/>
    <x v="3"/>
    <x v="0"/>
  </r>
  <r>
    <s v="SK-00914"/>
    <x v="308"/>
    <x v="553"/>
    <x v="8"/>
    <s v="Miami"/>
    <x v="3"/>
    <n v="0.28125"/>
    <n v="0.28333333333333333"/>
    <n v="0"/>
    <x v="0"/>
    <x v="0"/>
    <n v="1260"/>
    <n v="3"/>
    <s v="July"/>
    <x v="1"/>
    <x v="0"/>
    <x v="0"/>
    <x v="0"/>
  </r>
  <r>
    <s v="SK-00915"/>
    <x v="308"/>
    <x v="554"/>
    <x v="0"/>
    <s v="Denver"/>
    <x v="2"/>
    <n v="0.34375"/>
    <n v="0.35"/>
    <n v="-2"/>
    <x v="0"/>
    <x v="0"/>
    <n v="861"/>
    <n v="9"/>
    <s v="July"/>
    <x v="1"/>
    <x v="0"/>
    <x v="0"/>
    <x v="0"/>
  </r>
  <r>
    <s v="SK-00916"/>
    <x v="308"/>
    <x v="15"/>
    <x v="8"/>
    <s v="Miami"/>
    <x v="3"/>
    <n v="0.53819444444444442"/>
    <n v="0.53611111111111109"/>
    <n v="6"/>
    <x v="0"/>
    <x v="0"/>
    <n v="1260"/>
    <n v="-3"/>
    <s v="July"/>
    <x v="1"/>
    <x v="0"/>
    <x v="1"/>
    <x v="0"/>
  </r>
  <r>
    <s v="SK-00917"/>
    <x v="308"/>
    <x v="555"/>
    <x v="3"/>
    <s v="Los Angeles"/>
    <x v="1"/>
    <n v="0.85069444444444442"/>
    <n v="0.85"/>
    <n v="-11"/>
    <x v="0"/>
    <x v="0"/>
    <n v="236"/>
    <n v="-1"/>
    <s v="July"/>
    <x v="1"/>
    <x v="0"/>
    <x v="2"/>
    <x v="0"/>
  </r>
  <r>
    <s v="SK-00918"/>
    <x v="308"/>
    <x v="166"/>
    <x v="9"/>
    <s v="Los Angeles"/>
    <x v="0"/>
    <n v="0.91319444444444442"/>
    <n v="0.96458333333333335"/>
    <n v="72"/>
    <x v="1"/>
    <x v="0"/>
    <n v="861"/>
    <n v="74"/>
    <s v="July"/>
    <x v="1"/>
    <x v="1"/>
    <x v="3"/>
    <x v="1"/>
  </r>
  <r>
    <s v="SK-00919"/>
    <x v="309"/>
    <x v="556"/>
    <x v="1"/>
    <s v="Los Angeles"/>
    <x v="3"/>
    <n v="0.71527777777777779"/>
    <n v="0.71319444444444446"/>
    <n v="-8"/>
    <x v="0"/>
    <x v="0"/>
    <n v="2470"/>
    <n v="-3"/>
    <s v="July"/>
    <x v="2"/>
    <x v="0"/>
    <x v="2"/>
    <x v="0"/>
  </r>
  <r>
    <s v="SK-00920"/>
    <x v="309"/>
    <x v="234"/>
    <x v="11"/>
    <s v="Chicago"/>
    <x v="2"/>
    <n v="0.91319444444444442"/>
    <n v="0.91180555555555554"/>
    <n v="-6"/>
    <x v="0"/>
    <x v="0"/>
    <n v="1199"/>
    <n v="-2"/>
    <s v="July"/>
    <x v="2"/>
    <x v="0"/>
    <x v="3"/>
    <x v="0"/>
  </r>
  <r>
    <s v="SK-00921"/>
    <x v="309"/>
    <x v="557"/>
    <x v="1"/>
    <s v="Denver"/>
    <x v="2"/>
    <n v="0.93402777777777779"/>
    <n v="0.93680555555555556"/>
    <n v="-4"/>
    <x v="0"/>
    <x v="0"/>
    <n v="1622"/>
    <n v="4"/>
    <s v="July"/>
    <x v="2"/>
    <x v="0"/>
    <x v="3"/>
    <x v="0"/>
  </r>
  <r>
    <s v="SK-00922"/>
    <x v="310"/>
    <x v="161"/>
    <x v="11"/>
    <s v="Chicago"/>
    <x v="0"/>
    <n v="0.32291666666666669"/>
    <n v="0.32500000000000001"/>
    <n v="-7"/>
    <x v="0"/>
    <x v="0"/>
    <n v="1199"/>
    <n v="3"/>
    <s v="July"/>
    <x v="3"/>
    <x v="0"/>
    <x v="0"/>
    <x v="0"/>
  </r>
  <r>
    <s v="SK-00923"/>
    <x v="310"/>
    <x v="558"/>
    <x v="8"/>
    <s v="Miami"/>
    <x v="2"/>
    <n v="0.67708333333333337"/>
    <n v="0.69236111111111109"/>
    <n v="16"/>
    <x v="1"/>
    <x v="0"/>
    <n v="1260"/>
    <n v="22"/>
    <s v="July"/>
    <x v="3"/>
    <x v="1"/>
    <x v="1"/>
    <x v="1"/>
  </r>
  <r>
    <s v="SK-00924"/>
    <x v="311"/>
    <x v="559"/>
    <x v="1"/>
    <s v="Chicago"/>
    <x v="2"/>
    <n v="0.27083333333333331"/>
    <n v="0.2673611111111111"/>
    <n v="-3"/>
    <x v="0"/>
    <x v="0"/>
    <n v="738"/>
    <n v="-5"/>
    <s v="July"/>
    <x v="4"/>
    <x v="0"/>
    <x v="0"/>
    <x v="0"/>
  </r>
  <r>
    <s v="SK-00925"/>
    <x v="311"/>
    <x v="127"/>
    <x v="5"/>
    <s v="Boston"/>
    <x v="0"/>
    <n v="0.69791666666666663"/>
    <n v="0.75277777777777777"/>
    <n v="84"/>
    <x v="1"/>
    <x v="0"/>
    <n v="864"/>
    <n v="79"/>
    <s v="July"/>
    <x v="4"/>
    <x v="1"/>
    <x v="1"/>
    <x v="1"/>
  </r>
  <r>
    <s v="SK-00926"/>
    <x v="312"/>
    <x v="278"/>
    <x v="8"/>
    <s v="Dallas"/>
    <x v="3"/>
    <n v="0.5"/>
    <n v="0.50208333333333333"/>
    <n v="8"/>
    <x v="0"/>
    <x v="0"/>
    <n v="1559"/>
    <n v="3"/>
    <s v="August"/>
    <x v="5"/>
    <x v="0"/>
    <x v="1"/>
    <x v="0"/>
  </r>
  <r>
    <s v="SK-00927"/>
    <x v="312"/>
    <x v="214"/>
    <x v="7"/>
    <s v="Chicago"/>
    <x v="1"/>
    <n v="0.64930555555555558"/>
    <n v="0.65069444444444446"/>
    <n v="-2"/>
    <x v="0"/>
    <x v="0"/>
    <n v="606"/>
    <n v="2"/>
    <s v="August"/>
    <x v="5"/>
    <x v="0"/>
    <x v="1"/>
    <x v="0"/>
  </r>
  <r>
    <s v="SK-00928"/>
    <x v="312"/>
    <x v="389"/>
    <x v="7"/>
    <s v="Chicago"/>
    <x v="1"/>
    <n v="0.71527777777777779"/>
    <n v="0.73472222222222228"/>
    <n v="34"/>
    <x v="1"/>
    <x v="0"/>
    <n v="606"/>
    <n v="28"/>
    <s v="August"/>
    <x v="5"/>
    <x v="1"/>
    <x v="2"/>
    <x v="1"/>
  </r>
  <r>
    <s v="SK-00929"/>
    <x v="312"/>
    <x v="31"/>
    <x v="6"/>
    <s v="Los Angeles"/>
    <x v="1"/>
    <n v="0.72569444444444442"/>
    <n v="0.72430555555555554"/>
    <n v="-10"/>
    <x v="0"/>
    <x v="0"/>
    <n v="338"/>
    <n v="-2"/>
    <s v="August"/>
    <x v="5"/>
    <x v="0"/>
    <x v="2"/>
    <x v="0"/>
  </r>
  <r>
    <s v="SK-00930"/>
    <x v="313"/>
    <x v="560"/>
    <x v="3"/>
    <s v="Atlanta"/>
    <x v="2"/>
    <n v="0.4513888888888889"/>
    <n v="0.44930555555555562"/>
    <n v="-12"/>
    <x v="0"/>
    <x v="0"/>
    <n v="1743"/>
    <n v="-3"/>
    <s v="August"/>
    <x v="6"/>
    <x v="0"/>
    <x v="0"/>
    <x v="0"/>
  </r>
  <r>
    <s v="SK-00931"/>
    <x v="313"/>
    <x v="309"/>
    <x v="10"/>
    <s v="Los Angeles"/>
    <x v="1"/>
    <n v="0.66319444444444442"/>
    <n v="0.66319444444444442"/>
    <n v="8"/>
    <x v="0"/>
    <x v="0"/>
    <n v="370"/>
    <n v="0"/>
    <s v="August"/>
    <x v="6"/>
    <x v="0"/>
    <x v="1"/>
    <x v="0"/>
  </r>
  <r>
    <s v="SK-00932"/>
    <x v="313"/>
    <x v="203"/>
    <x v="3"/>
    <s v="Los Angeles"/>
    <x v="3"/>
    <n v="0.875"/>
    <n v="0.87708333333333333"/>
    <n v="6"/>
    <x v="0"/>
    <x v="0"/>
    <n v="236"/>
    <n v="3"/>
    <s v="August"/>
    <x v="6"/>
    <x v="0"/>
    <x v="3"/>
    <x v="0"/>
  </r>
  <r>
    <s v="SK-00933"/>
    <x v="314"/>
    <x v="316"/>
    <x v="8"/>
    <s v="Atlanta"/>
    <x v="1"/>
    <n v="0.55555555555555558"/>
    <n v="0.56874999999999998"/>
    <n v="17"/>
    <x v="2"/>
    <x v="0"/>
    <n v="945"/>
    <n v="19"/>
    <s v="August"/>
    <x v="0"/>
    <x v="1"/>
    <x v="1"/>
    <x v="1"/>
  </r>
  <r>
    <s v="SK-00934"/>
    <x v="315"/>
    <x v="419"/>
    <x v="5"/>
    <s v="Phoenix"/>
    <x v="1"/>
    <n v="0.38194444444444442"/>
    <n v="0.37847222222222221"/>
    <n v="-11"/>
    <x v="0"/>
    <x v="0"/>
    <n v="1438"/>
    <n v="-5"/>
    <s v="August"/>
    <x v="1"/>
    <x v="0"/>
    <x v="0"/>
    <x v="0"/>
  </r>
  <r>
    <s v="SK-00935"/>
    <x v="315"/>
    <x v="561"/>
    <x v="0"/>
    <s v="New York"/>
    <x v="2"/>
    <n v="0.51388888888888884"/>
    <n v="0.53472222222222221"/>
    <n v="37"/>
    <x v="2"/>
    <x v="0"/>
    <n v="2470"/>
    <n v="30"/>
    <s v="August"/>
    <x v="1"/>
    <x v="1"/>
    <x v="1"/>
    <x v="1"/>
  </r>
  <r>
    <s v="SK-00936"/>
    <x v="315"/>
    <x v="291"/>
    <x v="4"/>
    <s v="Chicago"/>
    <x v="3"/>
    <n v="0.65972222222222221"/>
    <n v="0.66527777777777775"/>
    <n v="5"/>
    <x v="0"/>
    <x v="0"/>
    <n v="1717"/>
    <n v="8"/>
    <s v="August"/>
    <x v="1"/>
    <x v="0"/>
    <x v="1"/>
    <x v="0"/>
  </r>
  <r>
    <s v="SK-00937"/>
    <x v="315"/>
    <x v="182"/>
    <x v="7"/>
    <s v="Miami"/>
    <x v="3"/>
    <n v="0.82291666666666663"/>
    <n v="0.8256944444444444"/>
    <n v="3"/>
    <x v="0"/>
    <x v="0"/>
    <n v="596"/>
    <n v="4"/>
    <s v="August"/>
    <x v="1"/>
    <x v="0"/>
    <x v="2"/>
    <x v="0"/>
  </r>
  <r>
    <s v="SK-00938"/>
    <x v="316"/>
    <x v="161"/>
    <x v="2"/>
    <s v="Phoenix"/>
    <x v="0"/>
    <n v="0.3923611111111111"/>
    <n v="0.43194444444444452"/>
    <n v="45"/>
    <x v="1"/>
    <x v="0"/>
    <n v="866"/>
    <n v="57"/>
    <s v="August"/>
    <x v="3"/>
    <x v="1"/>
    <x v="0"/>
    <x v="1"/>
  </r>
  <r>
    <s v="SK-00939"/>
    <x v="316"/>
    <x v="562"/>
    <x v="5"/>
    <s v="New York"/>
    <x v="1"/>
    <n v="0.92013888888888884"/>
    <n v="0.92152777777777772"/>
    <n v="5"/>
    <x v="0"/>
    <x v="0"/>
    <n v="738"/>
    <n v="2"/>
    <s v="August"/>
    <x v="3"/>
    <x v="0"/>
    <x v="3"/>
    <x v="0"/>
  </r>
  <r>
    <s v="SK-00940"/>
    <x v="317"/>
    <x v="516"/>
    <x v="9"/>
    <s v="Seattle"/>
    <x v="0"/>
    <n v="0.55902777777777779"/>
    <n v="0.58680555555555558"/>
    <n v="29"/>
    <x v="1"/>
    <x v="0"/>
    <n v="1023"/>
    <n v="40"/>
    <s v="August"/>
    <x v="4"/>
    <x v="1"/>
    <x v="1"/>
    <x v="1"/>
  </r>
  <r>
    <s v="SK-00941"/>
    <x v="318"/>
    <x v="476"/>
    <x v="7"/>
    <s v="Las Vegas"/>
    <x v="2"/>
    <n v="0.57986111111111116"/>
    <n v="0.59305555555555556"/>
    <n v="13"/>
    <x v="3"/>
    <x v="0"/>
    <n v="1743"/>
    <n v="19"/>
    <s v="August"/>
    <x v="5"/>
    <x v="0"/>
    <x v="1"/>
    <x v="2"/>
  </r>
  <r>
    <s v="SK-00942"/>
    <x v="318"/>
    <x v="561"/>
    <x v="9"/>
    <s v="Dallas"/>
    <x v="0"/>
    <n v="0.77083333333333337"/>
    <n v="0.77847222222222223"/>
    <n v="9"/>
    <x v="0"/>
    <x v="0"/>
    <n v="641"/>
    <n v="11"/>
    <s v="August"/>
    <x v="5"/>
    <x v="0"/>
    <x v="2"/>
    <x v="0"/>
  </r>
  <r>
    <s v="SK-00943"/>
    <x v="319"/>
    <x v="563"/>
    <x v="8"/>
    <s v="Atlanta"/>
    <x v="0"/>
    <n v="0.27083333333333331"/>
    <n v="0.26874999999999999"/>
    <n v="-14"/>
    <x v="0"/>
    <x v="0"/>
    <n v="945"/>
    <n v="-3"/>
    <s v="August"/>
    <x v="6"/>
    <x v="0"/>
    <x v="0"/>
    <x v="0"/>
  </r>
  <r>
    <s v="SK-00944"/>
    <x v="319"/>
    <x v="432"/>
    <x v="7"/>
    <s v="Denver"/>
    <x v="2"/>
    <n v="0.52083333333333337"/>
    <n v="0.54583333333333328"/>
    <n v="35"/>
    <x v="3"/>
    <x v="0"/>
    <n v="1197"/>
    <n v="36"/>
    <s v="August"/>
    <x v="6"/>
    <x v="1"/>
    <x v="1"/>
    <x v="2"/>
  </r>
  <r>
    <s v="SK-00945"/>
    <x v="319"/>
    <x v="254"/>
    <x v="1"/>
    <s v="Phoenix"/>
    <x v="3"/>
    <n v="0.58333333333333337"/>
    <m/>
    <n v="-19"/>
    <x v="0"/>
    <x v="0"/>
    <n v="2149"/>
    <n v="-8"/>
    <s v="August"/>
    <x v="6"/>
    <x v="0"/>
    <x v="1"/>
    <x v="0"/>
  </r>
  <r>
    <s v="SK-00946"/>
    <x v="319"/>
    <x v="564"/>
    <x v="3"/>
    <s v="Atlanta"/>
    <x v="0"/>
    <n v="0.69097222222222221"/>
    <n v="0.69236111111111109"/>
    <n v="-3"/>
    <x v="0"/>
    <x v="0"/>
    <n v="1743"/>
    <n v="2"/>
    <s v="August"/>
    <x v="6"/>
    <x v="0"/>
    <x v="1"/>
    <x v="0"/>
  </r>
  <r>
    <s v="SK-00947"/>
    <x v="319"/>
    <x v="565"/>
    <x v="7"/>
    <s v="Seattle"/>
    <x v="0"/>
    <n v="0.77430555555555558"/>
    <n v="0.78749999999999998"/>
    <n v="16"/>
    <x v="1"/>
    <x v="0"/>
    <n v="2178"/>
    <n v="19"/>
    <s v="August"/>
    <x v="6"/>
    <x v="1"/>
    <x v="2"/>
    <x v="1"/>
  </r>
  <r>
    <s v="SK-00948"/>
    <x v="319"/>
    <x v="533"/>
    <x v="5"/>
    <s v="Denver"/>
    <x v="1"/>
    <n v="0.85763888888888884"/>
    <n v="0.92083333333333328"/>
    <n v="89"/>
    <x v="2"/>
    <x v="0"/>
    <n v="886"/>
    <n v="91"/>
    <s v="August"/>
    <x v="6"/>
    <x v="1"/>
    <x v="2"/>
    <x v="1"/>
  </r>
  <r>
    <s v="SK-00949"/>
    <x v="320"/>
    <x v="99"/>
    <x v="10"/>
    <s v="Atlanta"/>
    <x v="0"/>
    <n v="0.25694444444444442"/>
    <n v="0.25347222222222221"/>
    <n v="-10"/>
    <x v="0"/>
    <x v="0"/>
    <n v="1584"/>
    <n v="-5"/>
    <s v="August"/>
    <x v="0"/>
    <x v="0"/>
    <x v="0"/>
    <x v="0"/>
  </r>
  <r>
    <s v="SK-00950"/>
    <x v="321"/>
    <x v="225"/>
    <x v="4"/>
    <s v="Atlanta"/>
    <x v="1"/>
    <n v="0.22569444444444439"/>
    <n v="0.22847222222222219"/>
    <n v="11"/>
    <x v="0"/>
    <x v="0"/>
    <n v="2178"/>
    <n v="4"/>
    <s v="August"/>
    <x v="1"/>
    <x v="0"/>
    <x v="0"/>
    <x v="0"/>
  </r>
  <r>
    <s v="SK-00951"/>
    <x v="321"/>
    <x v="444"/>
    <x v="5"/>
    <s v="Atlanta"/>
    <x v="2"/>
    <n v="0.30208333333333331"/>
    <n v="0.31041666666666667"/>
    <n v="2"/>
    <x v="0"/>
    <x v="0"/>
    <n v="606"/>
    <n v="12"/>
    <s v="August"/>
    <x v="1"/>
    <x v="0"/>
    <x v="0"/>
    <x v="0"/>
  </r>
  <r>
    <s v="SK-00952"/>
    <x v="321"/>
    <x v="200"/>
    <x v="9"/>
    <s v="Atlanta"/>
    <x v="1"/>
    <n v="0.33680555555555558"/>
    <n v="0.34375"/>
    <n v="19"/>
    <x v="0"/>
    <x v="0"/>
    <n v="1197"/>
    <n v="10"/>
    <s v="August"/>
    <x v="1"/>
    <x v="1"/>
    <x v="0"/>
    <x v="0"/>
  </r>
  <r>
    <s v="SK-00953"/>
    <x v="322"/>
    <x v="566"/>
    <x v="2"/>
    <s v="Atlanta"/>
    <x v="3"/>
    <n v="0.35416666666666669"/>
    <n v="0.37569444444444439"/>
    <n v="39"/>
    <x v="5"/>
    <x v="0"/>
    <n v="730"/>
    <n v="31"/>
    <s v="August"/>
    <x v="2"/>
    <x v="1"/>
    <x v="0"/>
    <x v="2"/>
  </r>
  <r>
    <s v="SK-00954"/>
    <x v="322"/>
    <x v="24"/>
    <x v="3"/>
    <s v="Dallas"/>
    <x v="2"/>
    <n v="0.37847222222222221"/>
    <n v="0.37777777777777782"/>
    <n v="-13"/>
    <x v="0"/>
    <x v="0"/>
    <n v="1053"/>
    <n v="-1"/>
    <s v="August"/>
    <x v="2"/>
    <x v="0"/>
    <x v="0"/>
    <x v="0"/>
  </r>
  <r>
    <s v="SK-00955"/>
    <x v="323"/>
    <x v="567"/>
    <x v="2"/>
    <s v="Las Vegas"/>
    <x v="1"/>
    <n v="0.51041666666666663"/>
    <n v="0.5444444444444444"/>
    <n v="41"/>
    <x v="2"/>
    <x v="0"/>
    <n v="1053"/>
    <n v="49"/>
    <s v="August"/>
    <x v="3"/>
    <x v="1"/>
    <x v="1"/>
    <x v="1"/>
  </r>
  <r>
    <s v="SK-00956"/>
    <x v="323"/>
    <x v="144"/>
    <x v="7"/>
    <s v="Los Angeles"/>
    <x v="0"/>
    <n v="0.625"/>
    <n v="0.62430555555555556"/>
    <m/>
    <x v="0"/>
    <x v="0"/>
    <n v="1942"/>
    <n v="-1"/>
    <s v="August"/>
    <x v="3"/>
    <x v="2"/>
    <x v="1"/>
    <x v="0"/>
  </r>
  <r>
    <s v="SK-00957"/>
    <x v="323"/>
    <x v="398"/>
    <x v="6"/>
    <s v="Seattle"/>
    <x v="3"/>
    <n v="0.72916666666666663"/>
    <n v="0.73402777777777772"/>
    <n v="-1"/>
    <x v="0"/>
    <x v="0"/>
    <n v="679"/>
    <n v="7"/>
    <s v="August"/>
    <x v="3"/>
    <x v="0"/>
    <x v="2"/>
    <x v="0"/>
  </r>
  <r>
    <s v="SK-00958"/>
    <x v="323"/>
    <x v="568"/>
    <x v="8"/>
    <s v="Phoenix"/>
    <x v="3"/>
    <n v="0.83680555555555558"/>
    <n v="0.83888888888888891"/>
    <n v="1"/>
    <x v="0"/>
    <x v="0"/>
    <n v="2295"/>
    <n v="3"/>
    <s v="August"/>
    <x v="3"/>
    <x v="0"/>
    <x v="2"/>
    <x v="0"/>
  </r>
  <r>
    <s v="SK-00959"/>
    <x v="324"/>
    <x v="401"/>
    <x v="2"/>
    <s v="San Francisco"/>
    <x v="0"/>
    <n v="0.28125"/>
    <n v="0.27986111111111112"/>
    <n v="5"/>
    <x v="0"/>
    <x v="0"/>
    <n v="1462"/>
    <n v="-2"/>
    <s v="August"/>
    <x v="4"/>
    <x v="0"/>
    <x v="0"/>
    <x v="0"/>
  </r>
  <r>
    <s v="SK-00960"/>
    <x v="324"/>
    <x v="440"/>
    <x v="7"/>
    <s v="Phoenix"/>
    <x v="3"/>
    <n v="0.36458333333333331"/>
    <n v="0.36736111111111108"/>
    <m/>
    <x v="0"/>
    <x v="0"/>
    <n v="1584"/>
    <n v="4"/>
    <s v="August"/>
    <x v="4"/>
    <x v="2"/>
    <x v="0"/>
    <x v="0"/>
  </r>
  <r>
    <s v="SK-00961"/>
    <x v="324"/>
    <x v="569"/>
    <x v="9"/>
    <s v="Dallas"/>
    <x v="0"/>
    <n v="0.40972222222222221"/>
    <n v="0.41388888888888892"/>
    <n v="-6"/>
    <x v="0"/>
    <x v="0"/>
    <n v="641"/>
    <n v="6"/>
    <s v="August"/>
    <x v="4"/>
    <x v="0"/>
    <x v="0"/>
    <x v="0"/>
  </r>
  <r>
    <s v="SK-00962"/>
    <x v="324"/>
    <x v="248"/>
    <x v="10"/>
    <s v="Seattle"/>
    <x v="1"/>
    <n v="0.82291666666666663"/>
    <n v="0.81874999999999998"/>
    <n v="-7"/>
    <x v="0"/>
    <x v="0"/>
    <n v="1108"/>
    <n v="-6"/>
    <s v="August"/>
    <x v="4"/>
    <x v="0"/>
    <x v="2"/>
    <x v="0"/>
  </r>
  <r>
    <s v="SK-00963"/>
    <x v="324"/>
    <x v="570"/>
    <x v="7"/>
    <s v="Seattle"/>
    <x v="0"/>
    <n v="0.85416666666666663"/>
    <n v="0.86527777777777781"/>
    <n v="2"/>
    <x v="2"/>
    <x v="0"/>
    <n v="2178"/>
    <n v="16"/>
    <s v="August"/>
    <x v="4"/>
    <x v="0"/>
    <x v="2"/>
    <x v="1"/>
  </r>
  <r>
    <s v="SK-00964"/>
    <x v="325"/>
    <x v="354"/>
    <x v="0"/>
    <s v="Seattle"/>
    <x v="0"/>
    <n v="0.3888888888888889"/>
    <n v="0.38611111111111113"/>
    <n v="-1"/>
    <x v="0"/>
    <x v="0"/>
    <n v="955"/>
    <n v="-4"/>
    <s v="August"/>
    <x v="5"/>
    <x v="0"/>
    <x v="0"/>
    <x v="0"/>
  </r>
  <r>
    <s v="SK-00965"/>
    <x v="325"/>
    <x v="571"/>
    <x v="5"/>
    <s v="Boston"/>
    <x v="0"/>
    <n v="0.74652777777777779"/>
    <n v="0.74513888888888891"/>
    <n v="7"/>
    <x v="0"/>
    <x v="0"/>
    <n v="864"/>
    <n v="-2"/>
    <s v="August"/>
    <x v="5"/>
    <x v="0"/>
    <x v="2"/>
    <x v="0"/>
  </r>
  <r>
    <s v="SK-00966"/>
    <x v="326"/>
    <x v="174"/>
    <x v="11"/>
    <s v="Atlanta"/>
    <x v="1"/>
    <n v="0.28125"/>
    <n v="0.27569444444444452"/>
    <n v="-6"/>
    <x v="0"/>
    <x v="0"/>
    <n v="596"/>
    <n v="-8"/>
    <s v="August"/>
    <x v="6"/>
    <x v="0"/>
    <x v="0"/>
    <x v="0"/>
  </r>
  <r>
    <s v="SK-00967"/>
    <x v="326"/>
    <x v="346"/>
    <x v="10"/>
    <s v="Chicago"/>
    <x v="0"/>
    <n v="0.67708333333333337"/>
    <n v="0.69444444444444442"/>
    <n v="27"/>
    <x v="4"/>
    <x v="0"/>
    <n v="1438"/>
    <n v="25"/>
    <s v="August"/>
    <x v="6"/>
    <x v="1"/>
    <x v="1"/>
    <x v="2"/>
  </r>
  <r>
    <s v="SK-00968"/>
    <x v="326"/>
    <x v="280"/>
    <x v="1"/>
    <s v="San Francisco"/>
    <x v="0"/>
    <n v="0.68402777777777779"/>
    <n v="0.6875"/>
    <n v="-1"/>
    <x v="0"/>
    <x v="0"/>
    <n v="2580"/>
    <n v="5"/>
    <s v="August"/>
    <x v="6"/>
    <x v="0"/>
    <x v="1"/>
    <x v="0"/>
  </r>
  <r>
    <s v="SK-00969"/>
    <x v="327"/>
    <x v="309"/>
    <x v="3"/>
    <s v="Chicago"/>
    <x v="1"/>
    <n v="0.71527777777777779"/>
    <n v="0.72013888888888888"/>
    <n v="0"/>
    <x v="0"/>
    <x v="0"/>
    <n v="1511"/>
    <n v="7"/>
    <s v="August"/>
    <x v="0"/>
    <x v="0"/>
    <x v="2"/>
    <x v="0"/>
  </r>
  <r>
    <s v="SK-00970"/>
    <x v="327"/>
    <x v="410"/>
    <x v="1"/>
    <s v="Seattle"/>
    <x v="0"/>
    <n v="0.81944444444444442"/>
    <n v="0.8208333333333333"/>
    <n v="8"/>
    <x v="0"/>
    <x v="0"/>
    <n v="2415"/>
    <n v="2"/>
    <s v="August"/>
    <x v="0"/>
    <x v="0"/>
    <x v="2"/>
    <x v="0"/>
  </r>
  <r>
    <s v="SK-00971"/>
    <x v="327"/>
    <x v="106"/>
    <x v="9"/>
    <s v="Phoenix"/>
    <x v="1"/>
    <n v="0.875"/>
    <n v="0.87847222222222221"/>
    <n v="5"/>
    <x v="0"/>
    <x v="0"/>
    <n v="602"/>
    <n v="5"/>
    <s v="August"/>
    <x v="0"/>
    <x v="0"/>
    <x v="3"/>
    <x v="0"/>
  </r>
  <r>
    <s v="SK-00972"/>
    <x v="328"/>
    <x v="556"/>
    <x v="2"/>
    <s v="New York"/>
    <x v="0"/>
    <n v="0.2986111111111111"/>
    <n v="0.29791666666666672"/>
    <n v="-8"/>
    <x v="0"/>
    <x v="0"/>
    <n v="1389"/>
    <n v="-1"/>
    <s v="August"/>
    <x v="1"/>
    <x v="0"/>
    <x v="0"/>
    <x v="0"/>
  </r>
  <r>
    <s v="SK-00973"/>
    <x v="328"/>
    <x v="46"/>
    <x v="1"/>
    <s v="Los Angeles"/>
    <x v="0"/>
    <n v="0.71180555555555558"/>
    <n v="0.70625000000000004"/>
    <n v="-7"/>
    <x v="0"/>
    <x v="0"/>
    <n v="2470"/>
    <n v="-8"/>
    <s v="August"/>
    <x v="1"/>
    <x v="0"/>
    <x v="2"/>
    <x v="0"/>
  </r>
  <r>
    <s v="SK-00974"/>
    <x v="329"/>
    <x v="129"/>
    <x v="8"/>
    <s v="Miami"/>
    <x v="0"/>
    <n v="0.74652777777777779"/>
    <n v="0.75763888888888886"/>
    <n v="10"/>
    <x v="3"/>
    <x v="0"/>
    <n v="1260"/>
    <n v="16"/>
    <s v="August"/>
    <x v="2"/>
    <x v="0"/>
    <x v="2"/>
    <x v="2"/>
  </r>
  <r>
    <s v="SK-00975"/>
    <x v="330"/>
    <x v="563"/>
    <x v="7"/>
    <s v="Phoenix"/>
    <x v="0"/>
    <n v="0.63541666666666663"/>
    <n v="0.63958333333333328"/>
    <n v="6"/>
    <x v="0"/>
    <x v="0"/>
    <n v="1584"/>
    <n v="6"/>
    <s v="August"/>
    <x v="3"/>
    <x v="0"/>
    <x v="1"/>
    <x v="0"/>
  </r>
  <r>
    <s v="SK-00976"/>
    <x v="331"/>
    <x v="271"/>
    <x v="9"/>
    <s v="Atlanta"/>
    <x v="1"/>
    <n v="0.35416666666666669"/>
    <n v="0.35555555555555562"/>
    <n v="10"/>
    <x v="0"/>
    <x v="0"/>
    <n v="1197"/>
    <n v="2"/>
    <s v="August"/>
    <x v="4"/>
    <x v="0"/>
    <x v="0"/>
    <x v="0"/>
  </r>
  <r>
    <s v="SK-00977"/>
    <x v="331"/>
    <x v="265"/>
    <x v="0"/>
    <s v="Chicago"/>
    <x v="0"/>
    <n v="0.53819444444444442"/>
    <n v="0.53819444444444442"/>
    <n v="-4"/>
    <x v="0"/>
    <x v="0"/>
    <n v="1742"/>
    <n v="0"/>
    <s v="August"/>
    <x v="4"/>
    <x v="0"/>
    <x v="1"/>
    <x v="0"/>
  </r>
  <r>
    <s v="SK-00978"/>
    <x v="331"/>
    <x v="145"/>
    <x v="10"/>
    <s v="Los Angeles"/>
    <x v="1"/>
    <n v="0.57986111111111116"/>
    <n v="0.64375000000000004"/>
    <n v="85"/>
    <x v="2"/>
    <x v="0"/>
    <n v="370"/>
    <n v="92"/>
    <s v="August"/>
    <x v="4"/>
    <x v="1"/>
    <x v="1"/>
    <x v="1"/>
  </r>
  <r>
    <s v="SK-00979"/>
    <x v="331"/>
    <x v="181"/>
    <x v="2"/>
    <s v="Denver"/>
    <x v="1"/>
    <n v="0.70486111111111116"/>
    <n v="0.74236111111111114"/>
    <n v="42"/>
    <x v="4"/>
    <x v="0"/>
    <n v="641"/>
    <n v="54"/>
    <s v="August"/>
    <x v="4"/>
    <x v="1"/>
    <x v="1"/>
    <x v="2"/>
  </r>
  <r>
    <s v="SK-00980"/>
    <x v="332"/>
    <x v="207"/>
    <x v="7"/>
    <s v="Miami"/>
    <x v="3"/>
    <n v="0.46875"/>
    <n v="0.47499999999999998"/>
    <m/>
    <x v="0"/>
    <x v="0"/>
    <n v="596"/>
    <n v="9"/>
    <s v="August"/>
    <x v="5"/>
    <x v="2"/>
    <x v="0"/>
    <x v="0"/>
  </r>
  <r>
    <s v="SK-00981"/>
    <x v="332"/>
    <x v="174"/>
    <x v="0"/>
    <s v="Chicago"/>
    <x v="2"/>
    <n v="0.60763888888888884"/>
    <n v="0.60416666666666663"/>
    <n v="-10"/>
    <x v="0"/>
    <x v="0"/>
    <n v="1742"/>
    <n v="-5"/>
    <s v="August"/>
    <x v="5"/>
    <x v="0"/>
    <x v="1"/>
    <x v="0"/>
  </r>
  <r>
    <s v="SK-00982"/>
    <x v="332"/>
    <x v="55"/>
    <x v="7"/>
    <s v="Denver"/>
    <x v="2"/>
    <n v="0.87847222222222221"/>
    <n v="0.87430555555555556"/>
    <n v="-2"/>
    <x v="0"/>
    <x v="0"/>
    <n v="1197"/>
    <n v="-6"/>
    <s v="August"/>
    <x v="5"/>
    <x v="0"/>
    <x v="3"/>
    <x v="0"/>
  </r>
  <r>
    <s v="SK-00983"/>
    <x v="333"/>
    <x v="469"/>
    <x v="7"/>
    <s v="Las Vegas"/>
    <x v="0"/>
    <n v="0.37847222222222221"/>
    <n v="0.37708333333333333"/>
    <n v="-8"/>
    <x v="0"/>
    <x v="0"/>
    <n v="1743"/>
    <n v="-2"/>
    <s v="August"/>
    <x v="6"/>
    <x v="0"/>
    <x v="0"/>
    <x v="0"/>
  </r>
  <r>
    <s v="SK-00984"/>
    <x v="333"/>
    <x v="430"/>
    <x v="9"/>
    <s v="Miami"/>
    <x v="0"/>
    <n v="0.94791666666666663"/>
    <n v="0.95347222222222228"/>
    <n v="16"/>
    <x v="0"/>
    <x v="0"/>
    <n v="1708"/>
    <n v="8"/>
    <s v="August"/>
    <x v="6"/>
    <x v="1"/>
    <x v="3"/>
    <x v="0"/>
  </r>
  <r>
    <s v="SK-00985"/>
    <x v="334"/>
    <x v="39"/>
    <x v="0"/>
    <s v="Denver"/>
    <x v="1"/>
    <n v="0.25694444444444442"/>
    <n v="0.25138888888888888"/>
    <n v="-9"/>
    <x v="0"/>
    <x v="0"/>
    <n v="861"/>
    <n v="-8"/>
    <s v="August"/>
    <x v="0"/>
    <x v="0"/>
    <x v="0"/>
    <x v="0"/>
  </r>
  <r>
    <s v="SK-00986"/>
    <x v="334"/>
    <x v="572"/>
    <x v="2"/>
    <s v="Seattle"/>
    <x v="0"/>
    <n v="0.34722222222222221"/>
    <n v="0.37986111111111109"/>
    <n v="35"/>
    <x v="1"/>
    <x v="0"/>
    <n v="1658"/>
    <n v="47"/>
    <s v="August"/>
    <x v="0"/>
    <x v="1"/>
    <x v="0"/>
    <x v="1"/>
  </r>
  <r>
    <s v="SK-00987"/>
    <x v="334"/>
    <x v="199"/>
    <x v="1"/>
    <s v="Seattle"/>
    <x v="0"/>
    <n v="0.86458333333333337"/>
    <n v="0.87222222222222223"/>
    <n v="4"/>
    <x v="0"/>
    <x v="0"/>
    <n v="2415"/>
    <n v="11"/>
    <s v="August"/>
    <x v="0"/>
    <x v="0"/>
    <x v="2"/>
    <x v="0"/>
  </r>
  <r>
    <s v="SK-00988"/>
    <x v="335"/>
    <x v="77"/>
    <x v="1"/>
    <s v="Dallas"/>
    <x v="0"/>
    <n v="0.32291666666666669"/>
    <n v="0.32222222222222219"/>
    <n v="-4"/>
    <x v="0"/>
    <x v="0"/>
    <n v="1389"/>
    <n v="-1"/>
    <s v="August"/>
    <x v="1"/>
    <x v="0"/>
    <x v="0"/>
    <x v="0"/>
  </r>
  <r>
    <s v="SK-00989"/>
    <x v="335"/>
    <x v="293"/>
    <x v="0"/>
    <s v="Miami"/>
    <x v="0"/>
    <n v="0.64930555555555558"/>
    <n v="0.65069444444444446"/>
    <n v="-9"/>
    <x v="0"/>
    <x v="0"/>
    <n v="2338"/>
    <n v="2"/>
    <s v="August"/>
    <x v="1"/>
    <x v="0"/>
    <x v="1"/>
    <x v="0"/>
  </r>
  <r>
    <s v="SK-00990"/>
    <x v="336"/>
    <x v="430"/>
    <x v="11"/>
    <s v="Chicago"/>
    <x v="1"/>
    <n v="0.3125"/>
    <n v="0.31319444444444439"/>
    <n v="7"/>
    <x v="0"/>
    <x v="0"/>
    <n v="1199"/>
    <n v="1"/>
    <s v="August"/>
    <x v="3"/>
    <x v="0"/>
    <x v="0"/>
    <x v="0"/>
  </r>
  <r>
    <s v="SK-00991"/>
    <x v="336"/>
    <x v="206"/>
    <x v="3"/>
    <s v="New York"/>
    <x v="3"/>
    <n v="0.61805555555555558"/>
    <n v="0.61527777777777781"/>
    <n v="-8"/>
    <x v="0"/>
    <x v="0"/>
    <n v="2243"/>
    <n v="-4"/>
    <s v="August"/>
    <x v="3"/>
    <x v="0"/>
    <x v="1"/>
    <x v="0"/>
  </r>
  <r>
    <s v="SK-00992"/>
    <x v="336"/>
    <x v="63"/>
    <x v="4"/>
    <s v="New York"/>
    <x v="2"/>
    <n v="0.62847222222222221"/>
    <n v="0.62777777777777777"/>
    <n v="-8"/>
    <x v="0"/>
    <x v="0"/>
    <n v="2415"/>
    <n v="-1"/>
    <s v="August"/>
    <x v="3"/>
    <x v="0"/>
    <x v="1"/>
    <x v="0"/>
  </r>
  <r>
    <s v="SK-00993"/>
    <x v="337"/>
    <x v="37"/>
    <x v="5"/>
    <s v="Boston"/>
    <x v="0"/>
    <n v="0.51388888888888884"/>
    <n v="0.6118055555555556"/>
    <n v="126"/>
    <x v="2"/>
    <x v="0"/>
    <n v="864"/>
    <n v="141"/>
    <s v="August"/>
    <x v="4"/>
    <x v="1"/>
    <x v="1"/>
    <x v="1"/>
  </r>
  <r>
    <s v="SK-00994"/>
    <x v="337"/>
    <x v="246"/>
    <x v="7"/>
    <s v="Chicago"/>
    <x v="2"/>
    <n v="0.68055555555555558"/>
    <m/>
    <n v="57"/>
    <x v="1"/>
    <x v="0"/>
    <n v="606"/>
    <n v="57"/>
    <s v="August"/>
    <x v="4"/>
    <x v="1"/>
    <x v="1"/>
    <x v="1"/>
  </r>
  <r>
    <s v="SK-00995"/>
    <x v="338"/>
    <x v="241"/>
    <x v="7"/>
    <s v="Miami"/>
    <x v="0"/>
    <n v="0.32291666666666669"/>
    <n v="0.43472222222222218"/>
    <n v="165"/>
    <x v="2"/>
    <x v="0"/>
    <n v="596"/>
    <n v="161"/>
    <s v="August"/>
    <x v="5"/>
    <x v="1"/>
    <x v="0"/>
    <x v="1"/>
  </r>
  <r>
    <s v="SK-00996"/>
    <x v="339"/>
    <x v="0"/>
    <x v="3"/>
    <s v="Chicago"/>
    <x v="0"/>
    <n v="0.43055555555555558"/>
    <m/>
    <n v="0"/>
    <x v="0"/>
    <x v="0"/>
    <n v="1511"/>
    <n v="3"/>
    <s v="August"/>
    <x v="6"/>
    <x v="0"/>
    <x v="0"/>
    <x v="0"/>
  </r>
  <r>
    <s v="SK-00997"/>
    <x v="339"/>
    <x v="82"/>
    <x v="2"/>
    <s v="Chicago"/>
    <x v="2"/>
    <n v="0.78125"/>
    <n v="0.77986111111111112"/>
    <n v="-4"/>
    <x v="0"/>
    <x v="0"/>
    <n v="802"/>
    <n v="-2"/>
    <s v="August"/>
    <x v="6"/>
    <x v="0"/>
    <x v="2"/>
    <x v="0"/>
  </r>
  <r>
    <s v="SK-00998"/>
    <x v="339"/>
    <x v="120"/>
    <x v="10"/>
    <s v="Atlanta"/>
    <x v="1"/>
    <n v="0.82291666666666663"/>
    <n v="0.82777777777777772"/>
    <n v="2"/>
    <x v="0"/>
    <x v="0"/>
    <n v="1584"/>
    <n v="7"/>
    <s v="August"/>
    <x v="6"/>
    <x v="0"/>
    <x v="2"/>
    <x v="0"/>
  </r>
  <r>
    <s v="SK-00999"/>
    <x v="340"/>
    <x v="435"/>
    <x v="2"/>
    <s v="Seattle"/>
    <x v="1"/>
    <n v="0.70833333333333337"/>
    <n v="0.73541666666666672"/>
    <n v="36"/>
    <x v="3"/>
    <x v="0"/>
    <n v="1658"/>
    <n v="39"/>
    <s v="August"/>
    <x v="0"/>
    <x v="1"/>
    <x v="2"/>
    <x v="2"/>
  </r>
  <r>
    <s v="SK-01000"/>
    <x v="340"/>
    <x v="105"/>
    <x v="7"/>
    <s v="Chicago"/>
    <x v="3"/>
    <n v="0.78125"/>
    <n v="0.80555555555555558"/>
    <n v="26"/>
    <x v="2"/>
    <x v="0"/>
    <n v="606"/>
    <n v="35"/>
    <s v="August"/>
    <x v="0"/>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4914C1-8127-49D6-9EDF-5CE9ED8868F2}" name="PivotTable17"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11:P28" firstHeaderRow="1" firstDataRow="1" firstDataCol="0"/>
  <pivotFields count="20">
    <pivotField showAll="0"/>
    <pivotField numFmtId="22" showAll="0"/>
    <pivotField showAll="0"/>
    <pivotField showAll="0">
      <items count="13">
        <item x="7"/>
        <item h="1" x="8"/>
        <item h="1" x="5"/>
        <item h="1" x="2"/>
        <item h="1" x="9"/>
        <item h="1" x="3"/>
        <item h="1" x="0"/>
        <item h="1" x="11"/>
        <item h="1" x="1"/>
        <item h="1" x="10"/>
        <item h="1" x="6"/>
        <item h="1" x="4"/>
        <item t="default"/>
      </items>
    </pivotField>
    <pivotField showAll="0"/>
    <pivotField showAll="0">
      <items count="5">
        <item x="1"/>
        <item h="1" x="0"/>
        <item h="1" x="3"/>
        <item h="1" x="2"/>
        <item t="default"/>
      </items>
    </pivotField>
    <pivotField showAll="0"/>
    <pivotField showAll="0"/>
    <pivotField showAll="0"/>
    <pivotField showAll="0"/>
    <pivotField showAll="0"/>
    <pivotField showAll="0"/>
    <pivotField showAll="0"/>
    <pivotField showAll="0"/>
    <pivotField showAll="0"/>
    <pivotField showAll="0"/>
    <pivotField showAll="0">
      <items count="5">
        <item h="1" x="1"/>
        <item x="2"/>
        <item h="1" x="0"/>
        <item h="1" x="3"/>
        <item t="default"/>
      </items>
    </pivotField>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8F01A-F24F-417C-9B1E-79D9B5DE8C39}" name="PivotTable15"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F6" firstHeaderRow="1" firstDataRow="1" firstDataCol="1"/>
  <pivotFields count="20">
    <pivotField showAll="0"/>
    <pivotField numFmtId="22" showAll="0"/>
    <pivotField dataField="1" showAll="0"/>
    <pivotField showAll="0">
      <items count="13">
        <item x="7"/>
        <item h="1" x="8"/>
        <item h="1" x="5"/>
        <item h="1" x="2"/>
        <item h="1" x="9"/>
        <item h="1" x="3"/>
        <item h="1" x="0"/>
        <item h="1" x="11"/>
        <item h="1" x="1"/>
        <item h="1" x="10"/>
        <item h="1" x="6"/>
        <item h="1" x="4"/>
        <item t="default"/>
      </items>
    </pivotField>
    <pivotField showAll="0"/>
    <pivotField showAll="0">
      <items count="5">
        <item x="1"/>
        <item h="1" x="0"/>
        <item h="1" x="3"/>
        <item h="1" x="2"/>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items count="5">
        <item h="1" x="1"/>
        <item x="2"/>
        <item h="1" x="0"/>
        <item h="1" x="3"/>
        <item t="default"/>
      </items>
    </pivotField>
    <pivotField showAll="0"/>
    <pivotField showAll="0" defaultSubtotal="0"/>
    <pivotField showAll="0" defaultSubtotal="0"/>
  </pivotFields>
  <rowFields count="1">
    <field x="10"/>
  </rowFields>
  <rowItems count="3">
    <i>
      <x/>
    </i>
    <i>
      <x v="1"/>
    </i>
    <i t="grand">
      <x/>
    </i>
  </rowItems>
  <colItems count="1">
    <i/>
  </colItems>
  <dataFields count="1">
    <dataField name="Count of FlightNumber" fld="2" subtotal="count" showDataAs="percentOfTotal" baseField="0" baseItem="0" numFmtId="166"/>
  </dataFields>
  <formats count="1">
    <format dxfId="1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4F0475-667B-45A7-B84B-6FE5A32BE785}" name="PivotTable14"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13:H116" firstHeaderRow="1" firstDataRow="2" firstDataCol="1"/>
  <pivotFields count="20">
    <pivotField showAll="0"/>
    <pivotField numFmtId="22" showAll="0"/>
    <pivotField dataField="1" showAll="0">
      <items count="574">
        <item x="330"/>
        <item x="369"/>
        <item x="529"/>
        <item x="68"/>
        <item x="256"/>
        <item x="215"/>
        <item x="191"/>
        <item x="239"/>
        <item x="371"/>
        <item x="96"/>
        <item x="126"/>
        <item x="27"/>
        <item x="197"/>
        <item x="109"/>
        <item x="202"/>
        <item x="470"/>
        <item x="89"/>
        <item x="187"/>
        <item x="552"/>
        <item x="198"/>
        <item x="414"/>
        <item x="565"/>
        <item x="521"/>
        <item x="515"/>
        <item x="510"/>
        <item x="289"/>
        <item x="430"/>
        <item x="316"/>
        <item x="60"/>
        <item x="378"/>
        <item x="75"/>
        <item x="61"/>
        <item x="411"/>
        <item x="212"/>
        <item x="86"/>
        <item x="245"/>
        <item x="94"/>
        <item x="337"/>
        <item x="205"/>
        <item x="26"/>
        <item x="457"/>
        <item x="480"/>
        <item x="206"/>
        <item x="201"/>
        <item x="50"/>
        <item x="119"/>
        <item x="110"/>
        <item x="499"/>
        <item x="494"/>
        <item x="267"/>
        <item x="74"/>
        <item x="157"/>
        <item x="156"/>
        <item x="363"/>
        <item x="346"/>
        <item x="210"/>
        <item x="222"/>
        <item x="28"/>
        <item x="48"/>
        <item x="160"/>
        <item x="407"/>
        <item x="455"/>
        <item x="53"/>
        <item x="182"/>
        <item x="448"/>
        <item x="533"/>
        <item x="251"/>
        <item x="129"/>
        <item x="347"/>
        <item x="329"/>
        <item x="504"/>
        <item x="456"/>
        <item x="354"/>
        <item x="9"/>
        <item x="233"/>
        <item x="265"/>
        <item x="518"/>
        <item x="437"/>
        <item x="146"/>
        <item x="122"/>
        <item x="235"/>
        <item x="395"/>
        <item x="228"/>
        <item x="570"/>
        <item x="376"/>
        <item x="179"/>
        <item x="569"/>
        <item x="165"/>
        <item x="162"/>
        <item x="292"/>
        <item x="196"/>
        <item x="325"/>
        <item x="428"/>
        <item x="294"/>
        <item x="116"/>
        <item x="547"/>
        <item x="482"/>
        <item x="199"/>
        <item x="24"/>
        <item x="114"/>
        <item x="388"/>
        <item x="526"/>
        <item x="436"/>
        <item x="331"/>
        <item x="558"/>
        <item x="186"/>
        <item x="422"/>
        <item x="259"/>
        <item x="133"/>
        <item x="557"/>
        <item x="486"/>
        <item x="93"/>
        <item x="539"/>
        <item x="213"/>
        <item x="264"/>
        <item x="247"/>
        <item x="384"/>
        <item x="345"/>
        <item x="348"/>
        <item x="545"/>
        <item x="115"/>
        <item x="188"/>
        <item x="362"/>
        <item x="280"/>
        <item x="323"/>
        <item x="453"/>
        <item x="431"/>
        <item x="452"/>
        <item x="200"/>
        <item x="512"/>
        <item x="98"/>
        <item x="405"/>
        <item x="361"/>
        <item x="553"/>
        <item x="555"/>
        <item x="399"/>
        <item x="78"/>
        <item x="554"/>
        <item x="394"/>
        <item x="184"/>
        <item x="527"/>
        <item x="226"/>
        <item x="429"/>
        <item x="314"/>
        <item x="207"/>
        <item x="55"/>
        <item x="59"/>
        <item x="441"/>
        <item x="406"/>
        <item x="540"/>
        <item x="49"/>
        <item x="321"/>
        <item x="543"/>
        <item x="140"/>
        <item x="84"/>
        <item x="546"/>
        <item x="513"/>
        <item x="324"/>
        <item x="496"/>
        <item x="364"/>
        <item x="88"/>
        <item x="167"/>
        <item x="517"/>
        <item x="481"/>
        <item x="467"/>
        <item x="204"/>
        <item x="413"/>
        <item x="224"/>
        <item x="426"/>
        <item x="563"/>
        <item x="223"/>
        <item x="159"/>
        <item x="11"/>
        <item x="25"/>
        <item x="249"/>
        <item x="170"/>
        <item x="516"/>
        <item x="340"/>
        <item x="171"/>
        <item x="300"/>
        <item x="404"/>
        <item x="216"/>
        <item x="66"/>
        <item x="326"/>
        <item x="81"/>
        <item x="279"/>
        <item x="257"/>
        <item x="65"/>
        <item x="534"/>
        <item x="130"/>
        <item x="308"/>
        <item x="246"/>
        <item x="169"/>
        <item x="528"/>
        <item x="62"/>
        <item x="153"/>
        <item x="299"/>
        <item x="64"/>
        <item x="525"/>
        <item x="231"/>
        <item x="262"/>
        <item x="44"/>
        <item x="445"/>
        <item x="469"/>
        <item x="432"/>
        <item x="34"/>
        <item x="51"/>
        <item x="385"/>
        <item x="152"/>
        <item x="283"/>
        <item x="254"/>
        <item x="39"/>
        <item x="166"/>
        <item x="335"/>
        <item x="63"/>
        <item x="477"/>
        <item x="497"/>
        <item x="359"/>
        <item x="82"/>
        <item x="302"/>
        <item x="409"/>
        <item x="43"/>
        <item x="514"/>
        <item x="290"/>
        <item x="377"/>
        <item x="47"/>
        <item x="490"/>
        <item x="260"/>
        <item x="57"/>
        <item x="40"/>
        <item x="386"/>
        <item x="551"/>
        <item x="476"/>
        <item x="149"/>
        <item x="19"/>
        <item x="268"/>
        <item x="131"/>
        <item x="155"/>
        <item x="328"/>
        <item x="23"/>
        <item x="478"/>
        <item x="424"/>
        <item x="132"/>
        <item x="295"/>
        <item x="42"/>
        <item x="301"/>
        <item x="163"/>
        <item x="243"/>
        <item x="571"/>
        <item x="18"/>
        <item x="111"/>
        <item x="544"/>
        <item x="0"/>
        <item x="304"/>
        <item x="108"/>
        <item x="190"/>
        <item x="178"/>
        <item x="358"/>
        <item x="10"/>
        <item x="85"/>
        <item x="261"/>
        <item x="500"/>
        <item x="357"/>
        <item x="52"/>
        <item x="561"/>
        <item x="37"/>
        <item x="342"/>
        <item x="269"/>
        <item x="143"/>
        <item x="230"/>
        <item x="274"/>
        <item x="107"/>
        <item x="161"/>
        <item x="203"/>
        <item x="225"/>
        <item x="382"/>
        <item x="273"/>
        <item x="454"/>
        <item x="507"/>
        <item x="511"/>
        <item x="493"/>
        <item x="103"/>
        <item x="562"/>
        <item x="173"/>
        <item x="154"/>
        <item x="462"/>
        <item x="266"/>
        <item x="234"/>
        <item x="459"/>
        <item x="322"/>
        <item x="214"/>
        <item x="483"/>
        <item x="372"/>
        <item x="236"/>
        <item x="535"/>
        <item x="416"/>
        <item x="423"/>
        <item x="17"/>
        <item x="180"/>
        <item x="313"/>
        <item x="136"/>
        <item x="118"/>
        <item x="219"/>
        <item x="343"/>
        <item x="195"/>
        <item x="192"/>
        <item x="336"/>
        <item x="69"/>
        <item x="427"/>
        <item x="38"/>
        <item x="31"/>
        <item x="473"/>
        <item x="174"/>
        <item x="5"/>
        <item x="548"/>
        <item x="193"/>
        <item x="208"/>
        <item x="475"/>
        <item x="559"/>
        <item x="121"/>
        <item x="221"/>
        <item x="412"/>
        <item x="375"/>
        <item x="402"/>
        <item x="128"/>
        <item x="350"/>
        <item x="287"/>
        <item x="418"/>
        <item x="56"/>
        <item x="142"/>
        <item x="524"/>
        <item x="46"/>
        <item x="417"/>
        <item x="218"/>
        <item x="538"/>
        <item x="276"/>
        <item x="71"/>
        <item x="16"/>
        <item x="508"/>
        <item x="487"/>
        <item x="123"/>
        <item x="33"/>
        <item x="392"/>
        <item x="520"/>
        <item x="356"/>
        <item x="315"/>
        <item x="349"/>
        <item x="488"/>
        <item x="440"/>
        <item x="151"/>
        <item x="158"/>
        <item x="379"/>
        <item x="421"/>
        <item x="73"/>
        <item x="172"/>
        <item x="83"/>
        <item x="492"/>
        <item x="505"/>
        <item x="105"/>
        <item x="446"/>
        <item x="360"/>
        <item x="148"/>
        <item x="355"/>
        <item x="338"/>
        <item x="463"/>
        <item x="370"/>
        <item x="4"/>
        <item x="100"/>
        <item x="8"/>
        <item x="564"/>
        <item x="327"/>
        <item x="303"/>
        <item x="352"/>
        <item x="101"/>
        <item x="519"/>
        <item x="439"/>
        <item x="491"/>
        <item x="401"/>
        <item x="77"/>
        <item x="20"/>
        <item x="181"/>
        <item x="70"/>
        <item x="523"/>
        <item x="503"/>
        <item x="403"/>
        <item x="6"/>
        <item x="307"/>
        <item x="14"/>
        <item x="541"/>
        <item x="332"/>
        <item x="79"/>
        <item x="373"/>
        <item x="95"/>
        <item x="425"/>
        <item x="367"/>
        <item x="54"/>
        <item x="460"/>
        <item x="285"/>
        <item x="253"/>
        <item x="21"/>
        <item x="542"/>
        <item x="145"/>
        <item x="144"/>
        <item x="240"/>
        <item x="45"/>
        <item x="306"/>
        <item x="381"/>
        <item x="444"/>
        <item x="135"/>
        <item x="502"/>
        <item x="72"/>
        <item x="36"/>
        <item x="393"/>
        <item x="177"/>
        <item x="400"/>
        <item x="297"/>
        <item x="556"/>
        <item x="408"/>
        <item x="134"/>
        <item x="175"/>
        <item x="237"/>
        <item x="341"/>
        <item x="353"/>
        <item x="238"/>
        <item x="282"/>
        <item x="468"/>
        <item x="227"/>
        <item x="368"/>
        <item x="263"/>
        <item x="12"/>
        <item x="447"/>
        <item x="250"/>
        <item x="270"/>
        <item x="472"/>
        <item x="442"/>
        <item x="220"/>
        <item x="271"/>
        <item x="390"/>
        <item x="420"/>
        <item x="1"/>
        <item x="97"/>
        <item x="396"/>
        <item x="531"/>
        <item x="410"/>
        <item x="485"/>
        <item x="464"/>
        <item x="248"/>
        <item x="318"/>
        <item x="104"/>
        <item x="112"/>
        <item x="495"/>
        <item x="87"/>
        <item x="484"/>
        <item x="319"/>
        <item x="530"/>
        <item x="522"/>
        <item x="309"/>
        <item x="120"/>
        <item x="258"/>
        <item x="92"/>
        <item x="278"/>
        <item x="479"/>
        <item x="351"/>
        <item x="102"/>
        <item x="147"/>
        <item x="99"/>
        <item x="506"/>
        <item x="549"/>
        <item x="164"/>
        <item x="124"/>
        <item x="509"/>
        <item x="471"/>
        <item x="474"/>
        <item x="387"/>
        <item x="117"/>
        <item x="7"/>
        <item x="281"/>
        <item x="244"/>
        <item x="113"/>
        <item x="398"/>
        <item x="339"/>
        <item x="185"/>
        <item x="139"/>
        <item x="461"/>
        <item x="433"/>
        <item x="284"/>
        <item x="293"/>
        <item x="189"/>
        <item x="209"/>
        <item x="58"/>
        <item x="451"/>
        <item x="465"/>
        <item x="35"/>
        <item x="277"/>
        <item x="391"/>
        <item x="211"/>
        <item x="137"/>
        <item x="344"/>
        <item x="150"/>
        <item x="194"/>
        <item x="450"/>
        <item x="183"/>
        <item x="366"/>
        <item x="438"/>
        <item x="229"/>
        <item x="176"/>
        <item x="489"/>
        <item x="275"/>
        <item x="41"/>
        <item x="374"/>
        <item x="272"/>
        <item x="298"/>
        <item x="572"/>
        <item x="29"/>
        <item x="22"/>
        <item x="380"/>
        <item x="30"/>
        <item x="90"/>
        <item x="419"/>
        <item x="566"/>
        <item x="383"/>
        <item x="91"/>
        <item x="168"/>
        <item x="3"/>
        <item x="312"/>
        <item x="217"/>
        <item x="311"/>
        <item x="333"/>
        <item x="537"/>
        <item x="241"/>
        <item x="320"/>
        <item x="458"/>
        <item x="334"/>
        <item x="498"/>
        <item x="2"/>
        <item x="288"/>
        <item x="435"/>
        <item x="67"/>
        <item x="125"/>
        <item x="255"/>
        <item x="291"/>
        <item x="242"/>
        <item x="567"/>
        <item x="415"/>
        <item x="443"/>
        <item x="317"/>
        <item x="138"/>
        <item x="305"/>
        <item x="449"/>
        <item x="550"/>
        <item x="232"/>
        <item x="466"/>
        <item x="365"/>
        <item x="127"/>
        <item x="568"/>
        <item x="76"/>
        <item x="13"/>
        <item x="532"/>
        <item x="141"/>
        <item x="252"/>
        <item x="434"/>
        <item x="310"/>
        <item x="560"/>
        <item x="106"/>
        <item x="286"/>
        <item x="296"/>
        <item x="536"/>
        <item x="15"/>
        <item x="397"/>
        <item x="501"/>
        <item x="389"/>
        <item x="80"/>
        <item x="32"/>
        <item t="default"/>
      </items>
    </pivotField>
    <pivotField axis="axisRow" showAll="0">
      <items count="13">
        <item x="7"/>
        <item h="1" x="8"/>
        <item h="1" x="5"/>
        <item h="1" x="2"/>
        <item h="1" x="9"/>
        <item h="1" x="3"/>
        <item h="1" x="0"/>
        <item h="1" x="11"/>
        <item h="1" x="1"/>
        <item h="1" x="10"/>
        <item h="1" x="6"/>
        <item h="1" x="4"/>
        <item t="default"/>
      </items>
    </pivotField>
    <pivotField showAll="0"/>
    <pivotField showAll="0">
      <items count="5">
        <item x="1"/>
        <item h="1" x="0"/>
        <item h="1" x="3"/>
        <item h="1" x="2"/>
        <item t="default"/>
      </items>
    </pivotField>
    <pivotField showAll="0"/>
    <pivotField showAll="0"/>
    <pivotField showAll="0"/>
    <pivotField axis="axisCol" showAll="0">
      <items count="7">
        <item x="4"/>
        <item x="2"/>
        <item x="1"/>
        <item x="0"/>
        <item x="5"/>
        <item x="3"/>
        <item t="default"/>
      </items>
    </pivotField>
    <pivotField showAll="0"/>
    <pivotField showAll="0"/>
    <pivotField showAll="0"/>
    <pivotField showAll="0"/>
    <pivotField showAll="0"/>
    <pivotField showAll="0"/>
    <pivotField showAll="0">
      <items count="5">
        <item h="1" x="1"/>
        <item x="2"/>
        <item h="1" x="0"/>
        <item h="1" x="3"/>
        <item t="default"/>
      </items>
    </pivotField>
    <pivotField showAll="0">
      <items count="4">
        <item x="1"/>
        <item x="2"/>
        <item x="0"/>
        <item t="default"/>
      </items>
    </pivotField>
    <pivotField showAll="0" defaultSubtotal="0"/>
    <pivotField showAll="0" defaultSubtotal="0"/>
  </pivotFields>
  <rowFields count="1">
    <field x="3"/>
  </rowFields>
  <rowItems count="2">
    <i>
      <x/>
    </i>
    <i t="grand">
      <x/>
    </i>
  </rowItems>
  <colFields count="1">
    <field x="9"/>
  </colFields>
  <colItems count="6">
    <i>
      <x v="1"/>
    </i>
    <i>
      <x v="2"/>
    </i>
    <i>
      <x v="3"/>
    </i>
    <i>
      <x v="4"/>
    </i>
    <i>
      <x v="5"/>
    </i>
    <i t="grand">
      <x/>
    </i>
  </colItems>
  <dataFields count="1">
    <dataField name="Count of FlightNumber" fld="2" subtotal="count" baseField="0" baseItem="0"/>
  </dataFields>
  <formats count="1">
    <format dxfId="1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944BF9-1AA0-4210-9371-BFA9493AA3AD}" name="PivotTable12"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91:C94" firstHeaderRow="1" firstDataRow="1" firstDataCol="1"/>
  <pivotFields count="20">
    <pivotField showAll="0"/>
    <pivotField numFmtId="22" showAll="0"/>
    <pivotField dataField="1" showAll="0">
      <items count="574">
        <item x="330"/>
        <item x="369"/>
        <item x="529"/>
        <item x="68"/>
        <item x="256"/>
        <item x="215"/>
        <item x="191"/>
        <item x="239"/>
        <item x="371"/>
        <item x="96"/>
        <item x="126"/>
        <item x="27"/>
        <item x="197"/>
        <item x="109"/>
        <item x="202"/>
        <item x="470"/>
        <item x="89"/>
        <item x="187"/>
        <item x="552"/>
        <item x="198"/>
        <item x="414"/>
        <item x="565"/>
        <item x="521"/>
        <item x="515"/>
        <item x="510"/>
        <item x="289"/>
        <item x="430"/>
        <item x="316"/>
        <item x="60"/>
        <item x="378"/>
        <item x="75"/>
        <item x="61"/>
        <item x="411"/>
        <item x="212"/>
        <item x="86"/>
        <item x="245"/>
        <item x="94"/>
        <item x="337"/>
        <item x="205"/>
        <item x="26"/>
        <item x="457"/>
        <item x="480"/>
        <item x="206"/>
        <item x="201"/>
        <item x="50"/>
        <item x="119"/>
        <item x="110"/>
        <item x="499"/>
        <item x="494"/>
        <item x="267"/>
        <item x="74"/>
        <item x="157"/>
        <item x="156"/>
        <item x="363"/>
        <item x="346"/>
        <item x="210"/>
        <item x="222"/>
        <item x="28"/>
        <item x="48"/>
        <item x="160"/>
        <item x="407"/>
        <item x="455"/>
        <item x="53"/>
        <item x="182"/>
        <item x="448"/>
        <item x="533"/>
        <item x="251"/>
        <item x="129"/>
        <item x="347"/>
        <item x="329"/>
        <item x="504"/>
        <item x="456"/>
        <item x="354"/>
        <item x="9"/>
        <item x="233"/>
        <item x="265"/>
        <item x="518"/>
        <item x="437"/>
        <item x="146"/>
        <item x="122"/>
        <item x="235"/>
        <item x="395"/>
        <item x="228"/>
        <item x="570"/>
        <item x="376"/>
        <item x="179"/>
        <item x="569"/>
        <item x="165"/>
        <item x="162"/>
        <item x="292"/>
        <item x="196"/>
        <item x="325"/>
        <item x="428"/>
        <item x="294"/>
        <item x="116"/>
        <item x="547"/>
        <item x="482"/>
        <item x="199"/>
        <item x="24"/>
        <item x="114"/>
        <item x="388"/>
        <item x="526"/>
        <item x="436"/>
        <item x="331"/>
        <item x="558"/>
        <item x="186"/>
        <item x="422"/>
        <item x="259"/>
        <item x="133"/>
        <item x="557"/>
        <item x="486"/>
        <item x="93"/>
        <item x="539"/>
        <item x="213"/>
        <item x="264"/>
        <item x="247"/>
        <item x="384"/>
        <item x="345"/>
        <item x="348"/>
        <item x="545"/>
        <item x="115"/>
        <item x="188"/>
        <item x="362"/>
        <item x="280"/>
        <item x="323"/>
        <item x="453"/>
        <item x="431"/>
        <item x="452"/>
        <item x="200"/>
        <item x="512"/>
        <item x="98"/>
        <item x="405"/>
        <item x="361"/>
        <item x="553"/>
        <item x="555"/>
        <item x="399"/>
        <item x="78"/>
        <item x="554"/>
        <item x="394"/>
        <item x="184"/>
        <item x="527"/>
        <item x="226"/>
        <item x="429"/>
        <item x="314"/>
        <item x="207"/>
        <item x="55"/>
        <item x="59"/>
        <item x="441"/>
        <item x="406"/>
        <item x="540"/>
        <item x="49"/>
        <item x="321"/>
        <item x="543"/>
        <item x="140"/>
        <item x="84"/>
        <item x="546"/>
        <item x="513"/>
        <item x="324"/>
        <item x="496"/>
        <item x="364"/>
        <item x="88"/>
        <item x="167"/>
        <item x="517"/>
        <item x="481"/>
        <item x="467"/>
        <item x="204"/>
        <item x="413"/>
        <item x="224"/>
        <item x="426"/>
        <item x="563"/>
        <item x="223"/>
        <item x="159"/>
        <item x="11"/>
        <item x="25"/>
        <item x="249"/>
        <item x="170"/>
        <item x="516"/>
        <item x="340"/>
        <item x="171"/>
        <item x="300"/>
        <item x="404"/>
        <item x="216"/>
        <item x="66"/>
        <item x="326"/>
        <item x="81"/>
        <item x="279"/>
        <item x="257"/>
        <item x="65"/>
        <item x="534"/>
        <item x="130"/>
        <item x="308"/>
        <item x="246"/>
        <item x="169"/>
        <item x="528"/>
        <item x="62"/>
        <item x="153"/>
        <item x="299"/>
        <item x="64"/>
        <item x="525"/>
        <item x="231"/>
        <item x="262"/>
        <item x="44"/>
        <item x="445"/>
        <item x="469"/>
        <item x="432"/>
        <item x="34"/>
        <item x="51"/>
        <item x="385"/>
        <item x="152"/>
        <item x="283"/>
        <item x="254"/>
        <item x="39"/>
        <item x="166"/>
        <item x="335"/>
        <item x="63"/>
        <item x="477"/>
        <item x="497"/>
        <item x="359"/>
        <item x="82"/>
        <item x="302"/>
        <item x="409"/>
        <item x="43"/>
        <item x="514"/>
        <item x="290"/>
        <item x="377"/>
        <item x="47"/>
        <item x="490"/>
        <item x="260"/>
        <item x="57"/>
        <item x="40"/>
        <item x="386"/>
        <item x="551"/>
        <item x="476"/>
        <item x="149"/>
        <item x="19"/>
        <item x="268"/>
        <item x="131"/>
        <item x="155"/>
        <item x="328"/>
        <item x="23"/>
        <item x="478"/>
        <item x="424"/>
        <item x="132"/>
        <item x="295"/>
        <item x="42"/>
        <item x="301"/>
        <item x="163"/>
        <item x="243"/>
        <item x="571"/>
        <item x="18"/>
        <item x="111"/>
        <item x="544"/>
        <item x="0"/>
        <item x="304"/>
        <item x="108"/>
        <item x="190"/>
        <item x="178"/>
        <item x="358"/>
        <item x="10"/>
        <item x="85"/>
        <item x="261"/>
        <item x="500"/>
        <item x="357"/>
        <item x="52"/>
        <item x="561"/>
        <item x="37"/>
        <item x="342"/>
        <item x="269"/>
        <item x="143"/>
        <item x="230"/>
        <item x="274"/>
        <item x="107"/>
        <item x="161"/>
        <item x="203"/>
        <item x="225"/>
        <item x="382"/>
        <item x="273"/>
        <item x="454"/>
        <item x="507"/>
        <item x="511"/>
        <item x="493"/>
        <item x="103"/>
        <item x="562"/>
        <item x="173"/>
        <item x="154"/>
        <item x="462"/>
        <item x="266"/>
        <item x="234"/>
        <item x="459"/>
        <item x="322"/>
        <item x="214"/>
        <item x="483"/>
        <item x="372"/>
        <item x="236"/>
        <item x="535"/>
        <item x="416"/>
        <item x="423"/>
        <item x="17"/>
        <item x="180"/>
        <item x="313"/>
        <item x="136"/>
        <item x="118"/>
        <item x="219"/>
        <item x="343"/>
        <item x="195"/>
        <item x="192"/>
        <item x="336"/>
        <item x="69"/>
        <item x="427"/>
        <item x="38"/>
        <item x="31"/>
        <item x="473"/>
        <item x="174"/>
        <item x="5"/>
        <item x="548"/>
        <item x="193"/>
        <item x="208"/>
        <item x="475"/>
        <item x="559"/>
        <item x="121"/>
        <item x="221"/>
        <item x="412"/>
        <item x="375"/>
        <item x="402"/>
        <item x="128"/>
        <item x="350"/>
        <item x="287"/>
        <item x="418"/>
        <item x="56"/>
        <item x="142"/>
        <item x="524"/>
        <item x="46"/>
        <item x="417"/>
        <item x="218"/>
        <item x="538"/>
        <item x="276"/>
        <item x="71"/>
        <item x="16"/>
        <item x="508"/>
        <item x="487"/>
        <item x="123"/>
        <item x="33"/>
        <item x="392"/>
        <item x="520"/>
        <item x="356"/>
        <item x="315"/>
        <item x="349"/>
        <item x="488"/>
        <item x="440"/>
        <item x="151"/>
        <item x="158"/>
        <item x="379"/>
        <item x="421"/>
        <item x="73"/>
        <item x="172"/>
        <item x="83"/>
        <item x="492"/>
        <item x="505"/>
        <item x="105"/>
        <item x="446"/>
        <item x="360"/>
        <item x="148"/>
        <item x="355"/>
        <item x="338"/>
        <item x="463"/>
        <item x="370"/>
        <item x="4"/>
        <item x="100"/>
        <item x="8"/>
        <item x="564"/>
        <item x="327"/>
        <item x="303"/>
        <item x="352"/>
        <item x="101"/>
        <item x="519"/>
        <item x="439"/>
        <item x="491"/>
        <item x="401"/>
        <item x="77"/>
        <item x="20"/>
        <item x="181"/>
        <item x="70"/>
        <item x="523"/>
        <item x="503"/>
        <item x="403"/>
        <item x="6"/>
        <item x="307"/>
        <item x="14"/>
        <item x="541"/>
        <item x="332"/>
        <item x="79"/>
        <item x="373"/>
        <item x="95"/>
        <item x="425"/>
        <item x="367"/>
        <item x="54"/>
        <item x="460"/>
        <item x="285"/>
        <item x="253"/>
        <item x="21"/>
        <item x="542"/>
        <item x="145"/>
        <item x="144"/>
        <item x="240"/>
        <item x="45"/>
        <item x="306"/>
        <item x="381"/>
        <item x="444"/>
        <item x="135"/>
        <item x="502"/>
        <item x="72"/>
        <item x="36"/>
        <item x="393"/>
        <item x="177"/>
        <item x="400"/>
        <item x="297"/>
        <item x="556"/>
        <item x="408"/>
        <item x="134"/>
        <item x="175"/>
        <item x="237"/>
        <item x="341"/>
        <item x="353"/>
        <item x="238"/>
        <item x="282"/>
        <item x="468"/>
        <item x="227"/>
        <item x="368"/>
        <item x="263"/>
        <item x="12"/>
        <item x="447"/>
        <item x="250"/>
        <item x="270"/>
        <item x="472"/>
        <item x="442"/>
        <item x="220"/>
        <item x="271"/>
        <item x="390"/>
        <item x="420"/>
        <item x="1"/>
        <item x="97"/>
        <item x="396"/>
        <item x="531"/>
        <item x="410"/>
        <item x="485"/>
        <item x="464"/>
        <item x="248"/>
        <item x="318"/>
        <item x="104"/>
        <item x="112"/>
        <item x="495"/>
        <item x="87"/>
        <item x="484"/>
        <item x="319"/>
        <item x="530"/>
        <item x="522"/>
        <item x="309"/>
        <item x="120"/>
        <item x="258"/>
        <item x="92"/>
        <item x="278"/>
        <item x="479"/>
        <item x="351"/>
        <item x="102"/>
        <item x="147"/>
        <item x="99"/>
        <item x="506"/>
        <item x="549"/>
        <item x="164"/>
        <item x="124"/>
        <item x="509"/>
        <item x="471"/>
        <item x="474"/>
        <item x="387"/>
        <item x="117"/>
        <item x="7"/>
        <item x="281"/>
        <item x="244"/>
        <item x="113"/>
        <item x="398"/>
        <item x="339"/>
        <item x="185"/>
        <item x="139"/>
        <item x="461"/>
        <item x="433"/>
        <item x="284"/>
        <item x="293"/>
        <item x="189"/>
        <item x="209"/>
        <item x="58"/>
        <item x="451"/>
        <item x="465"/>
        <item x="35"/>
        <item x="277"/>
        <item x="391"/>
        <item x="211"/>
        <item x="137"/>
        <item x="344"/>
        <item x="150"/>
        <item x="194"/>
        <item x="450"/>
        <item x="183"/>
        <item x="366"/>
        <item x="438"/>
        <item x="229"/>
        <item x="176"/>
        <item x="489"/>
        <item x="275"/>
        <item x="41"/>
        <item x="374"/>
        <item x="272"/>
        <item x="298"/>
        <item x="572"/>
        <item x="29"/>
        <item x="22"/>
        <item x="380"/>
        <item x="30"/>
        <item x="90"/>
        <item x="419"/>
        <item x="566"/>
        <item x="383"/>
        <item x="91"/>
        <item x="168"/>
        <item x="3"/>
        <item x="312"/>
        <item x="217"/>
        <item x="311"/>
        <item x="333"/>
        <item x="537"/>
        <item x="241"/>
        <item x="320"/>
        <item x="458"/>
        <item x="334"/>
        <item x="498"/>
        <item x="2"/>
        <item x="288"/>
        <item x="435"/>
        <item x="67"/>
        <item x="125"/>
        <item x="255"/>
        <item x="291"/>
        <item x="242"/>
        <item x="567"/>
        <item x="415"/>
        <item x="443"/>
        <item x="317"/>
        <item x="138"/>
        <item x="305"/>
        <item x="449"/>
        <item x="550"/>
        <item x="232"/>
        <item x="466"/>
        <item x="365"/>
        <item x="127"/>
        <item x="568"/>
        <item x="76"/>
        <item x="13"/>
        <item x="532"/>
        <item x="141"/>
        <item x="252"/>
        <item x="434"/>
        <item x="310"/>
        <item x="560"/>
        <item x="106"/>
        <item x="286"/>
        <item x="296"/>
        <item x="536"/>
        <item x="15"/>
        <item x="397"/>
        <item x="501"/>
        <item x="389"/>
        <item x="80"/>
        <item x="32"/>
        <item t="default"/>
      </items>
    </pivotField>
    <pivotField showAll="0" sortType="descending">
      <items count="13">
        <item x="7"/>
        <item h="1" x="8"/>
        <item h="1" x="5"/>
        <item h="1" x="2"/>
        <item h="1" x="9"/>
        <item h="1" x="3"/>
        <item h="1" x="0"/>
        <item h="1" x="11"/>
        <item h="1" x="1"/>
        <item h="1" x="10"/>
        <item h="1" x="6"/>
        <item h="1" x="4"/>
        <item t="default"/>
      </items>
      <autoSortScope>
        <pivotArea dataOnly="0" outline="0" fieldPosition="0">
          <references count="1">
            <reference field="4294967294" count="1" selected="0">
              <x v="0"/>
            </reference>
          </references>
        </pivotArea>
      </autoSortScope>
    </pivotField>
    <pivotField showAll="0"/>
    <pivotField showAll="0">
      <items count="5">
        <item x="1"/>
        <item h="1" x="0"/>
        <item h="1" x="3"/>
        <item h="1" x="2"/>
        <item t="default"/>
      </items>
    </pivotField>
    <pivotField showAll="0"/>
    <pivotField showAll="0"/>
    <pivotField showAll="0"/>
    <pivotField showAll="0">
      <items count="7">
        <item x="4"/>
        <item x="2"/>
        <item x="1"/>
        <item x="0"/>
        <item x="5"/>
        <item x="3"/>
        <item t="default"/>
      </items>
    </pivotField>
    <pivotField showAll="0"/>
    <pivotField showAll="0"/>
    <pivotField showAll="0"/>
    <pivotField showAll="0"/>
    <pivotField showAll="0"/>
    <pivotField showAll="0"/>
    <pivotField showAll="0">
      <items count="5">
        <item h="1" x="1"/>
        <item x="2"/>
        <item h="1" x="0"/>
        <item h="1" x="3"/>
        <item t="default"/>
      </items>
    </pivotField>
    <pivotField axis="axisRow" showAll="0">
      <items count="4">
        <item x="1"/>
        <item x="2"/>
        <item h="1" x="0"/>
        <item t="default"/>
      </items>
    </pivotField>
    <pivotField showAll="0" defaultSubtotal="0"/>
    <pivotField showAll="0" defaultSubtotal="0"/>
  </pivotFields>
  <rowFields count="1">
    <field x="17"/>
  </rowFields>
  <rowItems count="3">
    <i>
      <x/>
    </i>
    <i>
      <x v="1"/>
    </i>
    <i t="grand">
      <x/>
    </i>
  </rowItems>
  <colItems count="1">
    <i/>
  </colItems>
  <dataFields count="1">
    <dataField name="Count of FlightNumber" fld="2" subtotal="count" baseField="9" baseItem="0"/>
  </dataFields>
  <formats count="3">
    <format dxfId="185">
      <pivotArea outline="0" collapsedLevelsAreSubtotals="1" fieldPosition="0"/>
    </format>
    <format dxfId="186">
      <pivotArea outline="0" collapsedLevelsAreSubtotals="1" fieldPosition="0">
        <references count="1">
          <reference field="4294967294" count="1" selected="0">
            <x v="0"/>
          </reference>
        </references>
      </pivotArea>
    </format>
    <format dxfId="187">
      <pivotArea outline="0" fieldPosition="0">
        <references count="1">
          <reference field="4294967294" count="1">
            <x v="0"/>
          </reference>
        </references>
      </pivotArea>
    </format>
  </formats>
  <chartFormats count="9">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7" count="1" selected="0">
            <x v="0"/>
          </reference>
        </references>
      </pivotArea>
    </chartFormat>
    <chartFormat chart="3" format="3">
      <pivotArea type="data" outline="0" fieldPosition="0">
        <references count="2">
          <reference field="4294967294" count="1" selected="0">
            <x v="0"/>
          </reference>
          <reference field="17"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7" count="1" selected="0">
            <x v="0"/>
          </reference>
        </references>
      </pivotArea>
    </chartFormat>
    <chartFormat chart="6" format="9">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3396A7-F8F5-4A03-9AB9-C834D0F90181}" name="PivotTable10"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72:C78" firstHeaderRow="1" firstDataRow="1" firstDataCol="1"/>
  <pivotFields count="20">
    <pivotField showAll="0"/>
    <pivotField numFmtId="22" showAll="0"/>
    <pivotField showAll="0">
      <items count="574">
        <item x="330"/>
        <item x="369"/>
        <item x="529"/>
        <item x="68"/>
        <item x="256"/>
        <item x="215"/>
        <item x="191"/>
        <item x="239"/>
        <item x="371"/>
        <item x="96"/>
        <item x="126"/>
        <item x="27"/>
        <item x="197"/>
        <item x="109"/>
        <item x="202"/>
        <item x="470"/>
        <item x="89"/>
        <item x="187"/>
        <item x="552"/>
        <item x="198"/>
        <item x="414"/>
        <item x="565"/>
        <item x="521"/>
        <item x="515"/>
        <item x="510"/>
        <item x="289"/>
        <item x="430"/>
        <item x="316"/>
        <item x="60"/>
        <item x="378"/>
        <item x="75"/>
        <item x="61"/>
        <item x="411"/>
        <item x="212"/>
        <item x="86"/>
        <item x="245"/>
        <item x="94"/>
        <item x="337"/>
        <item x="205"/>
        <item x="26"/>
        <item x="457"/>
        <item x="480"/>
        <item x="206"/>
        <item x="201"/>
        <item x="50"/>
        <item x="119"/>
        <item x="110"/>
        <item x="499"/>
        <item x="494"/>
        <item x="267"/>
        <item x="74"/>
        <item x="157"/>
        <item x="156"/>
        <item x="363"/>
        <item x="346"/>
        <item x="210"/>
        <item x="222"/>
        <item x="28"/>
        <item x="48"/>
        <item x="160"/>
        <item x="407"/>
        <item x="455"/>
        <item x="53"/>
        <item x="182"/>
        <item x="448"/>
        <item x="533"/>
        <item x="251"/>
        <item x="129"/>
        <item x="347"/>
        <item x="329"/>
        <item x="504"/>
        <item x="456"/>
        <item x="354"/>
        <item x="9"/>
        <item x="233"/>
        <item x="265"/>
        <item x="518"/>
        <item x="437"/>
        <item x="146"/>
        <item x="122"/>
        <item x="235"/>
        <item x="395"/>
        <item x="228"/>
        <item x="570"/>
        <item x="376"/>
        <item x="179"/>
        <item x="569"/>
        <item x="165"/>
        <item x="162"/>
        <item x="292"/>
        <item x="196"/>
        <item x="325"/>
        <item x="428"/>
        <item x="294"/>
        <item x="116"/>
        <item x="547"/>
        <item x="482"/>
        <item x="199"/>
        <item x="24"/>
        <item x="114"/>
        <item x="388"/>
        <item x="526"/>
        <item x="436"/>
        <item x="331"/>
        <item x="558"/>
        <item x="186"/>
        <item x="422"/>
        <item x="259"/>
        <item x="133"/>
        <item x="557"/>
        <item x="486"/>
        <item x="93"/>
        <item x="539"/>
        <item x="213"/>
        <item x="264"/>
        <item x="247"/>
        <item x="384"/>
        <item x="345"/>
        <item x="348"/>
        <item x="545"/>
        <item x="115"/>
        <item x="188"/>
        <item x="362"/>
        <item x="280"/>
        <item x="323"/>
        <item x="453"/>
        <item x="431"/>
        <item x="452"/>
        <item x="200"/>
        <item x="512"/>
        <item x="98"/>
        <item x="405"/>
        <item x="361"/>
        <item x="553"/>
        <item x="555"/>
        <item x="399"/>
        <item x="78"/>
        <item x="554"/>
        <item x="394"/>
        <item x="184"/>
        <item x="527"/>
        <item x="226"/>
        <item x="429"/>
        <item x="314"/>
        <item x="207"/>
        <item x="55"/>
        <item x="59"/>
        <item x="441"/>
        <item x="406"/>
        <item x="540"/>
        <item x="49"/>
        <item x="321"/>
        <item x="543"/>
        <item x="140"/>
        <item x="84"/>
        <item x="546"/>
        <item x="513"/>
        <item x="324"/>
        <item x="496"/>
        <item x="364"/>
        <item x="88"/>
        <item x="167"/>
        <item x="517"/>
        <item x="481"/>
        <item x="467"/>
        <item x="204"/>
        <item x="413"/>
        <item x="224"/>
        <item x="426"/>
        <item x="563"/>
        <item x="223"/>
        <item x="159"/>
        <item x="11"/>
        <item x="25"/>
        <item x="249"/>
        <item x="170"/>
        <item x="516"/>
        <item x="340"/>
        <item x="171"/>
        <item x="300"/>
        <item x="404"/>
        <item x="216"/>
        <item x="66"/>
        <item x="326"/>
        <item x="81"/>
        <item x="279"/>
        <item x="257"/>
        <item x="65"/>
        <item x="534"/>
        <item x="130"/>
        <item x="308"/>
        <item x="246"/>
        <item x="169"/>
        <item x="528"/>
        <item x="62"/>
        <item x="153"/>
        <item x="299"/>
        <item x="64"/>
        <item x="525"/>
        <item x="231"/>
        <item x="262"/>
        <item x="44"/>
        <item x="445"/>
        <item x="469"/>
        <item x="432"/>
        <item x="34"/>
        <item x="51"/>
        <item x="385"/>
        <item x="152"/>
        <item x="283"/>
        <item x="254"/>
        <item x="39"/>
        <item x="166"/>
        <item x="335"/>
        <item x="63"/>
        <item x="477"/>
        <item x="497"/>
        <item x="359"/>
        <item x="82"/>
        <item x="302"/>
        <item x="409"/>
        <item x="43"/>
        <item x="514"/>
        <item x="290"/>
        <item x="377"/>
        <item x="47"/>
        <item x="490"/>
        <item x="260"/>
        <item x="57"/>
        <item x="40"/>
        <item x="386"/>
        <item x="551"/>
        <item x="476"/>
        <item x="149"/>
        <item x="19"/>
        <item x="268"/>
        <item x="131"/>
        <item x="155"/>
        <item x="328"/>
        <item x="23"/>
        <item x="478"/>
        <item x="424"/>
        <item x="132"/>
        <item x="295"/>
        <item x="42"/>
        <item x="301"/>
        <item x="163"/>
        <item x="243"/>
        <item x="571"/>
        <item x="18"/>
        <item x="111"/>
        <item x="544"/>
        <item x="0"/>
        <item x="304"/>
        <item x="108"/>
        <item x="190"/>
        <item x="178"/>
        <item x="358"/>
        <item x="10"/>
        <item x="85"/>
        <item x="261"/>
        <item x="500"/>
        <item x="357"/>
        <item x="52"/>
        <item x="561"/>
        <item x="37"/>
        <item x="342"/>
        <item x="269"/>
        <item x="143"/>
        <item x="230"/>
        <item x="274"/>
        <item x="107"/>
        <item x="161"/>
        <item x="203"/>
        <item x="225"/>
        <item x="382"/>
        <item x="273"/>
        <item x="454"/>
        <item x="507"/>
        <item x="511"/>
        <item x="493"/>
        <item x="103"/>
        <item x="562"/>
        <item x="173"/>
        <item x="154"/>
        <item x="462"/>
        <item x="266"/>
        <item x="234"/>
        <item x="459"/>
        <item x="322"/>
        <item x="214"/>
        <item x="483"/>
        <item x="372"/>
        <item x="236"/>
        <item x="535"/>
        <item x="416"/>
        <item x="423"/>
        <item x="17"/>
        <item x="180"/>
        <item x="313"/>
        <item x="136"/>
        <item x="118"/>
        <item x="219"/>
        <item x="343"/>
        <item x="195"/>
        <item x="192"/>
        <item x="336"/>
        <item x="69"/>
        <item x="427"/>
        <item x="38"/>
        <item x="31"/>
        <item x="473"/>
        <item x="174"/>
        <item x="5"/>
        <item x="548"/>
        <item x="193"/>
        <item x="208"/>
        <item x="475"/>
        <item x="559"/>
        <item x="121"/>
        <item x="221"/>
        <item x="412"/>
        <item x="375"/>
        <item x="402"/>
        <item x="128"/>
        <item x="350"/>
        <item x="287"/>
        <item x="418"/>
        <item x="56"/>
        <item x="142"/>
        <item x="524"/>
        <item x="46"/>
        <item x="417"/>
        <item x="218"/>
        <item x="538"/>
        <item x="276"/>
        <item x="71"/>
        <item x="16"/>
        <item x="508"/>
        <item x="487"/>
        <item x="123"/>
        <item x="33"/>
        <item x="392"/>
        <item x="520"/>
        <item x="356"/>
        <item x="315"/>
        <item x="349"/>
        <item x="488"/>
        <item x="440"/>
        <item x="151"/>
        <item x="158"/>
        <item x="379"/>
        <item x="421"/>
        <item x="73"/>
        <item x="172"/>
        <item x="83"/>
        <item x="492"/>
        <item x="505"/>
        <item x="105"/>
        <item x="446"/>
        <item x="360"/>
        <item x="148"/>
        <item x="355"/>
        <item x="338"/>
        <item x="463"/>
        <item x="370"/>
        <item x="4"/>
        <item x="100"/>
        <item x="8"/>
        <item x="564"/>
        <item x="327"/>
        <item x="303"/>
        <item x="352"/>
        <item x="101"/>
        <item x="519"/>
        <item x="439"/>
        <item x="491"/>
        <item x="401"/>
        <item x="77"/>
        <item x="20"/>
        <item x="181"/>
        <item x="70"/>
        <item x="523"/>
        <item x="503"/>
        <item x="403"/>
        <item x="6"/>
        <item x="307"/>
        <item x="14"/>
        <item x="541"/>
        <item x="332"/>
        <item x="79"/>
        <item x="373"/>
        <item x="95"/>
        <item x="425"/>
        <item x="367"/>
        <item x="54"/>
        <item x="460"/>
        <item x="285"/>
        <item x="253"/>
        <item x="21"/>
        <item x="542"/>
        <item x="145"/>
        <item x="144"/>
        <item x="240"/>
        <item x="45"/>
        <item x="306"/>
        <item x="381"/>
        <item x="444"/>
        <item x="135"/>
        <item x="502"/>
        <item x="72"/>
        <item x="36"/>
        <item x="393"/>
        <item x="177"/>
        <item x="400"/>
        <item x="297"/>
        <item x="556"/>
        <item x="408"/>
        <item x="134"/>
        <item x="175"/>
        <item x="237"/>
        <item x="341"/>
        <item x="353"/>
        <item x="238"/>
        <item x="282"/>
        <item x="468"/>
        <item x="227"/>
        <item x="368"/>
        <item x="263"/>
        <item x="12"/>
        <item x="447"/>
        <item x="250"/>
        <item x="270"/>
        <item x="472"/>
        <item x="442"/>
        <item x="220"/>
        <item x="271"/>
        <item x="390"/>
        <item x="420"/>
        <item x="1"/>
        <item x="97"/>
        <item x="396"/>
        <item x="531"/>
        <item x="410"/>
        <item x="485"/>
        <item x="464"/>
        <item x="248"/>
        <item x="318"/>
        <item x="104"/>
        <item x="112"/>
        <item x="495"/>
        <item x="87"/>
        <item x="484"/>
        <item x="319"/>
        <item x="530"/>
        <item x="522"/>
        <item x="309"/>
        <item x="120"/>
        <item x="258"/>
        <item x="92"/>
        <item x="278"/>
        <item x="479"/>
        <item x="351"/>
        <item x="102"/>
        <item x="147"/>
        <item x="99"/>
        <item x="506"/>
        <item x="549"/>
        <item x="164"/>
        <item x="124"/>
        <item x="509"/>
        <item x="471"/>
        <item x="474"/>
        <item x="387"/>
        <item x="117"/>
        <item x="7"/>
        <item x="281"/>
        <item x="244"/>
        <item x="113"/>
        <item x="398"/>
        <item x="339"/>
        <item x="185"/>
        <item x="139"/>
        <item x="461"/>
        <item x="433"/>
        <item x="284"/>
        <item x="293"/>
        <item x="189"/>
        <item x="209"/>
        <item x="58"/>
        <item x="451"/>
        <item x="465"/>
        <item x="35"/>
        <item x="277"/>
        <item x="391"/>
        <item x="211"/>
        <item x="137"/>
        <item x="344"/>
        <item x="150"/>
        <item x="194"/>
        <item x="450"/>
        <item x="183"/>
        <item x="366"/>
        <item x="438"/>
        <item x="229"/>
        <item x="176"/>
        <item x="489"/>
        <item x="275"/>
        <item x="41"/>
        <item x="374"/>
        <item x="272"/>
        <item x="298"/>
        <item x="572"/>
        <item x="29"/>
        <item x="22"/>
        <item x="380"/>
        <item x="30"/>
        <item x="90"/>
        <item x="419"/>
        <item x="566"/>
        <item x="383"/>
        <item x="91"/>
        <item x="168"/>
        <item x="3"/>
        <item x="312"/>
        <item x="217"/>
        <item x="311"/>
        <item x="333"/>
        <item x="537"/>
        <item x="241"/>
        <item x="320"/>
        <item x="458"/>
        <item x="334"/>
        <item x="498"/>
        <item x="2"/>
        <item x="288"/>
        <item x="435"/>
        <item x="67"/>
        <item x="125"/>
        <item x="255"/>
        <item x="291"/>
        <item x="242"/>
        <item x="567"/>
        <item x="415"/>
        <item x="443"/>
        <item x="317"/>
        <item x="138"/>
        <item x="305"/>
        <item x="449"/>
        <item x="550"/>
        <item x="232"/>
        <item x="466"/>
        <item x="365"/>
        <item x="127"/>
        <item x="568"/>
        <item x="76"/>
        <item x="13"/>
        <item x="532"/>
        <item x="141"/>
        <item x="252"/>
        <item x="434"/>
        <item x="310"/>
        <item x="560"/>
        <item x="106"/>
        <item x="286"/>
        <item x="296"/>
        <item x="536"/>
        <item x="15"/>
        <item x="397"/>
        <item x="501"/>
        <item x="389"/>
        <item x="80"/>
        <item x="32"/>
        <item t="default"/>
      </items>
    </pivotField>
    <pivotField showAll="0">
      <items count="13">
        <item x="7"/>
        <item h="1" x="8"/>
        <item h="1" x="5"/>
        <item h="1" x="2"/>
        <item h="1" x="9"/>
        <item h="1" x="3"/>
        <item h="1" x="0"/>
        <item h="1" x="11"/>
        <item h="1" x="1"/>
        <item h="1" x="10"/>
        <item h="1" x="6"/>
        <item h="1" x="4"/>
        <item t="default"/>
      </items>
    </pivotField>
    <pivotField showAll="0"/>
    <pivotField showAll="0">
      <items count="5">
        <item x="1"/>
        <item h="1" x="0"/>
        <item h="1" x="3"/>
        <item h="1" x="2"/>
        <item t="default"/>
      </items>
    </pivotField>
    <pivotField showAll="0"/>
    <pivotField showAll="0"/>
    <pivotField dataField="1" showAll="0"/>
    <pivotField axis="axisRow" showAll="0" sortType="descending">
      <items count="7">
        <item x="4"/>
        <item x="2"/>
        <item x="1"/>
        <item x="0"/>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h="1" x="1"/>
        <item x="2"/>
        <item h="1" x="0"/>
        <item h="1" x="3"/>
        <item t="default"/>
      </items>
    </pivotField>
    <pivotField showAll="0"/>
    <pivotField showAll="0" defaultSubtotal="0"/>
    <pivotField showAll="0" defaultSubtotal="0"/>
  </pivotFields>
  <rowFields count="1">
    <field x="9"/>
  </rowFields>
  <rowItems count="6">
    <i>
      <x v="2"/>
    </i>
    <i>
      <x v="5"/>
    </i>
    <i>
      <x v="4"/>
    </i>
    <i>
      <x v="1"/>
    </i>
    <i>
      <x v="3"/>
    </i>
    <i t="grand">
      <x/>
    </i>
  </rowItems>
  <colItems count="1">
    <i/>
  </colItems>
  <dataFields count="1">
    <dataField name="Sum of ArrivalDelayMin" fld="8" showDataAs="percentOfTotal" baseField="9" baseItem="0" numFmtId="10"/>
  </dataFields>
  <formats count="3">
    <format dxfId="188">
      <pivotArea outline="0" collapsedLevelsAreSubtotals="1" fieldPosition="0"/>
    </format>
    <format dxfId="189">
      <pivotArea collapsedLevelsAreSubtotals="1" fieldPosition="0">
        <references count="2">
          <reference field="4294967294" count="1" selected="0">
            <x v="0"/>
          </reference>
          <reference field="9" count="0"/>
        </references>
      </pivotArea>
    </format>
    <format dxfId="190">
      <pivotArea outline="0" fieldPosition="0">
        <references count="1">
          <reference field="4294967294" count="1">
            <x v="0"/>
          </reference>
        </references>
      </pivotArea>
    </format>
  </formats>
  <chartFormats count="2">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118F98-D617-41A5-A424-80CBE1C24AD0}" name="PivotTable8"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50:D52" firstHeaderRow="1" firstDataRow="1" firstDataCol="1"/>
  <pivotFields count="20">
    <pivotField showAll="0"/>
    <pivotField numFmtId="22" showAll="0"/>
    <pivotField showAll="0">
      <items count="574">
        <item x="330"/>
        <item x="369"/>
        <item x="529"/>
        <item x="68"/>
        <item x="256"/>
        <item x="215"/>
        <item x="191"/>
        <item x="239"/>
        <item x="371"/>
        <item x="96"/>
        <item x="126"/>
        <item x="27"/>
        <item x="197"/>
        <item x="109"/>
        <item x="202"/>
        <item x="470"/>
        <item x="89"/>
        <item x="187"/>
        <item x="552"/>
        <item x="198"/>
        <item x="414"/>
        <item x="565"/>
        <item x="521"/>
        <item x="515"/>
        <item x="510"/>
        <item x="289"/>
        <item x="430"/>
        <item x="316"/>
        <item x="60"/>
        <item x="378"/>
        <item x="75"/>
        <item x="61"/>
        <item x="411"/>
        <item x="212"/>
        <item x="86"/>
        <item x="245"/>
        <item x="94"/>
        <item x="337"/>
        <item x="205"/>
        <item x="26"/>
        <item x="457"/>
        <item x="480"/>
        <item x="206"/>
        <item x="201"/>
        <item x="50"/>
        <item x="119"/>
        <item x="110"/>
        <item x="499"/>
        <item x="494"/>
        <item x="267"/>
        <item x="74"/>
        <item x="157"/>
        <item x="156"/>
        <item x="363"/>
        <item x="346"/>
        <item x="210"/>
        <item x="222"/>
        <item x="28"/>
        <item x="48"/>
        <item x="160"/>
        <item x="407"/>
        <item x="455"/>
        <item x="53"/>
        <item x="182"/>
        <item x="448"/>
        <item x="533"/>
        <item x="251"/>
        <item x="129"/>
        <item x="347"/>
        <item x="329"/>
        <item x="504"/>
        <item x="456"/>
        <item x="354"/>
        <item x="9"/>
        <item x="233"/>
        <item x="265"/>
        <item x="518"/>
        <item x="437"/>
        <item x="146"/>
        <item x="122"/>
        <item x="235"/>
        <item x="395"/>
        <item x="228"/>
        <item x="570"/>
        <item x="376"/>
        <item x="179"/>
        <item x="569"/>
        <item x="165"/>
        <item x="162"/>
        <item x="292"/>
        <item x="196"/>
        <item x="325"/>
        <item x="428"/>
        <item x="294"/>
        <item x="116"/>
        <item x="547"/>
        <item x="482"/>
        <item x="199"/>
        <item x="24"/>
        <item x="114"/>
        <item x="388"/>
        <item x="526"/>
        <item x="436"/>
        <item x="331"/>
        <item x="558"/>
        <item x="186"/>
        <item x="422"/>
        <item x="259"/>
        <item x="133"/>
        <item x="557"/>
        <item x="486"/>
        <item x="93"/>
        <item x="539"/>
        <item x="213"/>
        <item x="264"/>
        <item x="247"/>
        <item x="384"/>
        <item x="345"/>
        <item x="348"/>
        <item x="545"/>
        <item x="115"/>
        <item x="188"/>
        <item x="362"/>
        <item x="280"/>
        <item x="323"/>
        <item x="453"/>
        <item x="431"/>
        <item x="452"/>
        <item x="200"/>
        <item x="512"/>
        <item x="98"/>
        <item x="405"/>
        <item x="361"/>
        <item x="553"/>
        <item x="555"/>
        <item x="399"/>
        <item x="78"/>
        <item x="554"/>
        <item x="394"/>
        <item x="184"/>
        <item x="527"/>
        <item x="226"/>
        <item x="429"/>
        <item x="314"/>
        <item x="207"/>
        <item x="55"/>
        <item x="59"/>
        <item x="441"/>
        <item x="406"/>
        <item x="540"/>
        <item x="49"/>
        <item x="321"/>
        <item x="543"/>
        <item x="140"/>
        <item x="84"/>
        <item x="546"/>
        <item x="513"/>
        <item x="324"/>
        <item x="496"/>
        <item x="364"/>
        <item x="88"/>
        <item x="167"/>
        <item x="517"/>
        <item x="481"/>
        <item x="467"/>
        <item x="204"/>
        <item x="413"/>
        <item x="224"/>
        <item x="426"/>
        <item x="563"/>
        <item x="223"/>
        <item x="159"/>
        <item x="11"/>
        <item x="25"/>
        <item x="249"/>
        <item x="170"/>
        <item x="516"/>
        <item x="340"/>
        <item x="171"/>
        <item x="300"/>
        <item x="404"/>
        <item x="216"/>
        <item x="66"/>
        <item x="326"/>
        <item x="81"/>
        <item x="279"/>
        <item x="257"/>
        <item x="65"/>
        <item x="534"/>
        <item x="130"/>
        <item x="308"/>
        <item x="246"/>
        <item x="169"/>
        <item x="528"/>
        <item x="62"/>
        <item x="153"/>
        <item x="299"/>
        <item x="64"/>
        <item x="525"/>
        <item x="231"/>
        <item x="262"/>
        <item x="44"/>
        <item x="445"/>
        <item x="469"/>
        <item x="432"/>
        <item x="34"/>
        <item x="51"/>
        <item x="385"/>
        <item x="152"/>
        <item x="283"/>
        <item x="254"/>
        <item x="39"/>
        <item x="166"/>
        <item x="335"/>
        <item x="63"/>
        <item x="477"/>
        <item x="497"/>
        <item x="359"/>
        <item x="82"/>
        <item x="302"/>
        <item x="409"/>
        <item x="43"/>
        <item x="514"/>
        <item x="290"/>
        <item x="377"/>
        <item x="47"/>
        <item x="490"/>
        <item x="260"/>
        <item x="57"/>
        <item x="40"/>
        <item x="386"/>
        <item x="551"/>
        <item x="476"/>
        <item x="149"/>
        <item x="19"/>
        <item x="268"/>
        <item x="131"/>
        <item x="155"/>
        <item x="328"/>
        <item x="23"/>
        <item x="478"/>
        <item x="424"/>
        <item x="132"/>
        <item x="295"/>
        <item x="42"/>
        <item x="301"/>
        <item x="163"/>
        <item x="243"/>
        <item x="571"/>
        <item x="18"/>
        <item x="111"/>
        <item x="544"/>
        <item x="0"/>
        <item x="304"/>
        <item x="108"/>
        <item x="190"/>
        <item x="178"/>
        <item x="358"/>
        <item x="10"/>
        <item x="85"/>
        <item x="261"/>
        <item x="500"/>
        <item x="357"/>
        <item x="52"/>
        <item x="561"/>
        <item x="37"/>
        <item x="342"/>
        <item x="269"/>
        <item x="143"/>
        <item x="230"/>
        <item x="274"/>
        <item x="107"/>
        <item x="161"/>
        <item x="203"/>
        <item x="225"/>
        <item x="382"/>
        <item x="273"/>
        <item x="454"/>
        <item x="507"/>
        <item x="511"/>
        <item x="493"/>
        <item x="103"/>
        <item x="562"/>
        <item x="173"/>
        <item x="154"/>
        <item x="462"/>
        <item x="266"/>
        <item x="234"/>
        <item x="459"/>
        <item x="322"/>
        <item x="214"/>
        <item x="483"/>
        <item x="372"/>
        <item x="236"/>
        <item x="535"/>
        <item x="416"/>
        <item x="423"/>
        <item x="17"/>
        <item x="180"/>
        <item x="313"/>
        <item x="136"/>
        <item x="118"/>
        <item x="219"/>
        <item x="343"/>
        <item x="195"/>
        <item x="192"/>
        <item x="336"/>
        <item x="69"/>
        <item x="427"/>
        <item x="38"/>
        <item x="31"/>
        <item x="473"/>
        <item x="174"/>
        <item x="5"/>
        <item x="548"/>
        <item x="193"/>
        <item x="208"/>
        <item x="475"/>
        <item x="559"/>
        <item x="121"/>
        <item x="221"/>
        <item x="412"/>
        <item x="375"/>
        <item x="402"/>
        <item x="128"/>
        <item x="350"/>
        <item x="287"/>
        <item x="418"/>
        <item x="56"/>
        <item x="142"/>
        <item x="524"/>
        <item x="46"/>
        <item x="417"/>
        <item x="218"/>
        <item x="538"/>
        <item x="276"/>
        <item x="71"/>
        <item x="16"/>
        <item x="508"/>
        <item x="487"/>
        <item x="123"/>
        <item x="33"/>
        <item x="392"/>
        <item x="520"/>
        <item x="356"/>
        <item x="315"/>
        <item x="349"/>
        <item x="488"/>
        <item x="440"/>
        <item x="151"/>
        <item x="158"/>
        <item x="379"/>
        <item x="421"/>
        <item x="73"/>
        <item x="172"/>
        <item x="83"/>
        <item x="492"/>
        <item x="505"/>
        <item x="105"/>
        <item x="446"/>
        <item x="360"/>
        <item x="148"/>
        <item x="355"/>
        <item x="338"/>
        <item x="463"/>
        <item x="370"/>
        <item x="4"/>
        <item x="100"/>
        <item x="8"/>
        <item x="564"/>
        <item x="327"/>
        <item x="303"/>
        <item x="352"/>
        <item x="101"/>
        <item x="519"/>
        <item x="439"/>
        <item x="491"/>
        <item x="401"/>
        <item x="77"/>
        <item x="20"/>
        <item x="181"/>
        <item x="70"/>
        <item x="523"/>
        <item x="503"/>
        <item x="403"/>
        <item x="6"/>
        <item x="307"/>
        <item x="14"/>
        <item x="541"/>
        <item x="332"/>
        <item x="79"/>
        <item x="373"/>
        <item x="95"/>
        <item x="425"/>
        <item x="367"/>
        <item x="54"/>
        <item x="460"/>
        <item x="285"/>
        <item x="253"/>
        <item x="21"/>
        <item x="542"/>
        <item x="145"/>
        <item x="144"/>
        <item x="240"/>
        <item x="45"/>
        <item x="306"/>
        <item x="381"/>
        <item x="444"/>
        <item x="135"/>
        <item x="502"/>
        <item x="72"/>
        <item x="36"/>
        <item x="393"/>
        <item x="177"/>
        <item x="400"/>
        <item x="297"/>
        <item x="556"/>
        <item x="408"/>
        <item x="134"/>
        <item x="175"/>
        <item x="237"/>
        <item x="341"/>
        <item x="353"/>
        <item x="238"/>
        <item x="282"/>
        <item x="468"/>
        <item x="227"/>
        <item x="368"/>
        <item x="263"/>
        <item x="12"/>
        <item x="447"/>
        <item x="250"/>
        <item x="270"/>
        <item x="472"/>
        <item x="442"/>
        <item x="220"/>
        <item x="271"/>
        <item x="390"/>
        <item x="420"/>
        <item x="1"/>
        <item x="97"/>
        <item x="396"/>
        <item x="531"/>
        <item x="410"/>
        <item x="485"/>
        <item x="464"/>
        <item x="248"/>
        <item x="318"/>
        <item x="104"/>
        <item x="112"/>
        <item x="495"/>
        <item x="87"/>
        <item x="484"/>
        <item x="319"/>
        <item x="530"/>
        <item x="522"/>
        <item x="309"/>
        <item x="120"/>
        <item x="258"/>
        <item x="92"/>
        <item x="278"/>
        <item x="479"/>
        <item x="351"/>
        <item x="102"/>
        <item x="147"/>
        <item x="99"/>
        <item x="506"/>
        <item x="549"/>
        <item x="164"/>
        <item x="124"/>
        <item x="509"/>
        <item x="471"/>
        <item x="474"/>
        <item x="387"/>
        <item x="117"/>
        <item x="7"/>
        <item x="281"/>
        <item x="244"/>
        <item x="113"/>
        <item x="398"/>
        <item x="339"/>
        <item x="185"/>
        <item x="139"/>
        <item x="461"/>
        <item x="433"/>
        <item x="284"/>
        <item x="293"/>
        <item x="189"/>
        <item x="209"/>
        <item x="58"/>
        <item x="451"/>
        <item x="465"/>
        <item x="35"/>
        <item x="277"/>
        <item x="391"/>
        <item x="211"/>
        <item x="137"/>
        <item x="344"/>
        <item x="150"/>
        <item x="194"/>
        <item x="450"/>
        <item x="183"/>
        <item x="366"/>
        <item x="438"/>
        <item x="229"/>
        <item x="176"/>
        <item x="489"/>
        <item x="275"/>
        <item x="41"/>
        <item x="374"/>
        <item x="272"/>
        <item x="298"/>
        <item x="572"/>
        <item x="29"/>
        <item x="22"/>
        <item x="380"/>
        <item x="30"/>
        <item x="90"/>
        <item x="419"/>
        <item x="566"/>
        <item x="383"/>
        <item x="91"/>
        <item x="168"/>
        <item x="3"/>
        <item x="312"/>
        <item x="217"/>
        <item x="311"/>
        <item x="333"/>
        <item x="537"/>
        <item x="241"/>
        <item x="320"/>
        <item x="458"/>
        <item x="334"/>
        <item x="498"/>
        <item x="2"/>
        <item x="288"/>
        <item x="435"/>
        <item x="67"/>
        <item x="125"/>
        <item x="255"/>
        <item x="291"/>
        <item x="242"/>
        <item x="567"/>
        <item x="415"/>
        <item x="443"/>
        <item x="317"/>
        <item x="138"/>
        <item x="305"/>
        <item x="449"/>
        <item x="550"/>
        <item x="232"/>
        <item x="466"/>
        <item x="365"/>
        <item x="127"/>
        <item x="568"/>
        <item x="76"/>
        <item x="13"/>
        <item x="532"/>
        <item x="141"/>
        <item x="252"/>
        <item x="434"/>
        <item x="310"/>
        <item x="560"/>
        <item x="106"/>
        <item x="286"/>
        <item x="296"/>
        <item x="536"/>
        <item x="15"/>
        <item x="397"/>
        <item x="501"/>
        <item x="389"/>
        <item x="80"/>
        <item x="32"/>
        <item t="default"/>
      </items>
    </pivotField>
    <pivotField showAll="0">
      <items count="13">
        <item x="7"/>
        <item h="1" x="8"/>
        <item h="1" x="5"/>
        <item h="1" x="2"/>
        <item h="1" x="9"/>
        <item h="1" x="3"/>
        <item h="1" x="0"/>
        <item h="1" x="11"/>
        <item h="1" x="1"/>
        <item h="1" x="10"/>
        <item h="1" x="6"/>
        <item h="1" x="4"/>
        <item t="default"/>
      </items>
    </pivotField>
    <pivotField showAll="0"/>
    <pivotField axis="axisRow" showAll="0" sortType="descending">
      <items count="5">
        <item x="1"/>
        <item h="1" x="0"/>
        <item h="1" x="3"/>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5">
        <item h="1" x="1"/>
        <item x="2"/>
        <item h="1" x="0"/>
        <item h="1" x="3"/>
        <item t="default"/>
      </items>
    </pivotField>
    <pivotField showAll="0"/>
    <pivotField showAll="0" defaultSubtotal="0"/>
    <pivotField showAll="0" defaultSubtotal="0"/>
  </pivotFields>
  <rowFields count="1">
    <field x="5"/>
  </rowFields>
  <rowItems count="2">
    <i>
      <x/>
    </i>
    <i t="grand">
      <x/>
    </i>
  </rowItems>
  <colItems count="1">
    <i/>
  </colItems>
  <dataFields count="1">
    <dataField name="Average of OnTime" fld="15" subtotal="average" baseField="5" baseItem="0"/>
  </dataFields>
  <formats count="1">
    <format dxfId="180">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3768FD-95EC-4C6D-846F-9EA7D9BAE0BF}" name="PivotTable6" cacheId="29"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rowHeaderCaption="Days">
  <location ref="A40:B48" firstHeaderRow="1" firstDataRow="2" firstDataCol="1"/>
  <pivotFields count="20">
    <pivotField showAll="0"/>
    <pivotField numFmtId="22" showAll="0"/>
    <pivotField showAll="0"/>
    <pivotField showAll="0">
      <items count="13">
        <item x="7"/>
        <item h="1" x="8"/>
        <item h="1" x="5"/>
        <item h="1" x="2"/>
        <item h="1" x="9"/>
        <item h="1" x="3"/>
        <item h="1" x="0"/>
        <item h="1" x="11"/>
        <item h="1" x="1"/>
        <item h="1" x="10"/>
        <item h="1" x="6"/>
        <item h="1" x="4"/>
        <item t="default"/>
      </items>
    </pivotField>
    <pivotField showAll="0"/>
    <pivotField showAll="0">
      <items count="5">
        <item x="1"/>
        <item h="1" x="0"/>
        <item h="1" x="3"/>
        <item h="1" x="2"/>
        <item t="default"/>
      </items>
    </pivotField>
    <pivotField showAll="0"/>
    <pivotField showAll="0"/>
    <pivotField showAll="0"/>
    <pivotField showAll="0"/>
    <pivotField showAll="0"/>
    <pivotField showAll="0"/>
    <pivotField showAll="0"/>
    <pivotField showAll="0"/>
    <pivotField axis="axisRow" showAll="0">
      <items count="8">
        <item x="6"/>
        <item x="0"/>
        <item x="1"/>
        <item x="2"/>
        <item x="3"/>
        <item x="4"/>
        <item x="5"/>
        <item t="default"/>
      </items>
    </pivotField>
    <pivotField dataField="1" showAll="0"/>
    <pivotField axis="axisCol" showAll="0">
      <items count="5">
        <item h="1" x="1"/>
        <item x="2"/>
        <item h="1" x="0"/>
        <item h="1" x="3"/>
        <item t="default"/>
      </items>
    </pivotField>
    <pivotField showAll="0"/>
    <pivotField showAll="0" defaultSubtotal="0">
      <items count="6">
        <item x="0"/>
        <item x="1"/>
        <item x="2"/>
        <item x="3"/>
        <item x="4"/>
        <item x="5"/>
      </items>
    </pivotField>
    <pivotField showAll="0" defaultSubtotal="0"/>
  </pivotFields>
  <rowFields count="1">
    <field x="14"/>
  </rowFields>
  <rowItems count="7">
    <i>
      <x/>
    </i>
    <i>
      <x v="2"/>
    </i>
    <i>
      <x v="3"/>
    </i>
    <i>
      <x v="4"/>
    </i>
    <i>
      <x v="5"/>
    </i>
    <i>
      <x v="6"/>
    </i>
    <i t="grand">
      <x/>
    </i>
  </rowItems>
  <colFields count="1">
    <field x="16"/>
  </colFields>
  <colItems count="1">
    <i>
      <x v="1"/>
    </i>
  </colItems>
  <dataFields count="1">
    <dataField name="Average of OnTime" fld="15" subtotal="average" baseField="14" baseItem="0" numFmtId="9"/>
  </dataFields>
  <formats count="1">
    <format dxfId="181">
      <pivotArea outline="0" collapsedLevelsAreSubtotals="1" fieldPosition="0"/>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91D6E8-36DB-4EF3-87D8-C258552664C2}" name="PivotTable5" cacheId="29" applyNumberFormats="0" applyBorderFormats="0" applyFontFormats="0" applyPatternFormats="0" applyAlignmentFormats="0" applyWidthHeightFormats="1" dataCaption="Values" updatedVersion="7" minRefreshableVersion="3" enableDrill="0" useAutoFormatting="1" itemPrintTitles="1" createdVersion="7" indent="0" outline="1" outlineData="1" multipleFieldFilters="0" chartFormat="4">
  <location ref="H7:I9" firstHeaderRow="1" firstDataRow="1" firstDataCol="1"/>
  <pivotFields count="20">
    <pivotField showAll="0"/>
    <pivotField numFmtId="22" showAll="0"/>
    <pivotField showAll="0">
      <items count="574">
        <item x="330"/>
        <item x="369"/>
        <item x="529"/>
        <item x="68"/>
        <item x="256"/>
        <item x="215"/>
        <item x="191"/>
        <item x="239"/>
        <item x="371"/>
        <item x="96"/>
        <item x="126"/>
        <item x="27"/>
        <item x="197"/>
        <item x="109"/>
        <item x="202"/>
        <item x="470"/>
        <item x="89"/>
        <item x="187"/>
        <item x="552"/>
        <item x="198"/>
        <item x="414"/>
        <item x="565"/>
        <item x="521"/>
        <item x="515"/>
        <item x="510"/>
        <item x="289"/>
        <item x="430"/>
        <item x="316"/>
        <item x="60"/>
        <item x="378"/>
        <item x="75"/>
        <item x="61"/>
        <item x="411"/>
        <item x="212"/>
        <item x="86"/>
        <item x="245"/>
        <item x="94"/>
        <item x="337"/>
        <item x="205"/>
        <item x="26"/>
        <item x="457"/>
        <item x="480"/>
        <item x="206"/>
        <item x="201"/>
        <item x="50"/>
        <item x="119"/>
        <item x="110"/>
        <item x="499"/>
        <item x="494"/>
        <item x="267"/>
        <item x="74"/>
        <item x="157"/>
        <item x="156"/>
        <item x="363"/>
        <item x="346"/>
        <item x="210"/>
        <item x="222"/>
        <item x="28"/>
        <item x="48"/>
        <item x="160"/>
        <item x="407"/>
        <item x="455"/>
        <item x="53"/>
        <item x="182"/>
        <item x="448"/>
        <item x="533"/>
        <item x="251"/>
        <item x="129"/>
        <item x="347"/>
        <item x="329"/>
        <item x="504"/>
        <item x="456"/>
        <item x="354"/>
        <item x="9"/>
        <item x="233"/>
        <item x="265"/>
        <item x="518"/>
        <item x="437"/>
        <item x="146"/>
        <item x="122"/>
        <item x="235"/>
        <item x="395"/>
        <item x="228"/>
        <item x="570"/>
        <item x="376"/>
        <item x="179"/>
        <item x="569"/>
        <item x="165"/>
        <item x="162"/>
        <item x="292"/>
        <item x="196"/>
        <item x="325"/>
        <item x="428"/>
        <item x="294"/>
        <item x="116"/>
        <item x="547"/>
        <item x="482"/>
        <item x="199"/>
        <item x="24"/>
        <item x="114"/>
        <item x="388"/>
        <item x="526"/>
        <item x="436"/>
        <item x="331"/>
        <item x="558"/>
        <item x="186"/>
        <item x="422"/>
        <item x="259"/>
        <item x="133"/>
        <item x="557"/>
        <item x="486"/>
        <item x="93"/>
        <item x="539"/>
        <item x="213"/>
        <item x="264"/>
        <item x="247"/>
        <item x="384"/>
        <item x="345"/>
        <item x="348"/>
        <item x="545"/>
        <item x="115"/>
        <item x="188"/>
        <item x="362"/>
        <item x="280"/>
        <item x="323"/>
        <item x="453"/>
        <item x="431"/>
        <item x="452"/>
        <item x="200"/>
        <item x="512"/>
        <item x="98"/>
        <item x="405"/>
        <item x="361"/>
        <item x="553"/>
        <item x="555"/>
        <item x="399"/>
        <item x="78"/>
        <item x="554"/>
        <item x="394"/>
        <item x="184"/>
        <item x="527"/>
        <item x="226"/>
        <item x="429"/>
        <item x="314"/>
        <item x="207"/>
        <item x="55"/>
        <item x="59"/>
        <item x="441"/>
        <item x="406"/>
        <item x="540"/>
        <item x="49"/>
        <item x="321"/>
        <item x="543"/>
        <item x="140"/>
        <item x="84"/>
        <item x="546"/>
        <item x="513"/>
        <item x="324"/>
        <item x="496"/>
        <item x="364"/>
        <item x="88"/>
        <item x="167"/>
        <item x="517"/>
        <item x="481"/>
        <item x="467"/>
        <item x="204"/>
        <item x="413"/>
        <item x="224"/>
        <item x="426"/>
        <item x="563"/>
        <item x="223"/>
        <item x="159"/>
        <item x="11"/>
        <item x="25"/>
        <item x="249"/>
        <item x="170"/>
        <item x="516"/>
        <item x="340"/>
        <item x="171"/>
        <item x="300"/>
        <item x="404"/>
        <item x="216"/>
        <item x="66"/>
        <item x="326"/>
        <item x="81"/>
        <item x="279"/>
        <item x="257"/>
        <item x="65"/>
        <item x="534"/>
        <item x="130"/>
        <item x="308"/>
        <item x="246"/>
        <item x="169"/>
        <item x="528"/>
        <item x="62"/>
        <item x="153"/>
        <item x="299"/>
        <item x="64"/>
        <item x="525"/>
        <item x="231"/>
        <item x="262"/>
        <item x="44"/>
        <item x="445"/>
        <item x="469"/>
        <item x="432"/>
        <item x="34"/>
        <item x="51"/>
        <item x="385"/>
        <item x="152"/>
        <item x="283"/>
        <item x="254"/>
        <item x="39"/>
        <item x="166"/>
        <item x="335"/>
        <item x="63"/>
        <item x="477"/>
        <item x="497"/>
        <item x="359"/>
        <item x="82"/>
        <item x="302"/>
        <item x="409"/>
        <item x="43"/>
        <item x="514"/>
        <item x="290"/>
        <item x="377"/>
        <item x="47"/>
        <item x="490"/>
        <item x="260"/>
        <item x="57"/>
        <item x="40"/>
        <item x="386"/>
        <item x="551"/>
        <item x="476"/>
        <item x="149"/>
        <item x="19"/>
        <item x="268"/>
        <item x="131"/>
        <item x="155"/>
        <item x="328"/>
        <item x="23"/>
        <item x="478"/>
        <item x="424"/>
        <item x="132"/>
        <item x="295"/>
        <item x="42"/>
        <item x="301"/>
        <item x="163"/>
        <item x="243"/>
        <item x="571"/>
        <item x="18"/>
        <item x="111"/>
        <item x="544"/>
        <item x="0"/>
        <item x="304"/>
        <item x="108"/>
        <item x="190"/>
        <item x="178"/>
        <item x="358"/>
        <item x="10"/>
        <item x="85"/>
        <item x="261"/>
        <item x="500"/>
        <item x="357"/>
        <item x="52"/>
        <item x="561"/>
        <item x="37"/>
        <item x="342"/>
        <item x="269"/>
        <item x="143"/>
        <item x="230"/>
        <item x="274"/>
        <item x="107"/>
        <item x="161"/>
        <item x="203"/>
        <item x="225"/>
        <item x="382"/>
        <item x="273"/>
        <item x="454"/>
        <item x="507"/>
        <item x="511"/>
        <item x="493"/>
        <item x="103"/>
        <item x="562"/>
        <item x="173"/>
        <item x="154"/>
        <item x="462"/>
        <item x="266"/>
        <item x="234"/>
        <item x="459"/>
        <item x="322"/>
        <item x="214"/>
        <item x="483"/>
        <item x="372"/>
        <item x="236"/>
        <item x="535"/>
        <item x="416"/>
        <item x="423"/>
        <item x="17"/>
        <item x="180"/>
        <item x="313"/>
        <item x="136"/>
        <item x="118"/>
        <item x="219"/>
        <item x="343"/>
        <item x="195"/>
        <item x="192"/>
        <item x="336"/>
        <item x="69"/>
        <item x="427"/>
        <item x="38"/>
        <item x="31"/>
        <item x="473"/>
        <item x="174"/>
        <item x="5"/>
        <item x="548"/>
        <item x="193"/>
        <item x="208"/>
        <item x="475"/>
        <item x="559"/>
        <item x="121"/>
        <item x="221"/>
        <item x="412"/>
        <item x="375"/>
        <item x="402"/>
        <item x="128"/>
        <item x="350"/>
        <item x="287"/>
        <item x="418"/>
        <item x="56"/>
        <item x="142"/>
        <item x="524"/>
        <item x="46"/>
        <item x="417"/>
        <item x="218"/>
        <item x="538"/>
        <item x="276"/>
        <item x="71"/>
        <item x="16"/>
        <item x="508"/>
        <item x="487"/>
        <item x="123"/>
        <item x="33"/>
        <item x="392"/>
        <item x="520"/>
        <item x="356"/>
        <item x="315"/>
        <item x="349"/>
        <item x="488"/>
        <item x="440"/>
        <item x="151"/>
        <item x="158"/>
        <item x="379"/>
        <item x="421"/>
        <item x="73"/>
        <item x="172"/>
        <item x="83"/>
        <item x="492"/>
        <item x="505"/>
        <item x="105"/>
        <item x="446"/>
        <item x="360"/>
        <item x="148"/>
        <item x="355"/>
        <item x="338"/>
        <item x="463"/>
        <item x="370"/>
        <item x="4"/>
        <item x="100"/>
        <item x="8"/>
        <item x="564"/>
        <item x="327"/>
        <item x="303"/>
        <item x="352"/>
        <item x="101"/>
        <item x="519"/>
        <item x="439"/>
        <item x="491"/>
        <item x="401"/>
        <item x="77"/>
        <item x="20"/>
        <item x="181"/>
        <item x="70"/>
        <item x="523"/>
        <item x="503"/>
        <item x="403"/>
        <item x="6"/>
        <item x="307"/>
        <item x="14"/>
        <item x="541"/>
        <item x="332"/>
        <item x="79"/>
        <item x="373"/>
        <item x="95"/>
        <item x="425"/>
        <item x="367"/>
        <item x="54"/>
        <item x="460"/>
        <item x="285"/>
        <item x="253"/>
        <item x="21"/>
        <item x="542"/>
        <item x="145"/>
        <item x="144"/>
        <item x="240"/>
        <item x="45"/>
        <item x="306"/>
        <item x="381"/>
        <item x="444"/>
        <item x="135"/>
        <item x="502"/>
        <item x="72"/>
        <item x="36"/>
        <item x="393"/>
        <item x="177"/>
        <item x="400"/>
        <item x="297"/>
        <item x="556"/>
        <item x="408"/>
        <item x="134"/>
        <item x="175"/>
        <item x="237"/>
        <item x="341"/>
        <item x="353"/>
        <item x="238"/>
        <item x="282"/>
        <item x="468"/>
        <item x="227"/>
        <item x="368"/>
        <item x="263"/>
        <item x="12"/>
        <item x="447"/>
        <item x="250"/>
        <item x="270"/>
        <item x="472"/>
        <item x="442"/>
        <item x="220"/>
        <item x="271"/>
        <item x="390"/>
        <item x="420"/>
        <item x="1"/>
        <item x="97"/>
        <item x="396"/>
        <item x="531"/>
        <item x="410"/>
        <item x="485"/>
        <item x="464"/>
        <item x="248"/>
        <item x="318"/>
        <item x="104"/>
        <item x="112"/>
        <item x="495"/>
        <item x="87"/>
        <item x="484"/>
        <item x="319"/>
        <item x="530"/>
        <item x="522"/>
        <item x="309"/>
        <item x="120"/>
        <item x="258"/>
        <item x="92"/>
        <item x="278"/>
        <item x="479"/>
        <item x="351"/>
        <item x="102"/>
        <item x="147"/>
        <item x="99"/>
        <item x="506"/>
        <item x="549"/>
        <item x="164"/>
        <item x="124"/>
        <item x="509"/>
        <item x="471"/>
        <item x="474"/>
        <item x="387"/>
        <item x="117"/>
        <item x="7"/>
        <item x="281"/>
        <item x="244"/>
        <item x="113"/>
        <item x="398"/>
        <item x="339"/>
        <item x="185"/>
        <item x="139"/>
        <item x="461"/>
        <item x="433"/>
        <item x="284"/>
        <item x="293"/>
        <item x="189"/>
        <item x="209"/>
        <item x="58"/>
        <item x="451"/>
        <item x="465"/>
        <item x="35"/>
        <item x="277"/>
        <item x="391"/>
        <item x="211"/>
        <item x="137"/>
        <item x="344"/>
        <item x="150"/>
        <item x="194"/>
        <item x="450"/>
        <item x="183"/>
        <item x="366"/>
        <item x="438"/>
        <item x="229"/>
        <item x="176"/>
        <item x="489"/>
        <item x="275"/>
        <item x="41"/>
        <item x="374"/>
        <item x="272"/>
        <item x="298"/>
        <item x="572"/>
        <item x="29"/>
        <item x="22"/>
        <item x="380"/>
        <item x="30"/>
        <item x="90"/>
        <item x="419"/>
        <item x="566"/>
        <item x="383"/>
        <item x="91"/>
        <item x="168"/>
        <item x="3"/>
        <item x="312"/>
        <item x="217"/>
        <item x="311"/>
        <item x="333"/>
        <item x="537"/>
        <item x="241"/>
        <item x="320"/>
        <item x="458"/>
        <item x="334"/>
        <item x="498"/>
        <item x="2"/>
        <item x="288"/>
        <item x="435"/>
        <item x="67"/>
        <item x="125"/>
        <item x="255"/>
        <item x="291"/>
        <item x="242"/>
        <item x="567"/>
        <item x="415"/>
        <item x="443"/>
        <item x="317"/>
        <item x="138"/>
        <item x="305"/>
        <item x="449"/>
        <item x="550"/>
        <item x="232"/>
        <item x="466"/>
        <item x="365"/>
        <item x="127"/>
        <item x="568"/>
        <item x="76"/>
        <item x="13"/>
        <item x="532"/>
        <item x="141"/>
        <item x="252"/>
        <item x="434"/>
        <item x="310"/>
        <item x="560"/>
        <item x="106"/>
        <item x="286"/>
        <item x="296"/>
        <item x="536"/>
        <item x="15"/>
        <item x="397"/>
        <item x="501"/>
        <item x="389"/>
        <item x="80"/>
        <item x="32"/>
        <item t="default"/>
      </items>
    </pivotField>
    <pivotField axis="axisRow" showAll="0" sortType="descending">
      <items count="13">
        <item x="7"/>
        <item h="1" x="8"/>
        <item h="1" x="5"/>
        <item h="1" x="2"/>
        <item h="1" x="9"/>
        <item h="1" x="3"/>
        <item h="1" x="0"/>
        <item h="1" x="11"/>
        <item h="1" x="1"/>
        <item h="1" x="10"/>
        <item h="1" x="6"/>
        <item h="1" x="4"/>
        <item t="default"/>
      </items>
      <autoSortScope>
        <pivotArea dataOnly="0" outline="0" fieldPosition="0">
          <references count="1">
            <reference field="4294967294" count="1" selected="0">
              <x v="0"/>
            </reference>
          </references>
        </pivotArea>
      </autoSortScope>
    </pivotField>
    <pivotField showAll="0"/>
    <pivotField showAll="0">
      <items count="5">
        <item x="1"/>
        <item h="1" x="0"/>
        <item h="1" x="3"/>
        <item h="1" x="2"/>
        <item t="default"/>
      </items>
    </pivotField>
    <pivotField showAll="0"/>
    <pivotField showAll="0"/>
    <pivotField showAll="0"/>
    <pivotField showAll="0"/>
    <pivotField showAll="0"/>
    <pivotField showAll="0"/>
    <pivotField showAll="0"/>
    <pivotField showAll="0"/>
    <pivotField showAll="0"/>
    <pivotField dataField="1" showAll="0"/>
    <pivotField showAll="0">
      <items count="5">
        <item h="1" x="1"/>
        <item x="2"/>
        <item h="1" x="0"/>
        <item h="1" x="3"/>
        <item t="default"/>
      </items>
    </pivotField>
    <pivotField showAll="0"/>
    <pivotField showAll="0" defaultSubtotal="0"/>
    <pivotField showAll="0" defaultSubtotal="0"/>
  </pivotFields>
  <rowFields count="1">
    <field x="3"/>
  </rowFields>
  <rowItems count="2">
    <i>
      <x/>
    </i>
    <i t="grand">
      <x/>
    </i>
  </rowItems>
  <colItems count="1">
    <i/>
  </colItems>
  <dataFields count="1">
    <dataField name="Average of OnTime" fld="15" subtotal="average" baseField="3" baseItem="0" numFmtId="166"/>
  </dataFields>
  <formats count="1">
    <format dxfId="18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20804F-9863-45EF-8692-CF1D93199FD2}" name="PivotTable4"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7:D19" firstHeaderRow="1" firstDataRow="2" firstDataCol="1"/>
  <pivotFields count="20">
    <pivotField showAll="0"/>
    <pivotField axis="axisRow" numFmtId="22" showAll="0">
      <items count="15">
        <item x="0"/>
        <item x="1"/>
        <item x="2"/>
        <item x="3"/>
        <item x="4"/>
        <item x="5"/>
        <item x="6"/>
        <item x="7"/>
        <item x="8"/>
        <item x="9"/>
        <item x="10"/>
        <item x="11"/>
        <item x="12"/>
        <item x="13"/>
        <item t="default"/>
      </items>
    </pivotField>
    <pivotField showAll="0">
      <items count="574">
        <item x="330"/>
        <item x="369"/>
        <item x="529"/>
        <item x="68"/>
        <item x="256"/>
        <item x="215"/>
        <item x="191"/>
        <item x="239"/>
        <item x="371"/>
        <item x="96"/>
        <item x="126"/>
        <item x="27"/>
        <item x="197"/>
        <item x="109"/>
        <item x="202"/>
        <item x="470"/>
        <item x="89"/>
        <item x="187"/>
        <item x="552"/>
        <item x="198"/>
        <item x="414"/>
        <item x="565"/>
        <item x="521"/>
        <item x="515"/>
        <item x="510"/>
        <item x="289"/>
        <item x="430"/>
        <item x="316"/>
        <item x="60"/>
        <item x="378"/>
        <item x="75"/>
        <item x="61"/>
        <item x="411"/>
        <item x="212"/>
        <item x="86"/>
        <item x="245"/>
        <item x="94"/>
        <item x="337"/>
        <item x="205"/>
        <item x="26"/>
        <item x="457"/>
        <item x="480"/>
        <item x="206"/>
        <item x="201"/>
        <item x="50"/>
        <item x="119"/>
        <item x="110"/>
        <item x="499"/>
        <item x="494"/>
        <item x="267"/>
        <item x="74"/>
        <item x="157"/>
        <item x="156"/>
        <item x="363"/>
        <item x="346"/>
        <item x="210"/>
        <item x="222"/>
        <item x="28"/>
        <item x="48"/>
        <item x="160"/>
        <item x="407"/>
        <item x="455"/>
        <item x="53"/>
        <item x="182"/>
        <item x="448"/>
        <item x="533"/>
        <item x="251"/>
        <item x="129"/>
        <item x="347"/>
        <item x="329"/>
        <item x="504"/>
        <item x="456"/>
        <item x="354"/>
        <item x="9"/>
        <item x="233"/>
        <item x="265"/>
        <item x="518"/>
        <item x="437"/>
        <item x="146"/>
        <item x="122"/>
        <item x="235"/>
        <item x="395"/>
        <item x="228"/>
        <item x="570"/>
        <item x="376"/>
        <item x="179"/>
        <item x="569"/>
        <item x="165"/>
        <item x="162"/>
        <item x="292"/>
        <item x="196"/>
        <item x="325"/>
        <item x="428"/>
        <item x="294"/>
        <item x="116"/>
        <item x="547"/>
        <item x="482"/>
        <item x="199"/>
        <item x="24"/>
        <item x="114"/>
        <item x="388"/>
        <item x="526"/>
        <item x="436"/>
        <item x="331"/>
        <item x="558"/>
        <item x="186"/>
        <item x="422"/>
        <item x="259"/>
        <item x="133"/>
        <item x="557"/>
        <item x="486"/>
        <item x="93"/>
        <item x="539"/>
        <item x="213"/>
        <item x="264"/>
        <item x="247"/>
        <item x="384"/>
        <item x="345"/>
        <item x="348"/>
        <item x="545"/>
        <item x="115"/>
        <item x="188"/>
        <item x="362"/>
        <item x="280"/>
        <item x="323"/>
        <item x="453"/>
        <item x="431"/>
        <item x="452"/>
        <item x="200"/>
        <item x="512"/>
        <item x="98"/>
        <item x="405"/>
        <item x="361"/>
        <item x="553"/>
        <item x="555"/>
        <item x="399"/>
        <item x="78"/>
        <item x="554"/>
        <item x="394"/>
        <item x="184"/>
        <item x="527"/>
        <item x="226"/>
        <item x="429"/>
        <item x="314"/>
        <item x="207"/>
        <item x="55"/>
        <item x="59"/>
        <item x="441"/>
        <item x="406"/>
        <item x="540"/>
        <item x="49"/>
        <item x="321"/>
        <item x="543"/>
        <item x="140"/>
        <item x="84"/>
        <item x="546"/>
        <item x="513"/>
        <item x="324"/>
        <item x="496"/>
        <item x="364"/>
        <item x="88"/>
        <item x="167"/>
        <item x="517"/>
        <item x="481"/>
        <item x="467"/>
        <item x="204"/>
        <item x="413"/>
        <item x="224"/>
        <item x="426"/>
        <item x="563"/>
        <item x="223"/>
        <item x="159"/>
        <item x="11"/>
        <item x="25"/>
        <item x="249"/>
        <item x="170"/>
        <item x="516"/>
        <item x="340"/>
        <item x="171"/>
        <item x="300"/>
        <item x="404"/>
        <item x="216"/>
        <item x="66"/>
        <item x="326"/>
        <item x="81"/>
        <item x="279"/>
        <item x="257"/>
        <item x="65"/>
        <item x="534"/>
        <item x="130"/>
        <item x="308"/>
        <item x="246"/>
        <item x="169"/>
        <item x="528"/>
        <item x="62"/>
        <item x="153"/>
        <item x="299"/>
        <item x="64"/>
        <item x="525"/>
        <item x="231"/>
        <item x="262"/>
        <item x="44"/>
        <item x="445"/>
        <item x="469"/>
        <item x="432"/>
        <item x="34"/>
        <item x="51"/>
        <item x="385"/>
        <item x="152"/>
        <item x="283"/>
        <item x="254"/>
        <item x="39"/>
        <item x="166"/>
        <item x="335"/>
        <item x="63"/>
        <item x="477"/>
        <item x="497"/>
        <item x="359"/>
        <item x="82"/>
        <item x="302"/>
        <item x="409"/>
        <item x="43"/>
        <item x="514"/>
        <item x="290"/>
        <item x="377"/>
        <item x="47"/>
        <item x="490"/>
        <item x="260"/>
        <item x="57"/>
        <item x="40"/>
        <item x="386"/>
        <item x="551"/>
        <item x="476"/>
        <item x="149"/>
        <item x="19"/>
        <item x="268"/>
        <item x="131"/>
        <item x="155"/>
        <item x="328"/>
        <item x="23"/>
        <item x="478"/>
        <item x="424"/>
        <item x="132"/>
        <item x="295"/>
        <item x="42"/>
        <item x="301"/>
        <item x="163"/>
        <item x="243"/>
        <item x="571"/>
        <item x="18"/>
        <item x="111"/>
        <item x="544"/>
        <item x="0"/>
        <item x="304"/>
        <item x="108"/>
        <item x="190"/>
        <item x="178"/>
        <item x="358"/>
        <item x="10"/>
        <item x="85"/>
        <item x="261"/>
        <item x="500"/>
        <item x="357"/>
        <item x="52"/>
        <item x="561"/>
        <item x="37"/>
        <item x="342"/>
        <item x="269"/>
        <item x="143"/>
        <item x="230"/>
        <item x="274"/>
        <item x="107"/>
        <item x="161"/>
        <item x="203"/>
        <item x="225"/>
        <item x="382"/>
        <item x="273"/>
        <item x="454"/>
        <item x="507"/>
        <item x="511"/>
        <item x="493"/>
        <item x="103"/>
        <item x="562"/>
        <item x="173"/>
        <item x="154"/>
        <item x="462"/>
        <item x="266"/>
        <item x="234"/>
        <item x="459"/>
        <item x="322"/>
        <item x="214"/>
        <item x="483"/>
        <item x="372"/>
        <item x="236"/>
        <item x="535"/>
        <item x="416"/>
        <item x="423"/>
        <item x="17"/>
        <item x="180"/>
        <item x="313"/>
        <item x="136"/>
        <item x="118"/>
        <item x="219"/>
        <item x="343"/>
        <item x="195"/>
        <item x="192"/>
        <item x="336"/>
        <item x="69"/>
        <item x="427"/>
        <item x="38"/>
        <item x="31"/>
        <item x="473"/>
        <item x="174"/>
        <item x="5"/>
        <item x="548"/>
        <item x="193"/>
        <item x="208"/>
        <item x="475"/>
        <item x="559"/>
        <item x="121"/>
        <item x="221"/>
        <item x="412"/>
        <item x="375"/>
        <item x="402"/>
        <item x="128"/>
        <item x="350"/>
        <item x="287"/>
        <item x="418"/>
        <item x="56"/>
        <item x="142"/>
        <item x="524"/>
        <item x="46"/>
        <item x="417"/>
        <item x="218"/>
        <item x="538"/>
        <item x="276"/>
        <item x="71"/>
        <item x="16"/>
        <item x="508"/>
        <item x="487"/>
        <item x="123"/>
        <item x="33"/>
        <item x="392"/>
        <item x="520"/>
        <item x="356"/>
        <item x="315"/>
        <item x="349"/>
        <item x="488"/>
        <item x="440"/>
        <item x="151"/>
        <item x="158"/>
        <item x="379"/>
        <item x="421"/>
        <item x="73"/>
        <item x="172"/>
        <item x="83"/>
        <item x="492"/>
        <item x="505"/>
        <item x="105"/>
        <item x="446"/>
        <item x="360"/>
        <item x="148"/>
        <item x="355"/>
        <item x="338"/>
        <item x="463"/>
        <item x="370"/>
        <item x="4"/>
        <item x="100"/>
        <item x="8"/>
        <item x="564"/>
        <item x="327"/>
        <item x="303"/>
        <item x="352"/>
        <item x="101"/>
        <item x="519"/>
        <item x="439"/>
        <item x="491"/>
        <item x="401"/>
        <item x="77"/>
        <item x="20"/>
        <item x="181"/>
        <item x="70"/>
        <item x="523"/>
        <item x="503"/>
        <item x="403"/>
        <item x="6"/>
        <item x="307"/>
        <item x="14"/>
        <item x="541"/>
        <item x="332"/>
        <item x="79"/>
        <item x="373"/>
        <item x="95"/>
        <item x="425"/>
        <item x="367"/>
        <item x="54"/>
        <item x="460"/>
        <item x="285"/>
        <item x="253"/>
        <item x="21"/>
        <item x="542"/>
        <item x="145"/>
        <item x="144"/>
        <item x="240"/>
        <item x="45"/>
        <item x="306"/>
        <item x="381"/>
        <item x="444"/>
        <item x="135"/>
        <item x="502"/>
        <item x="72"/>
        <item x="36"/>
        <item x="393"/>
        <item x="177"/>
        <item x="400"/>
        <item x="297"/>
        <item x="556"/>
        <item x="408"/>
        <item x="134"/>
        <item x="175"/>
        <item x="237"/>
        <item x="341"/>
        <item x="353"/>
        <item x="238"/>
        <item x="282"/>
        <item x="468"/>
        <item x="227"/>
        <item x="368"/>
        <item x="263"/>
        <item x="12"/>
        <item x="447"/>
        <item x="250"/>
        <item x="270"/>
        <item x="472"/>
        <item x="442"/>
        <item x="220"/>
        <item x="271"/>
        <item x="390"/>
        <item x="420"/>
        <item x="1"/>
        <item x="97"/>
        <item x="396"/>
        <item x="531"/>
        <item x="410"/>
        <item x="485"/>
        <item x="464"/>
        <item x="248"/>
        <item x="318"/>
        <item x="104"/>
        <item x="112"/>
        <item x="495"/>
        <item x="87"/>
        <item x="484"/>
        <item x="319"/>
        <item x="530"/>
        <item x="522"/>
        <item x="309"/>
        <item x="120"/>
        <item x="258"/>
        <item x="92"/>
        <item x="278"/>
        <item x="479"/>
        <item x="351"/>
        <item x="102"/>
        <item x="147"/>
        <item x="99"/>
        <item x="506"/>
        <item x="549"/>
        <item x="164"/>
        <item x="124"/>
        <item x="509"/>
        <item x="471"/>
        <item x="474"/>
        <item x="387"/>
        <item x="117"/>
        <item x="7"/>
        <item x="281"/>
        <item x="244"/>
        <item x="113"/>
        <item x="398"/>
        <item x="339"/>
        <item x="185"/>
        <item x="139"/>
        <item x="461"/>
        <item x="433"/>
        <item x="284"/>
        <item x="293"/>
        <item x="189"/>
        <item x="209"/>
        <item x="58"/>
        <item x="451"/>
        <item x="465"/>
        <item x="35"/>
        <item x="277"/>
        <item x="391"/>
        <item x="211"/>
        <item x="137"/>
        <item x="344"/>
        <item x="150"/>
        <item x="194"/>
        <item x="450"/>
        <item x="183"/>
        <item x="366"/>
        <item x="438"/>
        <item x="229"/>
        <item x="176"/>
        <item x="489"/>
        <item x="275"/>
        <item x="41"/>
        <item x="374"/>
        <item x="272"/>
        <item x="298"/>
        <item x="572"/>
        <item x="29"/>
        <item x="22"/>
        <item x="380"/>
        <item x="30"/>
        <item x="90"/>
        <item x="419"/>
        <item x="566"/>
        <item x="383"/>
        <item x="91"/>
        <item x="168"/>
        <item x="3"/>
        <item x="312"/>
        <item x="217"/>
        <item x="311"/>
        <item x="333"/>
        <item x="537"/>
        <item x="241"/>
        <item x="320"/>
        <item x="458"/>
        <item x="334"/>
        <item x="498"/>
        <item x="2"/>
        <item x="288"/>
        <item x="435"/>
        <item x="67"/>
        <item x="125"/>
        <item x="255"/>
        <item x="291"/>
        <item x="242"/>
        <item x="567"/>
        <item x="415"/>
        <item x="443"/>
        <item x="317"/>
        <item x="138"/>
        <item x="305"/>
        <item x="449"/>
        <item x="550"/>
        <item x="232"/>
        <item x="466"/>
        <item x="365"/>
        <item x="127"/>
        <item x="568"/>
        <item x="76"/>
        <item x="13"/>
        <item x="532"/>
        <item x="141"/>
        <item x="252"/>
        <item x="434"/>
        <item x="310"/>
        <item x="560"/>
        <item x="106"/>
        <item x="286"/>
        <item x="296"/>
        <item x="536"/>
        <item x="15"/>
        <item x="397"/>
        <item x="501"/>
        <item x="389"/>
        <item x="80"/>
        <item x="32"/>
        <item t="default"/>
      </items>
    </pivotField>
    <pivotField showAll="0">
      <items count="13">
        <item x="7"/>
        <item h="1" x="8"/>
        <item h="1" x="5"/>
        <item h="1" x="2"/>
        <item h="1" x="9"/>
        <item h="1" x="3"/>
        <item h="1" x="0"/>
        <item h="1" x="11"/>
        <item h="1" x="1"/>
        <item h="1" x="10"/>
        <item h="1" x="6"/>
        <item h="1" x="4"/>
        <item t="default"/>
      </items>
    </pivotField>
    <pivotField showAll="0"/>
    <pivotField showAll="0">
      <items count="5">
        <item x="1"/>
        <item h="1" x="0"/>
        <item h="1" x="3"/>
        <item h="1" x="2"/>
        <item t="default"/>
      </items>
    </pivotField>
    <pivotField showAll="0"/>
    <pivotField showAll="0"/>
    <pivotField showAll="0"/>
    <pivotField showAll="0"/>
    <pivotField showAll="0"/>
    <pivotField showAll="0"/>
    <pivotField showAll="0"/>
    <pivotField showAll="0"/>
    <pivotField showAll="0"/>
    <pivotField dataField="1" showAll="0"/>
    <pivotField showAll="0">
      <items count="5">
        <item h="1" x="1"/>
        <item x="2"/>
        <item h="1" x="0"/>
        <item h="1" x="3"/>
        <item t="default"/>
      </items>
    </pivotField>
    <pivotField showAll="0"/>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
  </rowFields>
  <rowItems count="11">
    <i>
      <x v="1"/>
    </i>
    <i>
      <x v="2"/>
    </i>
    <i>
      <x v="4"/>
    </i>
    <i>
      <x v="5"/>
    </i>
    <i>
      <x v="6"/>
    </i>
    <i>
      <x v="7"/>
    </i>
    <i>
      <x v="8"/>
    </i>
    <i>
      <x v="9"/>
    </i>
    <i>
      <x v="10"/>
    </i>
    <i>
      <x v="11"/>
    </i>
    <i t="grand">
      <x/>
    </i>
  </rowItems>
  <colFields count="1">
    <field x="19"/>
  </colFields>
  <colItems count="3">
    <i>
      <x v="1"/>
    </i>
    <i>
      <x v="2"/>
    </i>
    <i t="grand">
      <x/>
    </i>
  </colItems>
  <dataFields count="1">
    <dataField name="Average of OnTime" fld="15" subtotal="average" baseField="2" baseItem="0"/>
  </dataFields>
  <formats count="4">
    <format dxfId="191">
      <pivotArea collapsedLevelsAreSubtotals="1" fieldPosition="0">
        <references count="1">
          <reference field="19" count="1">
            <x v="1"/>
          </reference>
        </references>
      </pivotArea>
    </format>
    <format dxfId="192">
      <pivotArea collapsedLevelsAreSubtotals="1" fieldPosition="0">
        <references count="1">
          <reference field="19" count="1">
            <x v="2"/>
          </reference>
        </references>
      </pivotArea>
    </format>
    <format dxfId="193">
      <pivotArea grandRow="1" outline="0" collapsedLevelsAreSubtotals="1" fieldPosition="0"/>
    </format>
    <format dxfId="194">
      <pivotArea grandCol="1" outline="0" collapsedLevelsAreSubtotals="1" fieldPosition="0"/>
    </format>
  </formats>
  <chartFormats count="4">
    <chartFormat chart="0" format="0" series="1">
      <pivotArea type="data" outline="0" fieldPosition="0">
        <references count="2">
          <reference field="4294967294" count="1" selected="0">
            <x v="0"/>
          </reference>
          <reference field="19" count="1" selected="0">
            <x v="1"/>
          </reference>
        </references>
      </pivotArea>
    </chartFormat>
    <chartFormat chart="0" format="1" series="1">
      <pivotArea type="data" outline="0" fieldPosition="0">
        <references count="2">
          <reference field="4294967294" count="1" selected="0">
            <x v="0"/>
          </reference>
          <reference field="19" count="1" selected="0">
            <x v="2"/>
          </reference>
        </references>
      </pivotArea>
    </chartFormat>
    <chartFormat chart="5" format="4" series="1">
      <pivotArea type="data" outline="0" fieldPosition="0">
        <references count="2">
          <reference field="4294967294" count="1" selected="0">
            <x v="0"/>
          </reference>
          <reference field="19" count="1" selected="0">
            <x v="1"/>
          </reference>
        </references>
      </pivotArea>
    </chartFormat>
    <chartFormat chart="5" format="5"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8FCCA3-A344-48DA-9437-332384C220E3}" name="PivotTable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6">
    <pivotField numFmtId="22" showAll="0"/>
    <pivotField dataField="1" showAll="0">
      <items count="574">
        <item x="330"/>
        <item x="369"/>
        <item x="529"/>
        <item x="68"/>
        <item x="256"/>
        <item x="215"/>
        <item x="191"/>
        <item x="239"/>
        <item x="371"/>
        <item x="96"/>
        <item x="126"/>
        <item x="27"/>
        <item x="197"/>
        <item x="109"/>
        <item x="202"/>
        <item x="470"/>
        <item x="89"/>
        <item x="187"/>
        <item x="552"/>
        <item x="198"/>
        <item x="414"/>
        <item x="565"/>
        <item x="521"/>
        <item x="515"/>
        <item x="510"/>
        <item x="289"/>
        <item x="430"/>
        <item x="316"/>
        <item x="60"/>
        <item x="378"/>
        <item x="75"/>
        <item x="61"/>
        <item x="411"/>
        <item x="212"/>
        <item x="86"/>
        <item x="245"/>
        <item x="94"/>
        <item x="337"/>
        <item x="205"/>
        <item x="26"/>
        <item x="457"/>
        <item x="480"/>
        <item x="206"/>
        <item x="201"/>
        <item x="50"/>
        <item x="119"/>
        <item x="110"/>
        <item x="499"/>
        <item x="494"/>
        <item x="267"/>
        <item x="74"/>
        <item x="157"/>
        <item x="156"/>
        <item x="363"/>
        <item x="346"/>
        <item x="210"/>
        <item x="222"/>
        <item x="28"/>
        <item x="48"/>
        <item x="160"/>
        <item x="407"/>
        <item x="455"/>
        <item x="53"/>
        <item x="182"/>
        <item x="448"/>
        <item x="533"/>
        <item x="251"/>
        <item x="129"/>
        <item x="347"/>
        <item x="329"/>
        <item x="504"/>
        <item x="456"/>
        <item x="354"/>
        <item x="9"/>
        <item x="233"/>
        <item x="265"/>
        <item x="518"/>
        <item x="437"/>
        <item x="146"/>
        <item x="122"/>
        <item x="235"/>
        <item x="395"/>
        <item x="228"/>
        <item x="570"/>
        <item x="376"/>
        <item x="179"/>
        <item x="569"/>
        <item x="165"/>
        <item x="162"/>
        <item x="292"/>
        <item x="196"/>
        <item x="325"/>
        <item x="428"/>
        <item x="294"/>
        <item x="116"/>
        <item x="547"/>
        <item x="482"/>
        <item x="199"/>
        <item x="24"/>
        <item x="114"/>
        <item x="388"/>
        <item x="526"/>
        <item x="436"/>
        <item x="331"/>
        <item x="558"/>
        <item x="186"/>
        <item x="422"/>
        <item x="259"/>
        <item x="133"/>
        <item x="557"/>
        <item x="486"/>
        <item x="93"/>
        <item x="539"/>
        <item x="213"/>
        <item x="264"/>
        <item x="247"/>
        <item x="384"/>
        <item x="345"/>
        <item x="348"/>
        <item x="545"/>
        <item x="115"/>
        <item x="188"/>
        <item x="362"/>
        <item x="280"/>
        <item x="323"/>
        <item x="453"/>
        <item x="431"/>
        <item x="452"/>
        <item x="200"/>
        <item x="512"/>
        <item x="98"/>
        <item x="405"/>
        <item x="361"/>
        <item x="553"/>
        <item x="555"/>
        <item x="399"/>
        <item x="78"/>
        <item x="554"/>
        <item x="394"/>
        <item x="184"/>
        <item x="527"/>
        <item x="226"/>
        <item x="429"/>
        <item x="314"/>
        <item x="207"/>
        <item x="55"/>
        <item x="59"/>
        <item x="441"/>
        <item x="406"/>
        <item x="540"/>
        <item x="49"/>
        <item x="321"/>
        <item x="543"/>
        <item x="140"/>
        <item x="84"/>
        <item x="546"/>
        <item x="513"/>
        <item x="324"/>
        <item x="496"/>
        <item x="364"/>
        <item x="88"/>
        <item x="167"/>
        <item x="517"/>
        <item x="481"/>
        <item x="467"/>
        <item x="204"/>
        <item x="413"/>
        <item x="224"/>
        <item x="426"/>
        <item x="563"/>
        <item x="223"/>
        <item x="159"/>
        <item x="11"/>
        <item x="25"/>
        <item x="249"/>
        <item x="170"/>
        <item x="516"/>
        <item x="340"/>
        <item x="171"/>
        <item x="300"/>
        <item x="404"/>
        <item x="216"/>
        <item x="66"/>
        <item x="326"/>
        <item x="81"/>
        <item x="279"/>
        <item x="257"/>
        <item x="65"/>
        <item x="534"/>
        <item x="130"/>
        <item x="308"/>
        <item x="246"/>
        <item x="169"/>
        <item x="528"/>
        <item x="62"/>
        <item x="153"/>
        <item x="299"/>
        <item x="64"/>
        <item x="525"/>
        <item x="231"/>
        <item x="262"/>
        <item x="44"/>
        <item x="445"/>
        <item x="469"/>
        <item x="432"/>
        <item x="34"/>
        <item x="51"/>
        <item x="385"/>
        <item x="152"/>
        <item x="283"/>
        <item x="254"/>
        <item x="39"/>
        <item x="166"/>
        <item x="335"/>
        <item x="63"/>
        <item x="477"/>
        <item x="497"/>
        <item x="359"/>
        <item x="82"/>
        <item x="302"/>
        <item x="409"/>
        <item x="43"/>
        <item x="514"/>
        <item x="290"/>
        <item x="377"/>
        <item x="47"/>
        <item x="490"/>
        <item x="260"/>
        <item x="57"/>
        <item x="40"/>
        <item x="386"/>
        <item x="551"/>
        <item x="476"/>
        <item x="149"/>
        <item x="19"/>
        <item x="268"/>
        <item x="131"/>
        <item x="155"/>
        <item x="328"/>
        <item x="23"/>
        <item x="478"/>
        <item x="424"/>
        <item x="132"/>
        <item x="295"/>
        <item x="42"/>
        <item x="301"/>
        <item x="163"/>
        <item x="243"/>
        <item x="571"/>
        <item x="18"/>
        <item x="111"/>
        <item x="544"/>
        <item x="0"/>
        <item x="304"/>
        <item x="108"/>
        <item x="190"/>
        <item x="178"/>
        <item x="358"/>
        <item x="10"/>
        <item x="85"/>
        <item x="261"/>
        <item x="500"/>
        <item x="357"/>
        <item x="52"/>
        <item x="561"/>
        <item x="37"/>
        <item x="342"/>
        <item x="269"/>
        <item x="143"/>
        <item x="230"/>
        <item x="274"/>
        <item x="107"/>
        <item x="161"/>
        <item x="203"/>
        <item x="225"/>
        <item x="382"/>
        <item x="273"/>
        <item x="454"/>
        <item x="507"/>
        <item x="511"/>
        <item x="493"/>
        <item x="103"/>
        <item x="562"/>
        <item x="173"/>
        <item x="154"/>
        <item x="462"/>
        <item x="266"/>
        <item x="234"/>
        <item x="459"/>
        <item x="322"/>
        <item x="214"/>
        <item x="483"/>
        <item x="372"/>
        <item x="236"/>
        <item x="535"/>
        <item x="416"/>
        <item x="423"/>
        <item x="17"/>
        <item x="180"/>
        <item x="313"/>
        <item x="136"/>
        <item x="118"/>
        <item x="219"/>
        <item x="343"/>
        <item x="195"/>
        <item x="192"/>
        <item x="336"/>
        <item x="69"/>
        <item x="427"/>
        <item x="38"/>
        <item x="31"/>
        <item x="473"/>
        <item x="174"/>
        <item x="5"/>
        <item x="548"/>
        <item x="193"/>
        <item x="208"/>
        <item x="475"/>
        <item x="559"/>
        <item x="121"/>
        <item x="221"/>
        <item x="412"/>
        <item x="375"/>
        <item x="402"/>
        <item x="128"/>
        <item x="350"/>
        <item x="287"/>
        <item x="418"/>
        <item x="56"/>
        <item x="142"/>
        <item x="524"/>
        <item x="46"/>
        <item x="417"/>
        <item x="218"/>
        <item x="538"/>
        <item x="276"/>
        <item x="71"/>
        <item x="16"/>
        <item x="508"/>
        <item x="487"/>
        <item x="123"/>
        <item x="33"/>
        <item x="392"/>
        <item x="520"/>
        <item x="356"/>
        <item x="315"/>
        <item x="349"/>
        <item x="488"/>
        <item x="440"/>
        <item x="151"/>
        <item x="158"/>
        <item x="379"/>
        <item x="421"/>
        <item x="73"/>
        <item x="172"/>
        <item x="83"/>
        <item x="492"/>
        <item x="505"/>
        <item x="105"/>
        <item x="446"/>
        <item x="360"/>
        <item x="148"/>
        <item x="355"/>
        <item x="338"/>
        <item x="463"/>
        <item x="370"/>
        <item x="4"/>
        <item x="100"/>
        <item x="8"/>
        <item x="564"/>
        <item x="327"/>
        <item x="303"/>
        <item x="352"/>
        <item x="101"/>
        <item x="519"/>
        <item x="439"/>
        <item x="491"/>
        <item x="401"/>
        <item x="77"/>
        <item x="20"/>
        <item x="181"/>
        <item x="70"/>
        <item x="523"/>
        <item x="503"/>
        <item x="403"/>
        <item x="6"/>
        <item x="307"/>
        <item x="14"/>
        <item x="541"/>
        <item x="332"/>
        <item x="79"/>
        <item x="373"/>
        <item x="95"/>
        <item x="425"/>
        <item x="367"/>
        <item x="54"/>
        <item x="460"/>
        <item x="285"/>
        <item x="253"/>
        <item x="21"/>
        <item x="542"/>
        <item x="145"/>
        <item x="144"/>
        <item x="240"/>
        <item x="45"/>
        <item x="306"/>
        <item x="381"/>
        <item x="444"/>
        <item x="135"/>
        <item x="502"/>
        <item x="72"/>
        <item x="36"/>
        <item x="393"/>
        <item x="177"/>
        <item x="400"/>
        <item x="297"/>
        <item x="556"/>
        <item x="408"/>
        <item x="134"/>
        <item x="175"/>
        <item x="237"/>
        <item x="341"/>
        <item x="353"/>
        <item x="238"/>
        <item x="282"/>
        <item x="468"/>
        <item x="227"/>
        <item x="368"/>
        <item x="263"/>
        <item x="12"/>
        <item x="447"/>
        <item x="250"/>
        <item x="270"/>
        <item x="472"/>
        <item x="442"/>
        <item x="220"/>
        <item x="271"/>
        <item x="390"/>
        <item x="420"/>
        <item x="1"/>
        <item x="97"/>
        <item x="396"/>
        <item x="531"/>
        <item x="410"/>
        <item x="485"/>
        <item x="464"/>
        <item x="248"/>
        <item x="318"/>
        <item x="104"/>
        <item x="112"/>
        <item x="495"/>
        <item x="87"/>
        <item x="484"/>
        <item x="319"/>
        <item x="530"/>
        <item x="522"/>
        <item x="309"/>
        <item x="120"/>
        <item x="258"/>
        <item x="92"/>
        <item x="278"/>
        <item x="479"/>
        <item x="351"/>
        <item x="102"/>
        <item x="147"/>
        <item x="99"/>
        <item x="506"/>
        <item x="549"/>
        <item x="164"/>
        <item x="124"/>
        <item x="509"/>
        <item x="471"/>
        <item x="474"/>
        <item x="387"/>
        <item x="117"/>
        <item x="7"/>
        <item x="281"/>
        <item x="244"/>
        <item x="113"/>
        <item x="398"/>
        <item x="339"/>
        <item x="185"/>
        <item x="139"/>
        <item x="461"/>
        <item x="433"/>
        <item x="284"/>
        <item x="293"/>
        <item x="189"/>
        <item x="209"/>
        <item x="58"/>
        <item x="451"/>
        <item x="465"/>
        <item x="35"/>
        <item x="277"/>
        <item x="391"/>
        <item x="211"/>
        <item x="137"/>
        <item x="344"/>
        <item x="150"/>
        <item x="194"/>
        <item x="450"/>
        <item x="183"/>
        <item x="366"/>
        <item x="438"/>
        <item x="229"/>
        <item x="176"/>
        <item x="489"/>
        <item x="275"/>
        <item x="41"/>
        <item x="374"/>
        <item x="272"/>
        <item x="298"/>
        <item x="572"/>
        <item x="29"/>
        <item x="22"/>
        <item x="380"/>
        <item x="30"/>
        <item x="90"/>
        <item x="419"/>
        <item x="566"/>
        <item x="383"/>
        <item x="91"/>
        <item x="168"/>
        <item x="3"/>
        <item x="312"/>
        <item x="217"/>
        <item x="311"/>
        <item x="333"/>
        <item x="537"/>
        <item x="241"/>
        <item x="320"/>
        <item x="458"/>
        <item x="334"/>
        <item x="498"/>
        <item x="2"/>
        <item x="288"/>
        <item x="435"/>
        <item x="67"/>
        <item x="125"/>
        <item x="255"/>
        <item x="291"/>
        <item x="242"/>
        <item x="567"/>
        <item x="415"/>
        <item x="443"/>
        <item x="317"/>
        <item x="138"/>
        <item x="305"/>
        <item x="449"/>
        <item x="550"/>
        <item x="232"/>
        <item x="466"/>
        <item x="365"/>
        <item x="127"/>
        <item x="568"/>
        <item x="76"/>
        <item x="13"/>
        <item x="532"/>
        <item x="141"/>
        <item x="252"/>
        <item x="434"/>
        <item x="310"/>
        <item x="560"/>
        <item x="106"/>
        <item x="286"/>
        <item x="296"/>
        <item x="536"/>
        <item x="15"/>
        <item x="397"/>
        <item x="501"/>
        <item x="389"/>
        <item x="80"/>
        <item x="32"/>
        <item t="default"/>
      </items>
    </pivotField>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dataField="1" showAll="0"/>
    <pivotField showAll="0"/>
  </pivotFields>
  <rowItems count="1">
    <i/>
  </rowItems>
  <colFields count="1">
    <field x="-2"/>
  </colFields>
  <colItems count="3">
    <i>
      <x/>
    </i>
    <i i="1">
      <x v="1"/>
    </i>
    <i i="2">
      <x v="2"/>
    </i>
  </colItems>
  <dataFields count="3">
    <dataField name="Count of FlightNumber" fld="1" subtotal="count" baseField="0" baseItem="0"/>
    <dataField name="Average of OnTime" fld="14" subtotal="average" baseField="0" baseItem="1" numFmtId="166"/>
    <dataField name="Average of ArrivalDelayMin" fld="7" subtotal="average" baseField="0" baseItem="2" numFmtId="174"/>
  </dataFields>
  <formats count="1">
    <format dxfId="19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131BEF-A0A1-436E-A6C3-F447B51021E0}" autoFormatId="16" applyNumberFormats="0" applyBorderFormats="0" applyFontFormats="0" applyPatternFormats="0" applyAlignmentFormats="0" applyWidthHeightFormats="0">
  <queryTableRefresh nextId="23">
    <queryTableFields count="18">
      <queryTableField id="1" name="FlightID" tableColumnId="1"/>
      <queryTableField id="2" name="FlightDate" tableColumnId="2"/>
      <queryTableField id="3" name="FlightNumber" tableColumnId="3"/>
      <queryTableField id="4" name="Origin" tableColumnId="4"/>
      <queryTableField id="5" name="Destination" tableColumnId="5"/>
      <queryTableField id="6" name="AircraftType" tableColumnId="6"/>
      <queryTableField id="7" name="ScheduledDeparture" tableColumnId="7"/>
      <queryTableField id="8" name="ActualDeparture" tableColumnId="8"/>
      <queryTableField id="10" name="ArrivalDelayMin" tableColumnId="10"/>
      <queryTableField id="11" name="DelayCause" tableColumnId="11"/>
      <queryTableField id="12" name="Status" tableColumnId="12"/>
      <queryTableField id="13" name="DistanceMiles" tableColumnId="13"/>
      <queryTableField id="9" name="DepartureDelayMin" tableColumnId="9"/>
      <queryTableField id="14" name="Month Name" tableColumnId="14"/>
      <queryTableField id="15" name="Day Name" tableColumnId="15"/>
      <queryTableField id="16" name="OnTime" tableColumnId="16"/>
      <queryTableField id="17" name="TimeOfDay" tableColumnId="17"/>
      <queryTableField id="18" name="Controllabl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OfDay" xr10:uid="{4239F0E3-0905-4A0A-90C9-A8860B5690F1}" sourceName="TimeOfDay">
  <pivotTables>
    <pivotTable tabId="7" name="PivotTable4"/>
    <pivotTable tabId="7" name="PivotTable10"/>
    <pivotTable tabId="7" name="PivotTable12"/>
    <pivotTable tabId="7" name="PivotTable14"/>
    <pivotTable tabId="7" name="PivotTable15"/>
    <pivotTable tabId="7" name="PivotTable17"/>
    <pivotTable tabId="7" name="PivotTable5"/>
    <pivotTable tabId="7" name="PivotTable6"/>
    <pivotTable tabId="7" name="PivotTable8"/>
  </pivotTables>
  <data>
    <tabular pivotCacheId="432842583">
      <items count="4">
        <i x="1"/>
        <i x="2"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07C908DA-E3D2-481B-8318-5ED84D64025F}" sourceName="Origin">
  <pivotTables>
    <pivotTable tabId="7" name="PivotTable4"/>
    <pivotTable tabId="7" name="PivotTable10"/>
    <pivotTable tabId="7" name="PivotTable12"/>
    <pivotTable tabId="7" name="PivotTable14"/>
    <pivotTable tabId="7" name="PivotTable15"/>
    <pivotTable tabId="7" name="PivotTable17"/>
    <pivotTable tabId="7" name="PivotTable5"/>
    <pivotTable tabId="7" name="PivotTable6"/>
    <pivotTable tabId="7" name="PivotTable8"/>
  </pivotTables>
  <data>
    <tabular pivotCacheId="432842583">
      <items count="12">
        <i x="7" s="1"/>
        <i x="8"/>
        <i x="5"/>
        <i x="2"/>
        <i x="9"/>
        <i x="3"/>
        <i x="0"/>
        <i x="11"/>
        <i x="1"/>
        <i x="10"/>
        <i x="6"/>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craftType" xr10:uid="{E1449B33-64C6-4259-BDA4-1107CF4ADFF8}" sourceName="AircraftType">
  <pivotTables>
    <pivotTable tabId="7" name="PivotTable4"/>
    <pivotTable tabId="7" name="PivotTable10"/>
    <pivotTable tabId="7" name="PivotTable12"/>
    <pivotTable tabId="7" name="PivotTable14"/>
    <pivotTable tabId="7" name="PivotTable15"/>
    <pivotTable tabId="7" name="PivotTable17"/>
    <pivotTable tabId="7" name="PivotTable5"/>
    <pivotTable tabId="7" name="PivotTable6"/>
    <pivotTable tabId="7" name="PivotTable8"/>
  </pivotTables>
  <data>
    <tabular pivotCacheId="432842583">
      <items count="4">
        <i x="1" s="1"/>
        <i x="0"/>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OfDay" xr10:uid="{88E0FE3F-D0BF-4E1F-AE35-BD15BB42F29E}" cache="Slicer_TimeOfDay" caption="TimeOfDay" columnCount="2" rowHeight="241300"/>
  <slicer name="Origin" xr10:uid="{E7FC86C5-6CD0-48D8-9A8F-A6269ED205B4}" cache="Slicer_Origin" caption="Origin" columnCount="4" rowHeight="241300"/>
  <slicer name="AircraftType" xr10:uid="{ABA27383-17FF-49BF-93C1-8876FC668619}" cache="Slicer_AircraftType" caption="AircraftType" columnCount="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B96284-2BBE-4A44-9B25-23E5E81E57AF}" name="Table9" displayName="Table9" ref="A1:R980" totalsRowShown="0">
  <autoFilter ref="A1:R980" xr:uid="{EBB96284-2BBE-4A44-9B25-23E5E81E57AF}"/>
  <tableColumns count="18">
    <tableColumn id="1" xr3:uid="{8864C5FE-B68E-4D38-9705-18B55AE95705}" name="Column1"/>
    <tableColumn id="2" xr3:uid="{3DC3E8E7-A566-4F70-A688-14D493C59DD0}" name="FlightDate" dataDxfId="195"/>
    <tableColumn id="3" xr3:uid="{BCE64ACA-9161-4982-85E2-8EAF055ACD6D}" name="FlightNumber"/>
    <tableColumn id="4" xr3:uid="{12BFD18C-5FAF-420D-B526-0D541699C724}" name="Origin"/>
    <tableColumn id="5" xr3:uid="{64283142-52DC-42C5-946F-AE15EC32E6BF}" name="Destination"/>
    <tableColumn id="6" xr3:uid="{EF97EBDD-59CC-427D-B980-2C9D1E3E60D2}" name="AircraftType"/>
    <tableColumn id="7" xr3:uid="{EAD9FF8B-6B28-4CE0-A5F6-26E923A97341}" name="ScheduledDeparture"/>
    <tableColumn id="8" xr3:uid="{0931DDD7-8768-434A-A040-D8E59FEF454E}" name="ActualDeparture"/>
    <tableColumn id="9" xr3:uid="{1D7BDD4D-D393-4753-96BE-993E6645A84E}" name="ArrivalDelayMin"/>
    <tableColumn id="10" xr3:uid="{750F1B85-218F-45BD-9BA3-DB89208A055A}" name="DelayCause"/>
    <tableColumn id="11" xr3:uid="{C2ADDBE4-BD29-4740-AEC2-2DACA0B75F63}" name="Status"/>
    <tableColumn id="12" xr3:uid="{363E6EF9-A9E6-43A9-BABD-0ADB5EE10EB4}" name="DistanceMiles"/>
    <tableColumn id="13" xr3:uid="{85CA90FE-BE73-4614-9538-DB3BB15B8030}" name="DepartureDelayMin"/>
    <tableColumn id="14" xr3:uid="{034789CE-24BF-439F-B1A0-5FD775C8E089}" name="Month Name"/>
    <tableColumn id="15" xr3:uid="{FD61209F-CB7F-40F0-8D6E-B67F1536790C}" name="Day Name"/>
    <tableColumn id="16" xr3:uid="{FB78725F-1691-4AA0-89D0-DE4EF654E59B}" name="OnTime"/>
    <tableColumn id="17" xr3:uid="{BC005F39-E873-4E50-8F43-788673C93982}" name="TimeOfDay"/>
    <tableColumn id="18" xr3:uid="{F7976CDA-904D-47B1-88A7-FE97605FA851}" name="Controllabl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69059E-108C-480B-8A77-A8963DD909E1}" name="Table1_2" displayName="Table1_2" ref="A1:R1001" tableType="queryTable" totalsRowShown="0">
  <autoFilter ref="A1:R1001" xr:uid="{5769059E-108C-480B-8A77-A8963DD909E1}"/>
  <tableColumns count="18">
    <tableColumn id="1" xr3:uid="{D7800763-B350-452D-BB1C-46F6D00A52DF}" uniqueName="1" name="Column1" queryTableFieldId="1" dataDxfId="222"/>
    <tableColumn id="2" xr3:uid="{E22FA19F-B397-4E72-8E4C-0C78F35BBB2C}" uniqueName="2" name="FlightDate" queryTableFieldId="2" dataDxfId="221"/>
    <tableColumn id="3" xr3:uid="{9787CBE2-09DF-4180-B0F9-DD85438206BB}" uniqueName="3" name="FlightNumber" queryTableFieldId="3" dataDxfId="220"/>
    <tableColumn id="4" xr3:uid="{D843FBEA-AFB0-4E67-A67D-CAF855E1BF19}" uniqueName="4" name="Origin" queryTableFieldId="4" dataDxfId="219"/>
    <tableColumn id="5" xr3:uid="{39952201-9FCA-444F-BE17-4F560DC4DDC8}" uniqueName="5" name="Destination" queryTableFieldId="5" dataDxfId="218"/>
    <tableColumn id="6" xr3:uid="{8D3FE8DE-F5AC-4902-BA93-FEB426039386}" uniqueName="6" name="AircraftType" queryTableFieldId="6" dataDxfId="217"/>
    <tableColumn id="7" xr3:uid="{2C3FA62A-F057-4D72-AB4F-328240802250}" uniqueName="7" name="ScheduledDeparture" queryTableFieldId="7"/>
    <tableColumn id="8" xr3:uid="{E40556C5-D1ED-4B3F-B03D-3A082BAC1BE8}" uniqueName="8" name="ActualDeparture" queryTableFieldId="8"/>
    <tableColumn id="10" xr3:uid="{26502822-9A46-440F-89EC-E97C797D3615}" uniqueName="10" name="ArrivalDelayMin" queryTableFieldId="10"/>
    <tableColumn id="11" xr3:uid="{EA7BD081-B028-42B9-8D34-C193DC993DA0}" uniqueName="11" name="DelayCause" queryTableFieldId="11" dataDxfId="216"/>
    <tableColumn id="12" xr3:uid="{319E7714-B120-4BB7-8293-FAF6148CFDE9}" uniqueName="12" name="Status" queryTableFieldId="12" dataDxfId="215"/>
    <tableColumn id="13" xr3:uid="{BCB13B23-8F95-4BE9-9C0E-FDAC92341CC8}" uniqueName="13" name="DistanceMiles" queryTableFieldId="13"/>
    <tableColumn id="9" xr3:uid="{18467DAC-A4A8-48E0-91D9-DAB99FE606D7}" uniqueName="9" name="DepartureDelayMin" queryTableFieldId="9" dataDxfId="214"/>
    <tableColumn id="14" xr3:uid="{8041DBE8-0499-4236-B7BC-870BEF4BFC34}" uniqueName="14" name="Month Name" queryTableFieldId="14" dataDxfId="213"/>
    <tableColumn id="15" xr3:uid="{6DFE7C5A-8BFC-4E88-BB96-A8F20F81C7D4}" uniqueName="15" name="Day Name" queryTableFieldId="15" dataDxfId="212"/>
    <tableColumn id="16" xr3:uid="{C1652AE6-99B4-465A-B227-C3F5CBA0D16E}" uniqueName="16" name="OnTime" queryTableFieldId="16"/>
    <tableColumn id="17" xr3:uid="{45F3D264-A272-43DF-8999-230835478FF4}" uniqueName="17" name="TimeOfDay" queryTableFieldId="17"/>
    <tableColumn id="18" xr3:uid="{544290F0-188C-454C-BE4C-949045564B89}" uniqueName="18" name="Controllabl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880F2E-7380-482B-8A41-11DDF7FC278F}" name="Table1" displayName="Table1" ref="A1:M1013" totalsRowShown="0" headerRowDxfId="211" dataDxfId="210">
  <autoFilter ref="A1:M1013" xr:uid="{A1880F2E-7380-482B-8A41-11DDF7FC278F}"/>
  <tableColumns count="13">
    <tableColumn id="1" xr3:uid="{BB20CEAA-EBA7-4918-BE8E-B8B8B730C3DF}" name="FlightID" dataDxfId="209"/>
    <tableColumn id="2" xr3:uid="{DD9481A4-600E-43BA-95C8-0B21B501139A}" name="FlightDate" dataDxfId="208"/>
    <tableColumn id="3" xr3:uid="{6DF52480-8B87-43CF-857E-F68B3012D20C}" name="FlightNumber" dataDxfId="207"/>
    <tableColumn id="4" xr3:uid="{ADB8765E-51CD-411B-9782-3363A013E8D9}" name="Origin" dataDxfId="206"/>
    <tableColumn id="5" xr3:uid="{F6F67D5B-D636-4346-86B2-0C0D10945DC7}" name="Destination" dataDxfId="205"/>
    <tableColumn id="6" xr3:uid="{DE36C645-4F03-48FB-9BF7-D3BAFA9F9E46}" name="AircraftType" dataDxfId="204"/>
    <tableColumn id="7" xr3:uid="{5993D51F-5A0E-4129-B841-09A5EFFB63F5}" name="ScheduledDeparture" dataDxfId="203"/>
    <tableColumn id="8" xr3:uid="{A5372162-BECA-4855-8E46-8270EDAAB3A8}" name="ActualDeparture" dataDxfId="202"/>
    <tableColumn id="9" xr3:uid="{A900D783-6953-4CE4-9C5C-2326048970DE}" name="DepartureDelayMin" dataDxfId="201"/>
    <tableColumn id="10" xr3:uid="{925F8B02-7200-49A1-9C1A-AD8307AE49C9}" name="ArrivalDelayMin" dataDxfId="200"/>
    <tableColumn id="11" xr3:uid="{17625623-DADE-4253-A0C9-B50E82FBA50D}" name="DelayCause" dataDxfId="199"/>
    <tableColumn id="12" xr3:uid="{85887E6B-8DE9-4E9A-BB1B-ED488CDD72A3}" name="Status" dataDxfId="198"/>
    <tableColumn id="13" xr3:uid="{C3FE4DEF-4B01-4F23-A0E8-D004EB7B91D1}" name="DistanceMiles" dataDxfId="19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456C-395F-497A-81F8-8897C801985E}">
  <dimension ref="A1:R980"/>
  <sheetViews>
    <sheetView workbookViewId="0">
      <selection sqref="A1:R980"/>
    </sheetView>
  </sheetViews>
  <sheetFormatPr defaultRowHeight="14.5" x14ac:dyDescent="0.35"/>
  <cols>
    <col min="1" max="1" width="10.26953125" customWidth="1"/>
    <col min="2" max="2" width="11.36328125" customWidth="1"/>
    <col min="3" max="3" width="14.1796875" customWidth="1"/>
    <col min="5" max="5" width="12.54296875" customWidth="1"/>
    <col min="6" max="6" width="13.08984375" customWidth="1"/>
    <col min="7" max="7" width="20" customWidth="1"/>
    <col min="8" max="8" width="16.7265625" customWidth="1"/>
    <col min="9" max="9" width="16.1796875" customWidth="1"/>
    <col min="10" max="10" width="12.453125" customWidth="1"/>
    <col min="12" max="12" width="14.453125" customWidth="1"/>
    <col min="13" max="13" width="19.36328125" customWidth="1"/>
    <col min="14" max="14" width="13.90625" customWidth="1"/>
    <col min="15" max="15" width="11.36328125" customWidth="1"/>
    <col min="16" max="16" width="9.36328125" customWidth="1"/>
    <col min="17" max="17" width="12.08984375" customWidth="1"/>
    <col min="18" max="18" width="13.08984375" customWidth="1"/>
  </cols>
  <sheetData>
    <row r="1" spans="1:18" x14ac:dyDescent="0.35">
      <c r="A1" t="s">
        <v>1682</v>
      </c>
      <c r="B1" t="s">
        <v>1</v>
      </c>
      <c r="C1" t="s">
        <v>2</v>
      </c>
      <c r="D1" t="s">
        <v>3</v>
      </c>
      <c r="E1" t="s">
        <v>4</v>
      </c>
      <c r="F1" t="s">
        <v>5</v>
      </c>
      <c r="G1" t="s">
        <v>6</v>
      </c>
      <c r="H1" t="s">
        <v>7</v>
      </c>
      <c r="I1" t="s">
        <v>9</v>
      </c>
      <c r="J1" t="s">
        <v>10</v>
      </c>
      <c r="K1" t="s">
        <v>11</v>
      </c>
      <c r="L1" t="s">
        <v>12</v>
      </c>
      <c r="M1" t="s">
        <v>8</v>
      </c>
      <c r="N1" t="s">
        <v>1653</v>
      </c>
      <c r="O1" t="s">
        <v>1654</v>
      </c>
      <c r="P1" t="s">
        <v>1655</v>
      </c>
      <c r="Q1" t="s">
        <v>1656</v>
      </c>
      <c r="R1" t="s">
        <v>1657</v>
      </c>
    </row>
    <row r="2" spans="1:18" x14ac:dyDescent="0.35">
      <c r="A2" t="s">
        <v>13</v>
      </c>
      <c r="B2" s="19">
        <v>45901</v>
      </c>
      <c r="C2" t="s">
        <v>14</v>
      </c>
      <c r="D2" t="s">
        <v>413</v>
      </c>
      <c r="E2" t="s">
        <v>71</v>
      </c>
      <c r="F2" t="s">
        <v>17</v>
      </c>
      <c r="G2">
        <v>0.28819444444444442</v>
      </c>
      <c r="H2">
        <v>0.28680555555555548</v>
      </c>
      <c r="I2">
        <v>-12</v>
      </c>
      <c r="J2" t="s">
        <v>18</v>
      </c>
      <c r="K2" t="s">
        <v>19</v>
      </c>
      <c r="L2">
        <v>1742</v>
      </c>
      <c r="M2">
        <v>-2</v>
      </c>
      <c r="N2" t="s">
        <v>1658</v>
      </c>
      <c r="O2" t="s">
        <v>1659</v>
      </c>
      <c r="P2">
        <v>1</v>
      </c>
      <c r="Q2" t="s">
        <v>1660</v>
      </c>
    </row>
    <row r="3" spans="1:18" x14ac:dyDescent="0.35">
      <c r="A3" t="s">
        <v>20</v>
      </c>
      <c r="B3" s="19">
        <v>45901</v>
      </c>
      <c r="C3" t="s">
        <v>21</v>
      </c>
      <c r="D3" t="s">
        <v>197</v>
      </c>
      <c r="E3" t="s">
        <v>226</v>
      </c>
      <c r="F3" t="s">
        <v>24</v>
      </c>
      <c r="G3">
        <v>0.375</v>
      </c>
      <c r="H3">
        <v>0.38333333333333341</v>
      </c>
      <c r="I3">
        <v>22</v>
      </c>
      <c r="J3" t="s">
        <v>18</v>
      </c>
      <c r="K3" t="s">
        <v>19</v>
      </c>
      <c r="L3">
        <v>1622</v>
      </c>
      <c r="M3">
        <v>12</v>
      </c>
      <c r="N3" t="s">
        <v>1658</v>
      </c>
      <c r="O3" t="s">
        <v>1659</v>
      </c>
      <c r="P3">
        <v>0</v>
      </c>
      <c r="Q3" t="s">
        <v>1660</v>
      </c>
    </row>
    <row r="4" spans="1:18" x14ac:dyDescent="0.35">
      <c r="A4" t="s">
        <v>25</v>
      </c>
      <c r="B4" s="19">
        <v>45901</v>
      </c>
      <c r="C4" t="s">
        <v>26</v>
      </c>
      <c r="D4" t="s">
        <v>588</v>
      </c>
      <c r="E4" t="s">
        <v>413</v>
      </c>
      <c r="F4" t="s">
        <v>28</v>
      </c>
      <c r="G4">
        <v>0.40625</v>
      </c>
      <c r="H4">
        <v>0.40486111111111112</v>
      </c>
      <c r="I4">
        <v>-3</v>
      </c>
      <c r="J4" t="s">
        <v>18</v>
      </c>
      <c r="K4" t="s">
        <v>19</v>
      </c>
      <c r="L4">
        <v>1232</v>
      </c>
      <c r="M4">
        <v>-2</v>
      </c>
      <c r="N4" t="s">
        <v>1658</v>
      </c>
      <c r="O4" t="s">
        <v>1659</v>
      </c>
      <c r="P4">
        <v>1</v>
      </c>
      <c r="Q4" t="s">
        <v>1660</v>
      </c>
    </row>
    <row r="5" spans="1:18" x14ac:dyDescent="0.35">
      <c r="A5" t="s">
        <v>29</v>
      </c>
      <c r="B5" s="19">
        <v>45902</v>
      </c>
      <c r="C5" t="s">
        <v>30</v>
      </c>
      <c r="D5" t="s">
        <v>546</v>
      </c>
      <c r="E5" t="s">
        <v>197</v>
      </c>
      <c r="F5" t="s">
        <v>17</v>
      </c>
      <c r="G5">
        <v>0.44444444444444442</v>
      </c>
      <c r="H5">
        <v>0.44166666666666671</v>
      </c>
      <c r="I5">
        <v>4</v>
      </c>
      <c r="J5" t="s">
        <v>18</v>
      </c>
      <c r="K5" t="s">
        <v>19</v>
      </c>
      <c r="L5">
        <v>2243</v>
      </c>
      <c r="M5">
        <v>-4</v>
      </c>
      <c r="N5" t="s">
        <v>1658</v>
      </c>
      <c r="O5" t="s">
        <v>1661</v>
      </c>
      <c r="P5">
        <v>1</v>
      </c>
      <c r="Q5" t="s">
        <v>1660</v>
      </c>
    </row>
    <row r="6" spans="1:18" x14ac:dyDescent="0.35">
      <c r="A6" t="s">
        <v>33</v>
      </c>
      <c r="B6" s="19">
        <v>45903</v>
      </c>
      <c r="C6" t="s">
        <v>34</v>
      </c>
      <c r="D6" t="s">
        <v>197</v>
      </c>
      <c r="E6" t="s">
        <v>226</v>
      </c>
      <c r="F6" t="s">
        <v>17</v>
      </c>
      <c r="G6">
        <v>0.26041666666666669</v>
      </c>
      <c r="H6">
        <v>0.26180555555555562</v>
      </c>
      <c r="I6">
        <v>-1</v>
      </c>
      <c r="J6" t="s">
        <v>18</v>
      </c>
      <c r="K6" t="s">
        <v>19</v>
      </c>
      <c r="L6">
        <v>1622</v>
      </c>
      <c r="M6">
        <v>2</v>
      </c>
      <c r="N6" t="s">
        <v>1658</v>
      </c>
      <c r="O6" t="s">
        <v>1662</v>
      </c>
      <c r="P6">
        <v>1</v>
      </c>
      <c r="Q6" t="s">
        <v>1660</v>
      </c>
    </row>
    <row r="7" spans="1:18" x14ac:dyDescent="0.35">
      <c r="A7" t="s">
        <v>35</v>
      </c>
      <c r="B7" s="19">
        <v>45903</v>
      </c>
      <c r="C7" t="s">
        <v>36</v>
      </c>
      <c r="D7" t="s">
        <v>84</v>
      </c>
      <c r="E7" t="s">
        <v>197</v>
      </c>
      <c r="F7" t="s">
        <v>38</v>
      </c>
      <c r="G7">
        <v>0.41319444444444442</v>
      </c>
      <c r="H7">
        <v>0.41944444444444451</v>
      </c>
      <c r="I7">
        <v>-2</v>
      </c>
      <c r="J7" t="s">
        <v>18</v>
      </c>
      <c r="K7" t="s">
        <v>19</v>
      </c>
      <c r="L7">
        <v>2415</v>
      </c>
      <c r="M7">
        <v>9</v>
      </c>
      <c r="N7" t="s">
        <v>1658</v>
      </c>
      <c r="O7" t="s">
        <v>1662</v>
      </c>
      <c r="P7">
        <v>1</v>
      </c>
      <c r="Q7" t="s">
        <v>1660</v>
      </c>
    </row>
    <row r="8" spans="1:18" x14ac:dyDescent="0.35">
      <c r="A8" t="s">
        <v>39</v>
      </c>
      <c r="B8" s="19">
        <v>45903</v>
      </c>
      <c r="C8" t="s">
        <v>40</v>
      </c>
      <c r="D8" t="s">
        <v>71</v>
      </c>
      <c r="E8" t="s">
        <v>202</v>
      </c>
      <c r="F8" t="s">
        <v>38</v>
      </c>
      <c r="G8">
        <v>0.44791666666666669</v>
      </c>
      <c r="H8">
        <v>0.45624999999999999</v>
      </c>
      <c r="I8">
        <v>2</v>
      </c>
      <c r="J8" t="s">
        <v>18</v>
      </c>
      <c r="K8" t="s">
        <v>19</v>
      </c>
      <c r="L8">
        <v>1199</v>
      </c>
      <c r="M8">
        <v>12</v>
      </c>
      <c r="N8" t="s">
        <v>1658</v>
      </c>
      <c r="O8" t="s">
        <v>1662</v>
      </c>
      <c r="P8">
        <v>1</v>
      </c>
      <c r="Q8" t="s">
        <v>1660</v>
      </c>
    </row>
    <row r="9" spans="1:18" x14ac:dyDescent="0.35">
      <c r="A9" t="s">
        <v>42</v>
      </c>
      <c r="B9" s="19">
        <v>45903</v>
      </c>
      <c r="C9" t="s">
        <v>43</v>
      </c>
      <c r="D9" t="s">
        <v>546</v>
      </c>
      <c r="E9" t="s">
        <v>1549</v>
      </c>
      <c r="F9" t="s">
        <v>28</v>
      </c>
      <c r="G9">
        <v>0.51736111111111116</v>
      </c>
      <c r="H9">
        <v>0.51597222222222228</v>
      </c>
      <c r="I9">
        <v>1</v>
      </c>
      <c r="J9" t="s">
        <v>18</v>
      </c>
      <c r="K9" t="s">
        <v>19</v>
      </c>
      <c r="L9">
        <v>2375</v>
      </c>
      <c r="M9">
        <v>-2</v>
      </c>
      <c r="N9" t="s">
        <v>1658</v>
      </c>
      <c r="O9" t="s">
        <v>1662</v>
      </c>
      <c r="P9">
        <v>1</v>
      </c>
      <c r="Q9" t="s">
        <v>1663</v>
      </c>
    </row>
    <row r="10" spans="1:18" x14ac:dyDescent="0.35">
      <c r="A10" t="s">
        <v>45</v>
      </c>
      <c r="B10" s="19">
        <v>45904</v>
      </c>
      <c r="C10" t="s">
        <v>46</v>
      </c>
      <c r="D10" t="s">
        <v>1295</v>
      </c>
      <c r="E10" t="s">
        <v>226</v>
      </c>
      <c r="F10" t="s">
        <v>28</v>
      </c>
      <c r="G10">
        <v>0.27430555555555558</v>
      </c>
      <c r="H10">
        <v>0.27152777777777781</v>
      </c>
      <c r="I10">
        <v>-10</v>
      </c>
      <c r="J10" t="s">
        <v>18</v>
      </c>
      <c r="K10" t="s">
        <v>19</v>
      </c>
      <c r="L10">
        <v>965</v>
      </c>
      <c r="M10">
        <v>-4</v>
      </c>
      <c r="N10" t="s">
        <v>1658</v>
      </c>
      <c r="O10" t="s">
        <v>1664</v>
      </c>
      <c r="P10">
        <v>1</v>
      </c>
      <c r="Q10" t="s">
        <v>1660</v>
      </c>
    </row>
    <row r="11" spans="1:18" x14ac:dyDescent="0.35">
      <c r="A11" t="s">
        <v>48</v>
      </c>
      <c r="B11" s="19">
        <v>45904</v>
      </c>
      <c r="C11" t="s">
        <v>49</v>
      </c>
      <c r="D11" t="s">
        <v>79</v>
      </c>
      <c r="E11" t="s">
        <v>588</v>
      </c>
      <c r="F11" t="s">
        <v>38</v>
      </c>
      <c r="G11">
        <v>0.34722222222222221</v>
      </c>
      <c r="H11">
        <v>0.35555555555555562</v>
      </c>
      <c r="I11">
        <v>21</v>
      </c>
      <c r="J11" t="s">
        <v>18</v>
      </c>
      <c r="K11" t="s">
        <v>19</v>
      </c>
      <c r="L11">
        <v>730</v>
      </c>
      <c r="M11">
        <v>12</v>
      </c>
      <c r="N11" t="s">
        <v>1658</v>
      </c>
      <c r="O11" t="s">
        <v>1664</v>
      </c>
      <c r="P11">
        <v>0</v>
      </c>
      <c r="Q11" t="s">
        <v>1660</v>
      </c>
    </row>
    <row r="12" spans="1:18" x14ac:dyDescent="0.35">
      <c r="A12" t="s">
        <v>52</v>
      </c>
      <c r="B12" s="19">
        <v>45904</v>
      </c>
      <c r="C12" t="s">
        <v>53</v>
      </c>
      <c r="D12" t="s">
        <v>413</v>
      </c>
      <c r="E12" t="s">
        <v>197</v>
      </c>
      <c r="F12" t="s">
        <v>17</v>
      </c>
      <c r="G12">
        <v>0.55555555555555558</v>
      </c>
      <c r="H12">
        <v>0.60972222222222228</v>
      </c>
      <c r="I12">
        <v>76</v>
      </c>
      <c r="J12" t="s">
        <v>54</v>
      </c>
      <c r="K12" t="s">
        <v>19</v>
      </c>
      <c r="L12">
        <v>2470</v>
      </c>
      <c r="M12">
        <v>78</v>
      </c>
      <c r="N12" t="s">
        <v>1658</v>
      </c>
      <c r="O12" t="s">
        <v>1664</v>
      </c>
      <c r="P12">
        <v>0</v>
      </c>
      <c r="Q12" t="s">
        <v>1663</v>
      </c>
      <c r="R12" t="s">
        <v>1657</v>
      </c>
    </row>
    <row r="13" spans="1:18" x14ac:dyDescent="0.35">
      <c r="A13" t="s">
        <v>55</v>
      </c>
      <c r="B13" s="19">
        <v>45904</v>
      </c>
      <c r="C13" t="s">
        <v>56</v>
      </c>
      <c r="D13" t="s">
        <v>413</v>
      </c>
      <c r="E13" t="s">
        <v>588</v>
      </c>
      <c r="F13" t="s">
        <v>17</v>
      </c>
      <c r="G13">
        <v>0.57291666666666663</v>
      </c>
      <c r="H13">
        <v>0.56944444444444442</v>
      </c>
      <c r="I13">
        <v>0</v>
      </c>
      <c r="J13" t="s">
        <v>18</v>
      </c>
      <c r="K13" t="s">
        <v>19</v>
      </c>
      <c r="L13">
        <v>1232</v>
      </c>
      <c r="M13">
        <v>-5</v>
      </c>
      <c r="N13" t="s">
        <v>1658</v>
      </c>
      <c r="O13" t="s">
        <v>1664</v>
      </c>
      <c r="P13">
        <v>1</v>
      </c>
      <c r="Q13" t="s">
        <v>1663</v>
      </c>
    </row>
    <row r="14" spans="1:18" x14ac:dyDescent="0.35">
      <c r="A14" t="s">
        <v>57</v>
      </c>
      <c r="B14" s="19">
        <v>45904</v>
      </c>
      <c r="C14" t="s">
        <v>58</v>
      </c>
      <c r="D14" t="s">
        <v>79</v>
      </c>
      <c r="E14" t="s">
        <v>1549</v>
      </c>
      <c r="F14" t="s">
        <v>24</v>
      </c>
      <c r="G14">
        <v>0.80555555555555558</v>
      </c>
      <c r="H14">
        <v>0.81736111111111109</v>
      </c>
      <c r="I14">
        <v>23</v>
      </c>
      <c r="J14" t="s">
        <v>60</v>
      </c>
      <c r="K14" t="s">
        <v>19</v>
      </c>
      <c r="L14">
        <v>945</v>
      </c>
      <c r="M14">
        <v>17</v>
      </c>
      <c r="N14" t="s">
        <v>1658</v>
      </c>
      <c r="O14" t="s">
        <v>1664</v>
      </c>
      <c r="P14">
        <v>0</v>
      </c>
      <c r="Q14" t="s">
        <v>1665</v>
      </c>
      <c r="R14" t="s">
        <v>1657</v>
      </c>
    </row>
    <row r="15" spans="1:18" x14ac:dyDescent="0.35">
      <c r="A15" t="s">
        <v>61</v>
      </c>
      <c r="B15" s="19">
        <v>45904</v>
      </c>
      <c r="C15" t="s">
        <v>62</v>
      </c>
      <c r="D15" t="s">
        <v>197</v>
      </c>
      <c r="E15" t="s">
        <v>413</v>
      </c>
      <c r="F15" t="s">
        <v>28</v>
      </c>
      <c r="G15">
        <v>0.82638888888888884</v>
      </c>
      <c r="H15">
        <v>0.83472222222222225</v>
      </c>
      <c r="I15">
        <v>13</v>
      </c>
      <c r="J15" t="s">
        <v>18</v>
      </c>
      <c r="K15" t="s">
        <v>19</v>
      </c>
      <c r="L15">
        <v>2470</v>
      </c>
      <c r="M15">
        <v>12</v>
      </c>
      <c r="N15" t="s">
        <v>1658</v>
      </c>
      <c r="O15" t="s">
        <v>1664</v>
      </c>
      <c r="P15">
        <v>1</v>
      </c>
      <c r="Q15" t="s">
        <v>1665</v>
      </c>
    </row>
    <row r="16" spans="1:18" x14ac:dyDescent="0.35">
      <c r="A16" t="s">
        <v>63</v>
      </c>
      <c r="B16" s="19">
        <v>45905</v>
      </c>
      <c r="C16" t="s">
        <v>64</v>
      </c>
      <c r="D16" t="s">
        <v>197</v>
      </c>
      <c r="E16" t="s">
        <v>79</v>
      </c>
      <c r="F16" t="s">
        <v>24</v>
      </c>
      <c r="G16">
        <v>0.58680555555555558</v>
      </c>
      <c r="H16">
        <v>0.59444444444444444</v>
      </c>
      <c r="I16">
        <v>2</v>
      </c>
      <c r="J16" t="s">
        <v>18</v>
      </c>
      <c r="K16" t="s">
        <v>19</v>
      </c>
      <c r="L16">
        <v>759</v>
      </c>
      <c r="M16">
        <v>11</v>
      </c>
      <c r="N16" t="s">
        <v>1658</v>
      </c>
      <c r="O16" t="s">
        <v>1666</v>
      </c>
      <c r="P16">
        <v>1</v>
      </c>
      <c r="Q16" t="s">
        <v>1663</v>
      </c>
    </row>
    <row r="17" spans="1:18" x14ac:dyDescent="0.35">
      <c r="A17" t="s">
        <v>65</v>
      </c>
      <c r="B17" s="19">
        <v>45905</v>
      </c>
      <c r="C17" t="s">
        <v>66</v>
      </c>
      <c r="D17" t="s">
        <v>1295</v>
      </c>
      <c r="E17" t="s">
        <v>79</v>
      </c>
      <c r="F17" t="s">
        <v>38</v>
      </c>
      <c r="G17">
        <v>0.69097222222222221</v>
      </c>
      <c r="I17">
        <v>10</v>
      </c>
      <c r="J17" t="s">
        <v>18</v>
      </c>
      <c r="K17" t="s">
        <v>19</v>
      </c>
      <c r="L17">
        <v>2134</v>
      </c>
      <c r="M17">
        <v>6</v>
      </c>
      <c r="N17" t="s">
        <v>1658</v>
      </c>
      <c r="O17" t="s">
        <v>1666</v>
      </c>
      <c r="P17">
        <v>1</v>
      </c>
      <c r="Q17" t="s">
        <v>1663</v>
      </c>
    </row>
    <row r="18" spans="1:18" x14ac:dyDescent="0.35">
      <c r="A18" t="s">
        <v>67</v>
      </c>
      <c r="B18" s="19">
        <v>45906</v>
      </c>
      <c r="C18" t="s">
        <v>68</v>
      </c>
      <c r="D18" t="s">
        <v>1549</v>
      </c>
      <c r="E18" t="s">
        <v>413</v>
      </c>
      <c r="F18" t="s">
        <v>28</v>
      </c>
      <c r="G18">
        <v>0.52777777777777779</v>
      </c>
      <c r="H18">
        <v>0.52222222222222225</v>
      </c>
      <c r="I18">
        <v>-13</v>
      </c>
      <c r="J18" t="s">
        <v>18</v>
      </c>
      <c r="K18" t="s">
        <v>19</v>
      </c>
      <c r="L18">
        <v>2606</v>
      </c>
      <c r="M18">
        <v>-8</v>
      </c>
      <c r="N18" t="s">
        <v>1658</v>
      </c>
      <c r="O18" t="s">
        <v>1667</v>
      </c>
      <c r="P18">
        <v>1</v>
      </c>
      <c r="Q18" t="s">
        <v>1663</v>
      </c>
    </row>
    <row r="19" spans="1:18" x14ac:dyDescent="0.35">
      <c r="A19" t="s">
        <v>69</v>
      </c>
      <c r="B19" s="19">
        <v>45906</v>
      </c>
      <c r="C19" t="s">
        <v>70</v>
      </c>
      <c r="D19" t="s">
        <v>226</v>
      </c>
      <c r="E19" t="s">
        <v>71</v>
      </c>
      <c r="F19" t="s">
        <v>38</v>
      </c>
      <c r="G19">
        <v>0.56944444444444442</v>
      </c>
      <c r="H19">
        <v>0.56527777777777777</v>
      </c>
      <c r="I19">
        <v>-13</v>
      </c>
      <c r="J19" t="s">
        <v>18</v>
      </c>
      <c r="K19" t="s">
        <v>19</v>
      </c>
      <c r="L19">
        <v>886</v>
      </c>
      <c r="M19">
        <v>-6</v>
      </c>
      <c r="N19" t="s">
        <v>1658</v>
      </c>
      <c r="O19" t="s">
        <v>1667</v>
      </c>
      <c r="P19">
        <v>1</v>
      </c>
      <c r="Q19" t="s">
        <v>1663</v>
      </c>
    </row>
    <row r="20" spans="1:18" x14ac:dyDescent="0.35">
      <c r="A20" t="s">
        <v>72</v>
      </c>
      <c r="B20" s="19">
        <v>45906</v>
      </c>
      <c r="C20" t="s">
        <v>73</v>
      </c>
      <c r="D20" t="s">
        <v>226</v>
      </c>
      <c r="E20" t="s">
        <v>71</v>
      </c>
      <c r="F20" t="s">
        <v>17</v>
      </c>
      <c r="G20">
        <v>0.72569444444444442</v>
      </c>
      <c r="H20">
        <v>0.73055555555555551</v>
      </c>
      <c r="I20">
        <v>-2</v>
      </c>
      <c r="J20" t="s">
        <v>18</v>
      </c>
      <c r="K20" t="s">
        <v>19</v>
      </c>
      <c r="L20">
        <v>886</v>
      </c>
      <c r="M20">
        <v>7</v>
      </c>
      <c r="N20" t="s">
        <v>1658</v>
      </c>
      <c r="O20" t="s">
        <v>1667</v>
      </c>
      <c r="P20">
        <v>1</v>
      </c>
      <c r="Q20" t="s">
        <v>1665</v>
      </c>
    </row>
    <row r="21" spans="1:18" x14ac:dyDescent="0.35">
      <c r="A21" t="s">
        <v>74</v>
      </c>
      <c r="B21" s="19">
        <v>45907</v>
      </c>
      <c r="C21" t="s">
        <v>75</v>
      </c>
      <c r="D21" t="s">
        <v>546</v>
      </c>
      <c r="E21" t="s">
        <v>197</v>
      </c>
      <c r="F21" t="s">
        <v>28</v>
      </c>
      <c r="G21">
        <v>0.375</v>
      </c>
      <c r="H21">
        <v>0.38055555555555548</v>
      </c>
      <c r="I21">
        <v>-1</v>
      </c>
      <c r="J21" t="s">
        <v>18</v>
      </c>
      <c r="K21" t="s">
        <v>19</v>
      </c>
      <c r="L21">
        <v>2243</v>
      </c>
      <c r="M21">
        <v>8</v>
      </c>
      <c r="N21" t="s">
        <v>1658</v>
      </c>
      <c r="O21" t="s">
        <v>1668</v>
      </c>
      <c r="P21">
        <v>1</v>
      </c>
      <c r="Q21" t="s">
        <v>1660</v>
      </c>
    </row>
    <row r="22" spans="1:18" x14ac:dyDescent="0.35">
      <c r="A22" t="s">
        <v>76</v>
      </c>
      <c r="B22" s="19">
        <v>45908</v>
      </c>
      <c r="C22" t="s">
        <v>77</v>
      </c>
      <c r="D22" t="s">
        <v>1171</v>
      </c>
      <c r="E22" t="s">
        <v>79</v>
      </c>
      <c r="F22" t="s">
        <v>17</v>
      </c>
      <c r="G22">
        <v>0.47569444444444442</v>
      </c>
      <c r="H22">
        <v>0.47152777777777782</v>
      </c>
      <c r="I22">
        <v>-9</v>
      </c>
      <c r="J22" t="s">
        <v>18</v>
      </c>
      <c r="K22" t="s">
        <v>19</v>
      </c>
      <c r="L22">
        <v>1584</v>
      </c>
      <c r="M22">
        <v>-6</v>
      </c>
      <c r="N22" t="s">
        <v>1658</v>
      </c>
      <c r="O22" t="s">
        <v>1659</v>
      </c>
      <c r="P22">
        <v>1</v>
      </c>
      <c r="Q22" t="s">
        <v>1660</v>
      </c>
    </row>
    <row r="23" spans="1:18" x14ac:dyDescent="0.35">
      <c r="A23" t="s">
        <v>80</v>
      </c>
      <c r="B23" s="19">
        <v>45908</v>
      </c>
      <c r="C23" t="s">
        <v>81</v>
      </c>
      <c r="D23" t="s">
        <v>588</v>
      </c>
      <c r="E23" t="s">
        <v>226</v>
      </c>
      <c r="F23" t="s">
        <v>38</v>
      </c>
      <c r="G23">
        <v>0.63541666666666663</v>
      </c>
      <c r="I23">
        <v>-9</v>
      </c>
      <c r="J23" t="s">
        <v>18</v>
      </c>
      <c r="K23" t="s">
        <v>19</v>
      </c>
      <c r="L23">
        <v>641</v>
      </c>
      <c r="M23">
        <v>0</v>
      </c>
      <c r="N23" t="s">
        <v>1658</v>
      </c>
      <c r="O23" t="s">
        <v>1659</v>
      </c>
      <c r="P23">
        <v>1</v>
      </c>
      <c r="Q23" t="s">
        <v>1663</v>
      </c>
    </row>
    <row r="24" spans="1:18" x14ac:dyDescent="0.35">
      <c r="A24" t="s">
        <v>82</v>
      </c>
      <c r="B24" s="19">
        <v>45908</v>
      </c>
      <c r="C24" t="s">
        <v>83</v>
      </c>
      <c r="D24" t="s">
        <v>84</v>
      </c>
      <c r="E24" t="s">
        <v>71</v>
      </c>
      <c r="F24" t="s">
        <v>24</v>
      </c>
      <c r="G24">
        <v>0.81597222222222221</v>
      </c>
      <c r="H24">
        <v>0.81874999999999998</v>
      </c>
      <c r="J24" t="s">
        <v>18</v>
      </c>
      <c r="K24" t="s">
        <v>19</v>
      </c>
      <c r="L24">
        <v>1717</v>
      </c>
      <c r="M24">
        <v>4</v>
      </c>
      <c r="N24" t="s">
        <v>1658</v>
      </c>
      <c r="O24" t="s">
        <v>1659</v>
      </c>
      <c r="Q24" t="s">
        <v>1665</v>
      </c>
    </row>
    <row r="25" spans="1:18" x14ac:dyDescent="0.35">
      <c r="A25" t="s">
        <v>85</v>
      </c>
      <c r="B25" s="19">
        <v>45909</v>
      </c>
      <c r="C25" t="s">
        <v>86</v>
      </c>
      <c r="D25" t="s">
        <v>1171</v>
      </c>
      <c r="E25" t="s">
        <v>1549</v>
      </c>
      <c r="F25" t="s">
        <v>28</v>
      </c>
      <c r="G25">
        <v>0.40972222222222221</v>
      </c>
      <c r="H25">
        <v>0.5229166666666667</v>
      </c>
      <c r="I25">
        <v>160</v>
      </c>
      <c r="J25" t="s">
        <v>60</v>
      </c>
      <c r="K25" t="s">
        <v>19</v>
      </c>
      <c r="L25">
        <v>2295</v>
      </c>
      <c r="M25">
        <v>163</v>
      </c>
      <c r="N25" t="s">
        <v>1658</v>
      </c>
      <c r="O25" t="s">
        <v>1661</v>
      </c>
      <c r="P25">
        <v>0</v>
      </c>
      <c r="Q25" t="s">
        <v>1660</v>
      </c>
      <c r="R25" t="s">
        <v>1657</v>
      </c>
    </row>
    <row r="26" spans="1:18" x14ac:dyDescent="0.35">
      <c r="A26" t="s">
        <v>87</v>
      </c>
      <c r="B26" s="19">
        <v>45909</v>
      </c>
      <c r="C26" t="s">
        <v>88</v>
      </c>
      <c r="D26" t="s">
        <v>71</v>
      </c>
      <c r="E26" t="s">
        <v>202</v>
      </c>
      <c r="F26" t="s">
        <v>24</v>
      </c>
      <c r="G26">
        <v>0.56944444444444442</v>
      </c>
      <c r="H26">
        <v>0.56388888888888888</v>
      </c>
      <c r="I26">
        <v>-2</v>
      </c>
      <c r="J26" t="s">
        <v>18</v>
      </c>
      <c r="K26" t="s">
        <v>19</v>
      </c>
      <c r="L26">
        <v>1199</v>
      </c>
      <c r="M26">
        <v>-8</v>
      </c>
      <c r="N26" t="s">
        <v>1658</v>
      </c>
      <c r="O26" t="s">
        <v>1661</v>
      </c>
      <c r="P26">
        <v>1</v>
      </c>
      <c r="Q26" t="s">
        <v>1663</v>
      </c>
    </row>
    <row r="27" spans="1:18" x14ac:dyDescent="0.35">
      <c r="A27" t="s">
        <v>89</v>
      </c>
      <c r="B27" s="19">
        <v>45909</v>
      </c>
      <c r="C27" t="s">
        <v>90</v>
      </c>
      <c r="D27" t="s">
        <v>1295</v>
      </c>
      <c r="E27" t="s">
        <v>1549</v>
      </c>
      <c r="F27" t="s">
        <v>28</v>
      </c>
      <c r="G27">
        <v>0.59375</v>
      </c>
      <c r="H27">
        <v>0.59097222222222223</v>
      </c>
      <c r="I27">
        <v>-5</v>
      </c>
      <c r="J27" t="s">
        <v>18</v>
      </c>
      <c r="K27" t="s">
        <v>19</v>
      </c>
      <c r="L27">
        <v>2698</v>
      </c>
      <c r="M27">
        <v>-4</v>
      </c>
      <c r="N27" t="s">
        <v>1658</v>
      </c>
      <c r="O27" t="s">
        <v>1661</v>
      </c>
      <c r="P27">
        <v>1</v>
      </c>
      <c r="Q27" t="s">
        <v>1663</v>
      </c>
    </row>
    <row r="28" spans="1:18" x14ac:dyDescent="0.35">
      <c r="A28" t="s">
        <v>91</v>
      </c>
      <c r="B28" s="19">
        <v>45909</v>
      </c>
      <c r="C28" t="s">
        <v>92</v>
      </c>
      <c r="D28" t="s">
        <v>71</v>
      </c>
      <c r="E28" t="s">
        <v>588</v>
      </c>
      <c r="F28" t="s">
        <v>24</v>
      </c>
      <c r="G28">
        <v>0.70486111111111116</v>
      </c>
      <c r="H28">
        <v>0.7</v>
      </c>
      <c r="I28">
        <v>-15</v>
      </c>
      <c r="J28" t="s">
        <v>18</v>
      </c>
      <c r="K28" t="s">
        <v>19</v>
      </c>
      <c r="L28">
        <v>802</v>
      </c>
      <c r="M28">
        <v>-7</v>
      </c>
      <c r="N28" t="s">
        <v>1658</v>
      </c>
      <c r="O28" t="s">
        <v>1661</v>
      </c>
      <c r="P28">
        <v>1</v>
      </c>
      <c r="Q28" t="s">
        <v>1663</v>
      </c>
    </row>
    <row r="29" spans="1:18" x14ac:dyDescent="0.35">
      <c r="A29" t="s">
        <v>94</v>
      </c>
      <c r="B29" s="19">
        <v>45910</v>
      </c>
      <c r="C29" t="s">
        <v>95</v>
      </c>
      <c r="D29" t="s">
        <v>226</v>
      </c>
      <c r="E29" t="s">
        <v>1171</v>
      </c>
      <c r="F29" t="s">
        <v>17</v>
      </c>
      <c r="G29">
        <v>0.3576388888888889</v>
      </c>
      <c r="H29">
        <v>0.3611111111111111</v>
      </c>
      <c r="I29">
        <v>-3</v>
      </c>
      <c r="J29" t="s">
        <v>18</v>
      </c>
      <c r="K29" t="s">
        <v>19</v>
      </c>
      <c r="L29">
        <v>602</v>
      </c>
      <c r="M29">
        <v>5</v>
      </c>
      <c r="N29" t="s">
        <v>1658</v>
      </c>
      <c r="O29" t="s">
        <v>1662</v>
      </c>
      <c r="P29">
        <v>1</v>
      </c>
      <c r="Q29" t="s">
        <v>1660</v>
      </c>
    </row>
    <row r="30" spans="1:18" x14ac:dyDescent="0.35">
      <c r="A30" t="s">
        <v>96</v>
      </c>
      <c r="B30" s="19">
        <v>45910</v>
      </c>
      <c r="C30" t="s">
        <v>34</v>
      </c>
      <c r="D30" t="s">
        <v>226</v>
      </c>
      <c r="E30" t="s">
        <v>84</v>
      </c>
      <c r="F30" t="s">
        <v>24</v>
      </c>
      <c r="G30">
        <v>0.64236111111111116</v>
      </c>
      <c r="H30">
        <v>0.65902777777777777</v>
      </c>
      <c r="I30">
        <v>13</v>
      </c>
      <c r="J30" t="s">
        <v>54</v>
      </c>
      <c r="K30" t="s">
        <v>19</v>
      </c>
      <c r="L30">
        <v>1023</v>
      </c>
      <c r="M30">
        <v>24</v>
      </c>
      <c r="N30" t="s">
        <v>1658</v>
      </c>
      <c r="O30" t="s">
        <v>1662</v>
      </c>
      <c r="P30">
        <v>1</v>
      </c>
      <c r="Q30" t="s">
        <v>1663</v>
      </c>
      <c r="R30" t="s">
        <v>1657</v>
      </c>
    </row>
    <row r="31" spans="1:18" x14ac:dyDescent="0.35">
      <c r="A31" t="s">
        <v>99</v>
      </c>
      <c r="B31" s="19">
        <v>45910</v>
      </c>
      <c r="C31" t="s">
        <v>100</v>
      </c>
      <c r="D31" t="s">
        <v>226</v>
      </c>
      <c r="E31" t="s">
        <v>79</v>
      </c>
      <c r="F31" t="s">
        <v>28</v>
      </c>
      <c r="G31">
        <v>0.67361111111111116</v>
      </c>
      <c r="H31">
        <v>0.67638888888888893</v>
      </c>
      <c r="I31">
        <v>5</v>
      </c>
      <c r="J31" t="s">
        <v>18</v>
      </c>
      <c r="K31" t="s">
        <v>19</v>
      </c>
      <c r="L31">
        <v>1197</v>
      </c>
      <c r="M31">
        <v>4</v>
      </c>
      <c r="N31" t="s">
        <v>1658</v>
      </c>
      <c r="O31" t="s">
        <v>1662</v>
      </c>
      <c r="P31">
        <v>1</v>
      </c>
      <c r="Q31" t="s">
        <v>1663</v>
      </c>
    </row>
    <row r="32" spans="1:18" x14ac:dyDescent="0.35">
      <c r="A32" t="s">
        <v>101</v>
      </c>
      <c r="B32" s="19">
        <v>45910</v>
      </c>
      <c r="C32" t="s">
        <v>102</v>
      </c>
      <c r="D32" t="s">
        <v>588</v>
      </c>
      <c r="E32" t="s">
        <v>71</v>
      </c>
      <c r="F32" t="s">
        <v>28</v>
      </c>
      <c r="G32">
        <v>0.67708333333333337</v>
      </c>
      <c r="H32">
        <v>0.67638888888888893</v>
      </c>
      <c r="I32">
        <v>-7</v>
      </c>
      <c r="J32" t="s">
        <v>18</v>
      </c>
      <c r="K32" t="s">
        <v>19</v>
      </c>
      <c r="L32">
        <v>802</v>
      </c>
      <c r="M32">
        <v>-1</v>
      </c>
      <c r="N32" t="s">
        <v>1658</v>
      </c>
      <c r="O32" t="s">
        <v>1662</v>
      </c>
      <c r="P32">
        <v>1</v>
      </c>
      <c r="Q32" t="s">
        <v>1663</v>
      </c>
    </row>
    <row r="33" spans="1:18" x14ac:dyDescent="0.35">
      <c r="A33" t="s">
        <v>103</v>
      </c>
      <c r="B33" s="19">
        <v>45910</v>
      </c>
      <c r="C33" t="s">
        <v>104</v>
      </c>
      <c r="D33" t="s">
        <v>71</v>
      </c>
      <c r="E33" t="s">
        <v>226</v>
      </c>
      <c r="F33" t="s">
        <v>28</v>
      </c>
      <c r="G33">
        <v>0.70486111111111116</v>
      </c>
      <c r="H33">
        <v>0.70833333333333337</v>
      </c>
      <c r="I33">
        <v>4</v>
      </c>
      <c r="J33" t="s">
        <v>18</v>
      </c>
      <c r="K33" t="s">
        <v>19</v>
      </c>
      <c r="L33">
        <v>886</v>
      </c>
      <c r="M33">
        <v>5</v>
      </c>
      <c r="N33" t="s">
        <v>1658</v>
      </c>
      <c r="O33" t="s">
        <v>1662</v>
      </c>
      <c r="P33">
        <v>1</v>
      </c>
      <c r="Q33" t="s">
        <v>1663</v>
      </c>
    </row>
    <row r="34" spans="1:18" x14ac:dyDescent="0.35">
      <c r="A34" t="s">
        <v>105</v>
      </c>
      <c r="B34" s="19">
        <v>45910</v>
      </c>
      <c r="C34" t="s">
        <v>106</v>
      </c>
      <c r="D34" t="s">
        <v>1171</v>
      </c>
      <c r="E34" t="s">
        <v>197</v>
      </c>
      <c r="F34" t="s">
        <v>17</v>
      </c>
      <c r="G34">
        <v>0.86111111111111116</v>
      </c>
      <c r="H34">
        <v>0.88194444444444442</v>
      </c>
      <c r="I34">
        <v>36</v>
      </c>
      <c r="J34" t="s">
        <v>54</v>
      </c>
      <c r="K34" t="s">
        <v>19</v>
      </c>
      <c r="L34">
        <v>2149</v>
      </c>
      <c r="M34">
        <v>30</v>
      </c>
      <c r="N34" t="s">
        <v>1658</v>
      </c>
      <c r="O34" t="s">
        <v>1662</v>
      </c>
      <c r="P34">
        <v>0</v>
      </c>
      <c r="Q34" t="s">
        <v>1665</v>
      </c>
      <c r="R34" t="s">
        <v>1657</v>
      </c>
    </row>
    <row r="35" spans="1:18" x14ac:dyDescent="0.35">
      <c r="A35" t="s">
        <v>107</v>
      </c>
      <c r="B35" s="19">
        <v>45911</v>
      </c>
      <c r="C35" t="s">
        <v>108</v>
      </c>
      <c r="D35" t="s">
        <v>1549</v>
      </c>
      <c r="E35" t="s">
        <v>71</v>
      </c>
      <c r="F35" t="s">
        <v>38</v>
      </c>
      <c r="G35">
        <v>0.24305555555555561</v>
      </c>
      <c r="H35">
        <v>0.2472222222222222</v>
      </c>
      <c r="I35">
        <v>15</v>
      </c>
      <c r="J35" t="s">
        <v>18</v>
      </c>
      <c r="K35" t="s">
        <v>19</v>
      </c>
      <c r="L35">
        <v>864</v>
      </c>
      <c r="M35">
        <v>6</v>
      </c>
      <c r="N35" t="s">
        <v>1658</v>
      </c>
      <c r="O35" t="s">
        <v>1664</v>
      </c>
      <c r="P35">
        <v>1</v>
      </c>
      <c r="Q35" t="s">
        <v>1660</v>
      </c>
    </row>
    <row r="36" spans="1:18" x14ac:dyDescent="0.35">
      <c r="A36" t="s">
        <v>109</v>
      </c>
      <c r="B36" s="19">
        <v>45911</v>
      </c>
      <c r="C36" t="s">
        <v>110</v>
      </c>
      <c r="D36" t="s">
        <v>71</v>
      </c>
      <c r="E36" t="s">
        <v>84</v>
      </c>
      <c r="F36" t="s">
        <v>28</v>
      </c>
      <c r="G36">
        <v>0.3263888888888889</v>
      </c>
      <c r="H36">
        <v>0.32777777777777778</v>
      </c>
      <c r="I36">
        <v>-10</v>
      </c>
      <c r="J36" t="s">
        <v>18</v>
      </c>
      <c r="K36" t="s">
        <v>19</v>
      </c>
      <c r="L36">
        <v>1717</v>
      </c>
      <c r="M36">
        <v>2</v>
      </c>
      <c r="N36" t="s">
        <v>1658</v>
      </c>
      <c r="O36" t="s">
        <v>1664</v>
      </c>
      <c r="P36">
        <v>1</v>
      </c>
      <c r="Q36" t="s">
        <v>1660</v>
      </c>
    </row>
    <row r="37" spans="1:18" x14ac:dyDescent="0.35">
      <c r="A37" t="s">
        <v>111</v>
      </c>
      <c r="B37" s="19">
        <v>45911</v>
      </c>
      <c r="C37" t="s">
        <v>112</v>
      </c>
      <c r="D37" t="s">
        <v>197</v>
      </c>
      <c r="E37" t="s">
        <v>202</v>
      </c>
      <c r="F37" t="s">
        <v>38</v>
      </c>
      <c r="G37">
        <v>0.375</v>
      </c>
      <c r="H37">
        <v>0.36944444444444452</v>
      </c>
      <c r="I37">
        <v>-18</v>
      </c>
      <c r="J37" t="s">
        <v>18</v>
      </c>
      <c r="K37" t="s">
        <v>19</v>
      </c>
      <c r="L37">
        <v>1092</v>
      </c>
      <c r="M37">
        <v>-8</v>
      </c>
      <c r="N37" t="s">
        <v>1658</v>
      </c>
      <c r="O37" t="s">
        <v>1664</v>
      </c>
      <c r="P37">
        <v>1</v>
      </c>
      <c r="Q37" t="s">
        <v>1660</v>
      </c>
    </row>
    <row r="38" spans="1:18" x14ac:dyDescent="0.35">
      <c r="A38" t="s">
        <v>113</v>
      </c>
      <c r="B38" s="19">
        <v>45911</v>
      </c>
      <c r="C38" t="s">
        <v>114</v>
      </c>
      <c r="D38" t="s">
        <v>226</v>
      </c>
      <c r="E38" t="s">
        <v>79</v>
      </c>
      <c r="F38" t="s">
        <v>17</v>
      </c>
      <c r="G38">
        <v>0.6875</v>
      </c>
      <c r="H38">
        <v>0.68680555555555556</v>
      </c>
      <c r="I38">
        <v>-7</v>
      </c>
      <c r="J38" t="s">
        <v>18</v>
      </c>
      <c r="K38" t="s">
        <v>19</v>
      </c>
      <c r="L38">
        <v>1197</v>
      </c>
      <c r="M38">
        <v>-1</v>
      </c>
      <c r="N38" t="s">
        <v>1658</v>
      </c>
      <c r="O38" t="s">
        <v>1664</v>
      </c>
      <c r="P38">
        <v>1</v>
      </c>
      <c r="Q38" t="s">
        <v>1663</v>
      </c>
    </row>
    <row r="39" spans="1:18" x14ac:dyDescent="0.35">
      <c r="A39" t="s">
        <v>115</v>
      </c>
      <c r="B39" s="19">
        <v>45912</v>
      </c>
      <c r="C39" t="s">
        <v>116</v>
      </c>
      <c r="D39" t="s">
        <v>1295</v>
      </c>
      <c r="E39" t="s">
        <v>588</v>
      </c>
      <c r="F39" t="s">
        <v>24</v>
      </c>
      <c r="G39">
        <v>0.67361111111111116</v>
      </c>
      <c r="H39">
        <v>0.68194444444444446</v>
      </c>
      <c r="I39">
        <v>5</v>
      </c>
      <c r="J39" t="s">
        <v>18</v>
      </c>
      <c r="K39" t="s">
        <v>19</v>
      </c>
      <c r="L39">
        <v>1462</v>
      </c>
      <c r="M39">
        <v>12</v>
      </c>
      <c r="N39" t="s">
        <v>1658</v>
      </c>
      <c r="O39" t="s">
        <v>1666</v>
      </c>
      <c r="P39">
        <v>1</v>
      </c>
      <c r="Q39" t="s">
        <v>1663</v>
      </c>
    </row>
    <row r="40" spans="1:18" x14ac:dyDescent="0.35">
      <c r="A40" t="s">
        <v>117</v>
      </c>
      <c r="B40" s="19">
        <v>45912</v>
      </c>
      <c r="C40" t="s">
        <v>118</v>
      </c>
      <c r="D40" t="s">
        <v>226</v>
      </c>
      <c r="E40" t="s">
        <v>197</v>
      </c>
      <c r="F40" t="s">
        <v>17</v>
      </c>
      <c r="G40">
        <v>0.90972222222222221</v>
      </c>
      <c r="H40">
        <v>0.91736111111111107</v>
      </c>
      <c r="I40">
        <v>11</v>
      </c>
      <c r="J40" t="s">
        <v>18</v>
      </c>
      <c r="K40" t="s">
        <v>19</v>
      </c>
      <c r="L40">
        <v>1622</v>
      </c>
      <c r="M40">
        <v>11</v>
      </c>
      <c r="N40" t="s">
        <v>1658</v>
      </c>
      <c r="O40" t="s">
        <v>1666</v>
      </c>
      <c r="P40">
        <v>1</v>
      </c>
      <c r="Q40" t="s">
        <v>1669</v>
      </c>
    </row>
    <row r="41" spans="1:18" x14ac:dyDescent="0.35">
      <c r="A41" t="s">
        <v>119</v>
      </c>
      <c r="B41" s="19">
        <v>45913</v>
      </c>
      <c r="C41" t="s">
        <v>120</v>
      </c>
      <c r="D41" t="s">
        <v>226</v>
      </c>
      <c r="E41" t="s">
        <v>413</v>
      </c>
      <c r="F41" t="s">
        <v>38</v>
      </c>
      <c r="G41">
        <v>0.36805555555555558</v>
      </c>
      <c r="H41">
        <v>0.37361111111111112</v>
      </c>
      <c r="I41">
        <v>17</v>
      </c>
      <c r="J41" t="s">
        <v>18</v>
      </c>
      <c r="K41" t="s">
        <v>19</v>
      </c>
      <c r="L41">
        <v>861</v>
      </c>
      <c r="M41">
        <v>8</v>
      </c>
      <c r="N41" t="s">
        <v>1658</v>
      </c>
      <c r="O41" t="s">
        <v>1667</v>
      </c>
      <c r="P41">
        <v>0</v>
      </c>
      <c r="Q41" t="s">
        <v>1660</v>
      </c>
    </row>
    <row r="42" spans="1:18" x14ac:dyDescent="0.35">
      <c r="A42" t="s">
        <v>121</v>
      </c>
      <c r="B42" s="19">
        <v>45913</v>
      </c>
      <c r="C42" t="s">
        <v>122</v>
      </c>
      <c r="D42" t="s">
        <v>202</v>
      </c>
      <c r="E42" t="s">
        <v>79</v>
      </c>
      <c r="F42" t="s">
        <v>17</v>
      </c>
      <c r="G42">
        <v>0.66319444444444442</v>
      </c>
      <c r="H42">
        <v>0.66527777777777775</v>
      </c>
      <c r="I42">
        <v>10</v>
      </c>
      <c r="J42" t="s">
        <v>18</v>
      </c>
      <c r="K42" t="s">
        <v>19</v>
      </c>
      <c r="L42">
        <v>596</v>
      </c>
      <c r="M42">
        <v>3</v>
      </c>
      <c r="N42" t="s">
        <v>1658</v>
      </c>
      <c r="O42" t="s">
        <v>1667</v>
      </c>
      <c r="P42">
        <v>1</v>
      </c>
      <c r="Q42" t="s">
        <v>1663</v>
      </c>
    </row>
    <row r="43" spans="1:18" x14ac:dyDescent="0.35">
      <c r="A43" t="s">
        <v>124</v>
      </c>
      <c r="B43" s="19">
        <v>45914</v>
      </c>
      <c r="C43" t="s">
        <v>125</v>
      </c>
      <c r="D43" t="s">
        <v>546</v>
      </c>
      <c r="E43" t="s">
        <v>71</v>
      </c>
      <c r="F43" t="s">
        <v>17</v>
      </c>
      <c r="G43">
        <v>0.79861111111111116</v>
      </c>
      <c r="H43">
        <v>0.80625000000000002</v>
      </c>
      <c r="I43">
        <v>13</v>
      </c>
      <c r="J43" t="s">
        <v>18</v>
      </c>
      <c r="K43" t="s">
        <v>19</v>
      </c>
      <c r="L43">
        <v>1511</v>
      </c>
      <c r="M43">
        <v>11</v>
      </c>
      <c r="N43" t="s">
        <v>1658</v>
      </c>
      <c r="O43" t="s">
        <v>1668</v>
      </c>
      <c r="P43">
        <v>1</v>
      </c>
      <c r="Q43" t="s">
        <v>1665</v>
      </c>
    </row>
    <row r="44" spans="1:18" x14ac:dyDescent="0.35">
      <c r="A44" t="s">
        <v>127</v>
      </c>
      <c r="B44" s="19">
        <v>45916</v>
      </c>
      <c r="C44" t="s">
        <v>128</v>
      </c>
      <c r="D44" t="s">
        <v>197</v>
      </c>
      <c r="E44" t="s">
        <v>546</v>
      </c>
      <c r="F44" t="s">
        <v>24</v>
      </c>
      <c r="G44">
        <v>0.47916666666666669</v>
      </c>
      <c r="H44">
        <v>0.50416666666666665</v>
      </c>
      <c r="I44">
        <v>22</v>
      </c>
      <c r="J44" t="s">
        <v>129</v>
      </c>
      <c r="K44" t="s">
        <v>19</v>
      </c>
      <c r="L44">
        <v>2243</v>
      </c>
      <c r="M44">
        <v>36</v>
      </c>
      <c r="N44" t="s">
        <v>1658</v>
      </c>
      <c r="O44" t="s">
        <v>1661</v>
      </c>
      <c r="P44">
        <v>0</v>
      </c>
      <c r="Q44" t="s">
        <v>1660</v>
      </c>
      <c r="R44" t="s">
        <v>1670</v>
      </c>
    </row>
    <row r="45" spans="1:18" x14ac:dyDescent="0.35">
      <c r="A45" t="s">
        <v>130</v>
      </c>
      <c r="B45" s="19">
        <v>45916</v>
      </c>
      <c r="C45" t="s">
        <v>131</v>
      </c>
      <c r="D45" t="s">
        <v>71</v>
      </c>
      <c r="E45" t="s">
        <v>202</v>
      </c>
      <c r="F45" t="s">
        <v>28</v>
      </c>
      <c r="G45">
        <v>0.85416666666666663</v>
      </c>
      <c r="H45">
        <v>0.85347222222222219</v>
      </c>
      <c r="I45">
        <v>-7</v>
      </c>
      <c r="J45" t="s">
        <v>18</v>
      </c>
      <c r="K45" t="s">
        <v>19</v>
      </c>
      <c r="L45">
        <v>1199</v>
      </c>
      <c r="M45">
        <v>-1</v>
      </c>
      <c r="N45" t="s">
        <v>1658</v>
      </c>
      <c r="O45" t="s">
        <v>1661</v>
      </c>
      <c r="P45">
        <v>1</v>
      </c>
      <c r="Q45" t="s">
        <v>1665</v>
      </c>
    </row>
    <row r="46" spans="1:18" x14ac:dyDescent="0.35">
      <c r="A46" t="s">
        <v>132</v>
      </c>
      <c r="B46" s="19">
        <v>45917</v>
      </c>
      <c r="C46" t="s">
        <v>133</v>
      </c>
      <c r="D46" t="s">
        <v>197</v>
      </c>
      <c r="E46" t="s">
        <v>79</v>
      </c>
      <c r="F46" t="s">
        <v>17</v>
      </c>
      <c r="G46">
        <v>0.67013888888888884</v>
      </c>
      <c r="H46">
        <v>0.67500000000000004</v>
      </c>
      <c r="I46">
        <v>17</v>
      </c>
      <c r="J46" t="s">
        <v>18</v>
      </c>
      <c r="K46" t="s">
        <v>19</v>
      </c>
      <c r="L46">
        <v>759</v>
      </c>
      <c r="M46">
        <v>7</v>
      </c>
      <c r="N46" t="s">
        <v>1658</v>
      </c>
      <c r="O46" t="s">
        <v>1662</v>
      </c>
      <c r="P46">
        <v>0</v>
      </c>
      <c r="Q46" t="s">
        <v>1663</v>
      </c>
    </row>
    <row r="47" spans="1:18" x14ac:dyDescent="0.35">
      <c r="A47" t="s">
        <v>134</v>
      </c>
      <c r="B47" s="19">
        <v>45917</v>
      </c>
      <c r="C47" t="s">
        <v>135</v>
      </c>
      <c r="D47" t="s">
        <v>413</v>
      </c>
      <c r="E47" t="s">
        <v>71</v>
      </c>
      <c r="F47" t="s">
        <v>24</v>
      </c>
      <c r="G47">
        <v>0.78819444444444442</v>
      </c>
      <c r="H47">
        <v>0.83402777777777781</v>
      </c>
      <c r="I47">
        <v>65</v>
      </c>
      <c r="J47" t="s">
        <v>54</v>
      </c>
      <c r="K47" t="s">
        <v>19</v>
      </c>
      <c r="L47">
        <v>1742</v>
      </c>
      <c r="M47">
        <v>66</v>
      </c>
      <c r="N47" t="s">
        <v>1658</v>
      </c>
      <c r="O47" t="s">
        <v>1662</v>
      </c>
      <c r="P47">
        <v>0</v>
      </c>
      <c r="Q47" t="s">
        <v>1665</v>
      </c>
      <c r="R47" t="s">
        <v>1657</v>
      </c>
    </row>
    <row r="48" spans="1:18" x14ac:dyDescent="0.35">
      <c r="A48" t="s">
        <v>136</v>
      </c>
      <c r="B48" s="19">
        <v>45917</v>
      </c>
      <c r="C48" t="s">
        <v>137</v>
      </c>
      <c r="D48" t="s">
        <v>226</v>
      </c>
      <c r="E48" t="s">
        <v>1295</v>
      </c>
      <c r="F48" t="s">
        <v>17</v>
      </c>
      <c r="G48">
        <v>0.80555555555555558</v>
      </c>
      <c r="I48">
        <v>-16</v>
      </c>
      <c r="J48" t="s">
        <v>18</v>
      </c>
      <c r="K48" t="s">
        <v>19</v>
      </c>
      <c r="L48">
        <v>965</v>
      </c>
      <c r="M48">
        <v>-7</v>
      </c>
      <c r="N48" t="s">
        <v>1658</v>
      </c>
      <c r="O48" t="s">
        <v>1662</v>
      </c>
      <c r="P48">
        <v>1</v>
      </c>
      <c r="Q48" t="s">
        <v>1665</v>
      </c>
    </row>
    <row r="49" spans="1:18" x14ac:dyDescent="0.35">
      <c r="A49" t="s">
        <v>138</v>
      </c>
      <c r="B49" s="19">
        <v>45918</v>
      </c>
      <c r="C49" t="s">
        <v>139</v>
      </c>
      <c r="D49" t="s">
        <v>79</v>
      </c>
      <c r="E49" t="s">
        <v>1171</v>
      </c>
      <c r="F49" t="s">
        <v>24</v>
      </c>
      <c r="G49">
        <v>0.35416666666666669</v>
      </c>
      <c r="H49">
        <v>0.3576388888888889</v>
      </c>
      <c r="I49">
        <v>10</v>
      </c>
      <c r="J49" t="s">
        <v>18</v>
      </c>
      <c r="K49" t="s">
        <v>19</v>
      </c>
      <c r="L49">
        <v>1584</v>
      </c>
      <c r="M49">
        <v>5</v>
      </c>
      <c r="N49" t="s">
        <v>1658</v>
      </c>
      <c r="O49" t="s">
        <v>1664</v>
      </c>
      <c r="P49">
        <v>1</v>
      </c>
      <c r="Q49" t="s">
        <v>1660</v>
      </c>
    </row>
    <row r="50" spans="1:18" x14ac:dyDescent="0.35">
      <c r="A50" t="s">
        <v>140</v>
      </c>
      <c r="B50" s="19">
        <v>45918</v>
      </c>
      <c r="C50" t="s">
        <v>131</v>
      </c>
      <c r="D50" t="s">
        <v>1171</v>
      </c>
      <c r="E50" t="s">
        <v>413</v>
      </c>
      <c r="F50" t="s">
        <v>38</v>
      </c>
      <c r="G50">
        <v>0.56944444444444442</v>
      </c>
      <c r="H50">
        <v>0.56874999999999998</v>
      </c>
      <c r="I50">
        <v>1</v>
      </c>
      <c r="J50" t="s">
        <v>18</v>
      </c>
      <c r="K50" t="s">
        <v>19</v>
      </c>
      <c r="L50">
        <v>370</v>
      </c>
      <c r="M50">
        <v>-1</v>
      </c>
      <c r="N50" t="s">
        <v>1658</v>
      </c>
      <c r="O50" t="s">
        <v>1664</v>
      </c>
      <c r="P50">
        <v>1</v>
      </c>
      <c r="Q50" t="s">
        <v>1663</v>
      </c>
    </row>
    <row r="51" spans="1:18" x14ac:dyDescent="0.35">
      <c r="A51" t="s">
        <v>141</v>
      </c>
      <c r="B51" s="19">
        <v>45918</v>
      </c>
      <c r="C51" t="s">
        <v>142</v>
      </c>
      <c r="D51" t="s">
        <v>413</v>
      </c>
      <c r="E51" t="s">
        <v>197</v>
      </c>
      <c r="F51" t="s">
        <v>28</v>
      </c>
      <c r="G51">
        <v>0.73958333333333337</v>
      </c>
      <c r="I51">
        <v>4</v>
      </c>
      <c r="J51" t="s">
        <v>18</v>
      </c>
      <c r="K51" t="s">
        <v>19</v>
      </c>
      <c r="L51">
        <v>2470</v>
      </c>
      <c r="M51">
        <v>2</v>
      </c>
      <c r="N51" t="s">
        <v>1658</v>
      </c>
      <c r="O51" t="s">
        <v>1664</v>
      </c>
      <c r="P51">
        <v>1</v>
      </c>
      <c r="Q51" t="s">
        <v>1665</v>
      </c>
    </row>
    <row r="52" spans="1:18" x14ac:dyDescent="0.35">
      <c r="A52" t="s">
        <v>143</v>
      </c>
      <c r="B52" s="19">
        <v>45919</v>
      </c>
      <c r="C52" t="s">
        <v>144</v>
      </c>
      <c r="D52" t="s">
        <v>413</v>
      </c>
      <c r="E52" t="s">
        <v>71</v>
      </c>
      <c r="F52" t="s">
        <v>17</v>
      </c>
      <c r="G52">
        <v>0.34722222222222221</v>
      </c>
      <c r="H52">
        <v>0.35069444444444442</v>
      </c>
      <c r="I52">
        <v>14</v>
      </c>
      <c r="J52" t="s">
        <v>18</v>
      </c>
      <c r="K52" t="s">
        <v>19</v>
      </c>
      <c r="L52">
        <v>1742</v>
      </c>
      <c r="M52">
        <v>5</v>
      </c>
      <c r="N52" t="s">
        <v>1658</v>
      </c>
      <c r="O52" t="s">
        <v>1666</v>
      </c>
      <c r="P52">
        <v>1</v>
      </c>
      <c r="Q52" t="s">
        <v>1660</v>
      </c>
    </row>
    <row r="53" spans="1:18" x14ac:dyDescent="0.35">
      <c r="A53" t="s">
        <v>145</v>
      </c>
      <c r="B53" s="19">
        <v>45919</v>
      </c>
      <c r="C53" t="s">
        <v>146</v>
      </c>
      <c r="D53" t="s">
        <v>202</v>
      </c>
      <c r="E53" t="s">
        <v>79</v>
      </c>
      <c r="F53" t="s">
        <v>17</v>
      </c>
      <c r="G53">
        <v>0.51736111111111116</v>
      </c>
      <c r="H53">
        <v>0.51736111111111116</v>
      </c>
      <c r="I53">
        <v>-8</v>
      </c>
      <c r="J53" t="s">
        <v>18</v>
      </c>
      <c r="K53" t="s">
        <v>19</v>
      </c>
      <c r="L53">
        <v>596</v>
      </c>
      <c r="M53">
        <v>0</v>
      </c>
      <c r="N53" t="s">
        <v>1658</v>
      </c>
      <c r="O53" t="s">
        <v>1666</v>
      </c>
      <c r="P53">
        <v>1</v>
      </c>
      <c r="Q53" t="s">
        <v>1663</v>
      </c>
    </row>
    <row r="54" spans="1:18" x14ac:dyDescent="0.35">
      <c r="A54" t="s">
        <v>147</v>
      </c>
      <c r="B54" s="19">
        <v>45919</v>
      </c>
      <c r="C54" t="s">
        <v>148</v>
      </c>
      <c r="D54" t="s">
        <v>1549</v>
      </c>
      <c r="E54" t="s">
        <v>413</v>
      </c>
      <c r="F54" t="s">
        <v>17</v>
      </c>
      <c r="G54">
        <v>0.63541666666666663</v>
      </c>
      <c r="H54">
        <v>0.66180555555555554</v>
      </c>
      <c r="I54">
        <v>24</v>
      </c>
      <c r="J54" t="s">
        <v>60</v>
      </c>
      <c r="K54" t="s">
        <v>19</v>
      </c>
      <c r="L54">
        <v>2606</v>
      </c>
      <c r="M54">
        <v>38</v>
      </c>
      <c r="N54" t="s">
        <v>1658</v>
      </c>
      <c r="O54" t="s">
        <v>1666</v>
      </c>
      <c r="P54">
        <v>0</v>
      </c>
      <c r="Q54" t="s">
        <v>1663</v>
      </c>
      <c r="R54" t="s">
        <v>1657</v>
      </c>
    </row>
    <row r="55" spans="1:18" x14ac:dyDescent="0.35">
      <c r="A55" t="s">
        <v>150</v>
      </c>
      <c r="B55" s="19">
        <v>45920</v>
      </c>
      <c r="C55" t="s">
        <v>151</v>
      </c>
      <c r="D55" t="s">
        <v>413</v>
      </c>
      <c r="E55" t="s">
        <v>588</v>
      </c>
      <c r="F55" t="s">
        <v>24</v>
      </c>
      <c r="G55">
        <v>0.60416666666666663</v>
      </c>
      <c r="H55">
        <v>0.59861111111111109</v>
      </c>
      <c r="I55">
        <v>-10</v>
      </c>
      <c r="J55" t="s">
        <v>18</v>
      </c>
      <c r="K55" t="s">
        <v>19</v>
      </c>
      <c r="L55">
        <v>1232</v>
      </c>
      <c r="M55">
        <v>-8</v>
      </c>
      <c r="N55" t="s">
        <v>1658</v>
      </c>
      <c r="O55" t="s">
        <v>1667</v>
      </c>
      <c r="P55">
        <v>1</v>
      </c>
      <c r="Q55" t="s">
        <v>1663</v>
      </c>
    </row>
    <row r="56" spans="1:18" x14ac:dyDescent="0.35">
      <c r="A56" t="s">
        <v>152</v>
      </c>
      <c r="B56" s="19">
        <v>45920</v>
      </c>
      <c r="C56" t="s">
        <v>153</v>
      </c>
      <c r="D56" t="s">
        <v>546</v>
      </c>
      <c r="E56" t="s">
        <v>1295</v>
      </c>
      <c r="F56" t="s">
        <v>24</v>
      </c>
      <c r="G56">
        <v>0.63194444444444442</v>
      </c>
      <c r="H56">
        <v>0.63611111111111107</v>
      </c>
      <c r="I56">
        <v>7</v>
      </c>
      <c r="J56" t="s">
        <v>18</v>
      </c>
      <c r="K56" t="s">
        <v>19</v>
      </c>
      <c r="L56">
        <v>414</v>
      </c>
      <c r="M56">
        <v>6</v>
      </c>
      <c r="N56" t="s">
        <v>1658</v>
      </c>
      <c r="O56" t="s">
        <v>1667</v>
      </c>
      <c r="P56">
        <v>1</v>
      </c>
      <c r="Q56" t="s">
        <v>1663</v>
      </c>
    </row>
    <row r="57" spans="1:18" x14ac:dyDescent="0.35">
      <c r="A57" t="s">
        <v>154</v>
      </c>
      <c r="B57" s="19">
        <v>45920</v>
      </c>
      <c r="C57" t="s">
        <v>155</v>
      </c>
      <c r="D57" t="s">
        <v>71</v>
      </c>
      <c r="E57" t="s">
        <v>226</v>
      </c>
      <c r="F57" t="s">
        <v>24</v>
      </c>
      <c r="G57">
        <v>0.87152777777777779</v>
      </c>
      <c r="H57">
        <v>0.89513888888888893</v>
      </c>
      <c r="I57">
        <v>38</v>
      </c>
      <c r="J57" t="s">
        <v>54</v>
      </c>
      <c r="K57" t="s">
        <v>19</v>
      </c>
      <c r="L57">
        <v>886</v>
      </c>
      <c r="M57">
        <v>34</v>
      </c>
      <c r="N57" t="s">
        <v>1658</v>
      </c>
      <c r="O57" t="s">
        <v>1667</v>
      </c>
      <c r="P57">
        <v>0</v>
      </c>
      <c r="Q57" t="s">
        <v>1665</v>
      </c>
      <c r="R57" t="s">
        <v>1657</v>
      </c>
    </row>
    <row r="58" spans="1:18" x14ac:dyDescent="0.35">
      <c r="A58" t="s">
        <v>156</v>
      </c>
      <c r="B58" s="19">
        <v>45921</v>
      </c>
      <c r="C58" t="s">
        <v>157</v>
      </c>
      <c r="D58" t="s">
        <v>79</v>
      </c>
      <c r="E58" t="s">
        <v>226</v>
      </c>
      <c r="F58" t="s">
        <v>28</v>
      </c>
      <c r="G58">
        <v>0.70486111111111116</v>
      </c>
      <c r="H58">
        <v>0.70486111111111116</v>
      </c>
      <c r="I58">
        <v>10</v>
      </c>
      <c r="J58" t="s">
        <v>18</v>
      </c>
      <c r="K58" t="s">
        <v>19</v>
      </c>
      <c r="L58">
        <v>1197</v>
      </c>
      <c r="M58">
        <v>0</v>
      </c>
      <c r="N58" t="s">
        <v>1658</v>
      </c>
      <c r="O58" t="s">
        <v>1668</v>
      </c>
      <c r="P58">
        <v>1</v>
      </c>
      <c r="Q58" t="s">
        <v>1663</v>
      </c>
    </row>
    <row r="59" spans="1:18" x14ac:dyDescent="0.35">
      <c r="A59" t="s">
        <v>158</v>
      </c>
      <c r="B59" s="19">
        <v>45923</v>
      </c>
      <c r="C59" t="s">
        <v>159</v>
      </c>
      <c r="D59" t="s">
        <v>79</v>
      </c>
      <c r="E59" t="s">
        <v>413</v>
      </c>
      <c r="F59" t="s">
        <v>17</v>
      </c>
      <c r="G59">
        <v>0.67013888888888884</v>
      </c>
      <c r="H59">
        <v>0.67708333333333337</v>
      </c>
      <c r="I59">
        <v>9</v>
      </c>
      <c r="J59" t="s">
        <v>18</v>
      </c>
      <c r="K59" t="s">
        <v>19</v>
      </c>
      <c r="L59">
        <v>1942</v>
      </c>
      <c r="M59">
        <v>10</v>
      </c>
      <c r="N59" t="s">
        <v>1658</v>
      </c>
      <c r="O59" t="s">
        <v>1661</v>
      </c>
      <c r="P59">
        <v>1</v>
      </c>
      <c r="Q59" t="s">
        <v>1663</v>
      </c>
    </row>
    <row r="60" spans="1:18" x14ac:dyDescent="0.35">
      <c r="A60" t="s">
        <v>160</v>
      </c>
      <c r="B60" s="19">
        <v>45924</v>
      </c>
      <c r="C60" t="s">
        <v>161</v>
      </c>
      <c r="D60" t="s">
        <v>588</v>
      </c>
      <c r="E60" t="s">
        <v>197</v>
      </c>
      <c r="F60" t="s">
        <v>17</v>
      </c>
      <c r="G60">
        <v>0.30555555555555558</v>
      </c>
      <c r="H60">
        <v>0.39097222222222222</v>
      </c>
      <c r="I60">
        <v>117</v>
      </c>
      <c r="J60" t="s">
        <v>54</v>
      </c>
      <c r="K60" t="s">
        <v>19</v>
      </c>
      <c r="L60">
        <v>1389</v>
      </c>
      <c r="M60">
        <v>123</v>
      </c>
      <c r="N60" t="s">
        <v>1658</v>
      </c>
      <c r="O60" t="s">
        <v>1662</v>
      </c>
      <c r="P60">
        <v>0</v>
      </c>
      <c r="Q60" t="s">
        <v>1660</v>
      </c>
      <c r="R60" t="s">
        <v>1657</v>
      </c>
    </row>
    <row r="61" spans="1:18" x14ac:dyDescent="0.35">
      <c r="A61" t="s">
        <v>162</v>
      </c>
      <c r="B61" s="19">
        <v>45925</v>
      </c>
      <c r="C61" t="s">
        <v>163</v>
      </c>
      <c r="D61" t="s">
        <v>226</v>
      </c>
      <c r="E61" t="s">
        <v>1171</v>
      </c>
      <c r="F61" t="s">
        <v>17</v>
      </c>
      <c r="G61">
        <v>0.33680555555555558</v>
      </c>
      <c r="I61">
        <v>0</v>
      </c>
      <c r="J61" t="s">
        <v>18</v>
      </c>
      <c r="K61" t="s">
        <v>19</v>
      </c>
      <c r="L61">
        <v>602</v>
      </c>
      <c r="M61">
        <v>12</v>
      </c>
      <c r="N61" t="s">
        <v>1658</v>
      </c>
      <c r="O61" t="s">
        <v>1664</v>
      </c>
      <c r="P61">
        <v>1</v>
      </c>
      <c r="Q61" t="s">
        <v>1660</v>
      </c>
    </row>
    <row r="62" spans="1:18" x14ac:dyDescent="0.35">
      <c r="A62" t="s">
        <v>164</v>
      </c>
      <c r="B62" s="19">
        <v>45925</v>
      </c>
      <c r="C62" t="s">
        <v>165</v>
      </c>
      <c r="D62" t="s">
        <v>1295</v>
      </c>
      <c r="E62" t="s">
        <v>79</v>
      </c>
      <c r="F62" t="s">
        <v>28</v>
      </c>
      <c r="G62">
        <v>0.61458333333333337</v>
      </c>
      <c r="H62">
        <v>0.63611111111111107</v>
      </c>
      <c r="I62">
        <v>29</v>
      </c>
      <c r="J62" t="s">
        <v>60</v>
      </c>
      <c r="K62" t="s">
        <v>19</v>
      </c>
      <c r="L62">
        <v>2134</v>
      </c>
      <c r="M62">
        <v>31</v>
      </c>
      <c r="N62" t="s">
        <v>1658</v>
      </c>
      <c r="O62" t="s">
        <v>1664</v>
      </c>
      <c r="P62">
        <v>0</v>
      </c>
      <c r="Q62" t="s">
        <v>1663</v>
      </c>
      <c r="R62" t="s">
        <v>1657</v>
      </c>
    </row>
    <row r="63" spans="1:18" x14ac:dyDescent="0.35">
      <c r="A63" t="s">
        <v>166</v>
      </c>
      <c r="B63" s="19">
        <v>45925</v>
      </c>
      <c r="C63" t="s">
        <v>167</v>
      </c>
      <c r="D63" t="s">
        <v>588</v>
      </c>
      <c r="E63" t="s">
        <v>546</v>
      </c>
      <c r="F63" t="s">
        <v>17</v>
      </c>
      <c r="G63">
        <v>0.70486111111111116</v>
      </c>
      <c r="H63">
        <v>0.70347222222222228</v>
      </c>
      <c r="I63">
        <v>-8</v>
      </c>
      <c r="J63" t="s">
        <v>18</v>
      </c>
      <c r="K63" t="s">
        <v>19</v>
      </c>
      <c r="M63">
        <v>-2</v>
      </c>
      <c r="N63" t="s">
        <v>1658</v>
      </c>
      <c r="O63" t="s">
        <v>1664</v>
      </c>
      <c r="P63">
        <v>1</v>
      </c>
      <c r="Q63" t="s">
        <v>1663</v>
      </c>
    </row>
    <row r="64" spans="1:18" x14ac:dyDescent="0.35">
      <c r="A64" t="s">
        <v>168</v>
      </c>
      <c r="B64" s="19">
        <v>45926</v>
      </c>
      <c r="C64" t="s">
        <v>169</v>
      </c>
      <c r="D64" t="s">
        <v>413</v>
      </c>
      <c r="E64" t="s">
        <v>71</v>
      </c>
      <c r="F64" t="s">
        <v>28</v>
      </c>
      <c r="G64">
        <v>0.31597222222222221</v>
      </c>
      <c r="H64">
        <v>0.32083333333333341</v>
      </c>
      <c r="I64">
        <v>7</v>
      </c>
      <c r="J64" t="s">
        <v>18</v>
      </c>
      <c r="K64" t="s">
        <v>19</v>
      </c>
      <c r="L64">
        <v>1742</v>
      </c>
      <c r="M64">
        <v>7</v>
      </c>
      <c r="N64" t="s">
        <v>1658</v>
      </c>
      <c r="O64" t="s">
        <v>1666</v>
      </c>
      <c r="P64">
        <v>1</v>
      </c>
      <c r="Q64" t="s">
        <v>1660</v>
      </c>
    </row>
    <row r="65" spans="1:18" x14ac:dyDescent="0.35">
      <c r="A65" t="s">
        <v>170</v>
      </c>
      <c r="B65" s="19">
        <v>45926</v>
      </c>
      <c r="C65" t="s">
        <v>171</v>
      </c>
      <c r="D65" t="s">
        <v>79</v>
      </c>
      <c r="E65" t="s">
        <v>1549</v>
      </c>
      <c r="F65" t="s">
        <v>17</v>
      </c>
      <c r="G65">
        <v>0.46875</v>
      </c>
      <c r="H65">
        <v>0.47499999999999998</v>
      </c>
      <c r="I65">
        <v>14</v>
      </c>
      <c r="J65" t="s">
        <v>18</v>
      </c>
      <c r="K65" t="s">
        <v>19</v>
      </c>
      <c r="L65">
        <v>945</v>
      </c>
      <c r="M65">
        <v>9</v>
      </c>
      <c r="N65" t="s">
        <v>1658</v>
      </c>
      <c r="O65" t="s">
        <v>1666</v>
      </c>
      <c r="P65">
        <v>1</v>
      </c>
      <c r="Q65" t="s">
        <v>1660</v>
      </c>
    </row>
    <row r="66" spans="1:18" x14ac:dyDescent="0.35">
      <c r="A66" t="s">
        <v>172</v>
      </c>
      <c r="B66" s="19">
        <v>45926</v>
      </c>
      <c r="C66" t="s">
        <v>173</v>
      </c>
      <c r="D66" t="s">
        <v>588</v>
      </c>
      <c r="E66" t="s">
        <v>413</v>
      </c>
      <c r="F66" t="s">
        <v>28</v>
      </c>
      <c r="G66">
        <v>0.82291666666666663</v>
      </c>
      <c r="H66">
        <v>0.83472222222222225</v>
      </c>
      <c r="I66">
        <v>12</v>
      </c>
      <c r="J66" t="s">
        <v>54</v>
      </c>
      <c r="K66" t="s">
        <v>19</v>
      </c>
      <c r="L66">
        <v>1232</v>
      </c>
      <c r="M66">
        <v>17</v>
      </c>
      <c r="N66" t="s">
        <v>1658</v>
      </c>
      <c r="O66" t="s">
        <v>1666</v>
      </c>
      <c r="P66">
        <v>1</v>
      </c>
      <c r="Q66" t="s">
        <v>1665</v>
      </c>
      <c r="R66" t="s">
        <v>1657</v>
      </c>
    </row>
    <row r="67" spans="1:18" x14ac:dyDescent="0.35">
      <c r="A67" t="s">
        <v>175</v>
      </c>
      <c r="B67" s="19">
        <v>45927</v>
      </c>
      <c r="C67" t="s">
        <v>176</v>
      </c>
      <c r="D67" t="s">
        <v>197</v>
      </c>
      <c r="E67" t="s">
        <v>202</v>
      </c>
      <c r="F67" t="s">
        <v>28</v>
      </c>
      <c r="G67">
        <v>0.49305555555555558</v>
      </c>
      <c r="H67">
        <v>0.49722222222222218</v>
      </c>
      <c r="I67">
        <v>10</v>
      </c>
      <c r="J67" t="s">
        <v>18</v>
      </c>
      <c r="K67" t="s">
        <v>19</v>
      </c>
      <c r="L67">
        <v>1092</v>
      </c>
      <c r="M67">
        <v>6</v>
      </c>
      <c r="N67" t="s">
        <v>1658</v>
      </c>
      <c r="O67" t="s">
        <v>1667</v>
      </c>
      <c r="P67">
        <v>1</v>
      </c>
      <c r="Q67" t="s">
        <v>1660</v>
      </c>
    </row>
    <row r="68" spans="1:18" x14ac:dyDescent="0.35">
      <c r="A68" t="s">
        <v>177</v>
      </c>
      <c r="B68" s="19">
        <v>45927</v>
      </c>
      <c r="C68" t="s">
        <v>178</v>
      </c>
      <c r="D68" t="s">
        <v>1171</v>
      </c>
      <c r="E68" t="s">
        <v>71</v>
      </c>
      <c r="F68" t="s">
        <v>17</v>
      </c>
      <c r="G68">
        <v>0.61805555555555558</v>
      </c>
      <c r="H68">
        <v>0.61527777777777781</v>
      </c>
      <c r="I68">
        <v>-9</v>
      </c>
      <c r="J68" t="s">
        <v>18</v>
      </c>
      <c r="K68" t="s">
        <v>19</v>
      </c>
      <c r="L68">
        <v>1438</v>
      </c>
      <c r="M68">
        <v>-4</v>
      </c>
      <c r="N68" t="s">
        <v>1658</v>
      </c>
      <c r="O68" t="s">
        <v>1667</v>
      </c>
      <c r="P68">
        <v>1</v>
      </c>
      <c r="Q68" t="s">
        <v>1663</v>
      </c>
    </row>
    <row r="69" spans="1:18" x14ac:dyDescent="0.35">
      <c r="A69" t="s">
        <v>179</v>
      </c>
      <c r="B69" s="19">
        <v>45928</v>
      </c>
      <c r="C69" t="s">
        <v>180</v>
      </c>
      <c r="D69" t="s">
        <v>197</v>
      </c>
      <c r="E69" t="s">
        <v>79</v>
      </c>
      <c r="F69" t="s">
        <v>17</v>
      </c>
      <c r="G69">
        <v>0.40277777777777779</v>
      </c>
      <c r="H69">
        <v>0.40347222222222218</v>
      </c>
      <c r="I69">
        <v>8</v>
      </c>
      <c r="J69" t="s">
        <v>18</v>
      </c>
      <c r="K69" t="s">
        <v>19</v>
      </c>
      <c r="L69">
        <v>759</v>
      </c>
      <c r="M69">
        <v>1</v>
      </c>
      <c r="N69" t="s">
        <v>1658</v>
      </c>
      <c r="O69" t="s">
        <v>1668</v>
      </c>
      <c r="P69">
        <v>1</v>
      </c>
      <c r="Q69" t="s">
        <v>1660</v>
      </c>
    </row>
    <row r="70" spans="1:18" x14ac:dyDescent="0.35">
      <c r="A70" t="s">
        <v>181</v>
      </c>
      <c r="B70" s="19">
        <v>45928</v>
      </c>
      <c r="C70" t="s">
        <v>182</v>
      </c>
      <c r="D70" t="s">
        <v>588</v>
      </c>
      <c r="E70" t="s">
        <v>71</v>
      </c>
      <c r="F70" t="s">
        <v>17</v>
      </c>
      <c r="G70">
        <v>0.47916666666666669</v>
      </c>
      <c r="H70">
        <v>0.47916666666666669</v>
      </c>
      <c r="I70">
        <v>-8</v>
      </c>
      <c r="J70" t="s">
        <v>18</v>
      </c>
      <c r="K70" t="s">
        <v>19</v>
      </c>
      <c r="L70">
        <v>802</v>
      </c>
      <c r="M70">
        <v>0</v>
      </c>
      <c r="N70" t="s">
        <v>1658</v>
      </c>
      <c r="O70" t="s">
        <v>1668</v>
      </c>
      <c r="P70">
        <v>1</v>
      </c>
      <c r="Q70" t="s">
        <v>1660</v>
      </c>
    </row>
    <row r="71" spans="1:18" x14ac:dyDescent="0.35">
      <c r="A71" t="s">
        <v>183</v>
      </c>
      <c r="B71" s="19">
        <v>45928</v>
      </c>
      <c r="C71" t="s">
        <v>184</v>
      </c>
      <c r="D71" t="s">
        <v>71</v>
      </c>
      <c r="E71" t="s">
        <v>1549</v>
      </c>
      <c r="F71" t="s">
        <v>28</v>
      </c>
      <c r="G71">
        <v>0.53472222222222221</v>
      </c>
      <c r="H71">
        <v>0.53611111111111109</v>
      </c>
      <c r="I71">
        <v>6</v>
      </c>
      <c r="J71" t="s">
        <v>18</v>
      </c>
      <c r="K71" t="s">
        <v>19</v>
      </c>
      <c r="L71">
        <v>864</v>
      </c>
      <c r="M71">
        <v>2</v>
      </c>
      <c r="N71" t="s">
        <v>1658</v>
      </c>
      <c r="O71" t="s">
        <v>1668</v>
      </c>
      <c r="P71">
        <v>1</v>
      </c>
      <c r="Q71" t="s">
        <v>1663</v>
      </c>
    </row>
    <row r="72" spans="1:18" x14ac:dyDescent="0.35">
      <c r="A72" t="s">
        <v>185</v>
      </c>
      <c r="B72" s="19">
        <v>45928</v>
      </c>
      <c r="C72" t="s">
        <v>186</v>
      </c>
      <c r="D72" t="s">
        <v>588</v>
      </c>
      <c r="E72" t="s">
        <v>1549</v>
      </c>
      <c r="F72" t="s">
        <v>24</v>
      </c>
      <c r="G72">
        <v>0.72222222222222221</v>
      </c>
      <c r="H72">
        <v>0.74652777777777779</v>
      </c>
      <c r="I72">
        <v>41</v>
      </c>
      <c r="J72" t="s">
        <v>60</v>
      </c>
      <c r="K72" t="s">
        <v>19</v>
      </c>
      <c r="L72">
        <v>1559</v>
      </c>
      <c r="M72">
        <v>35</v>
      </c>
      <c r="N72" t="s">
        <v>1658</v>
      </c>
      <c r="O72" t="s">
        <v>1668</v>
      </c>
      <c r="P72">
        <v>0</v>
      </c>
      <c r="Q72" t="s">
        <v>1665</v>
      </c>
      <c r="R72" t="s">
        <v>1657</v>
      </c>
    </row>
    <row r="73" spans="1:18" x14ac:dyDescent="0.35">
      <c r="A73" t="s">
        <v>187</v>
      </c>
      <c r="B73" s="19">
        <v>45928</v>
      </c>
      <c r="C73" t="s">
        <v>188</v>
      </c>
      <c r="D73" t="s">
        <v>197</v>
      </c>
      <c r="E73" t="s">
        <v>588</v>
      </c>
      <c r="F73" t="s">
        <v>17</v>
      </c>
      <c r="G73">
        <v>0.88541666666666663</v>
      </c>
      <c r="H73">
        <v>0.8930555555555556</v>
      </c>
      <c r="I73">
        <v>-1</v>
      </c>
      <c r="J73" t="s">
        <v>18</v>
      </c>
      <c r="K73" t="s">
        <v>19</v>
      </c>
      <c r="L73">
        <v>1389</v>
      </c>
      <c r="M73">
        <v>11</v>
      </c>
      <c r="N73" t="s">
        <v>1658</v>
      </c>
      <c r="O73" t="s">
        <v>1668</v>
      </c>
      <c r="P73">
        <v>1</v>
      </c>
      <c r="Q73" t="s">
        <v>1669</v>
      </c>
    </row>
    <row r="74" spans="1:18" x14ac:dyDescent="0.35">
      <c r="A74" t="s">
        <v>189</v>
      </c>
      <c r="B74" s="19">
        <v>45929</v>
      </c>
      <c r="C74" t="s">
        <v>190</v>
      </c>
      <c r="D74" t="s">
        <v>226</v>
      </c>
      <c r="E74" t="s">
        <v>79</v>
      </c>
      <c r="F74" t="s">
        <v>17</v>
      </c>
      <c r="G74">
        <v>0.72569444444444442</v>
      </c>
      <c r="H74">
        <v>0.74097222222222225</v>
      </c>
      <c r="I74">
        <v>25</v>
      </c>
      <c r="J74" t="s">
        <v>54</v>
      </c>
      <c r="K74" t="s">
        <v>19</v>
      </c>
      <c r="L74">
        <v>1197</v>
      </c>
      <c r="M74">
        <v>22</v>
      </c>
      <c r="N74" t="s">
        <v>1658</v>
      </c>
      <c r="O74" t="s">
        <v>1659</v>
      </c>
      <c r="P74">
        <v>0</v>
      </c>
      <c r="Q74" t="s">
        <v>1665</v>
      </c>
      <c r="R74" t="s">
        <v>1657</v>
      </c>
    </row>
    <row r="75" spans="1:18" x14ac:dyDescent="0.35">
      <c r="A75" t="s">
        <v>191</v>
      </c>
      <c r="B75" s="19">
        <v>45929</v>
      </c>
      <c r="C75" t="s">
        <v>192</v>
      </c>
      <c r="D75" t="s">
        <v>413</v>
      </c>
      <c r="E75" t="s">
        <v>79</v>
      </c>
      <c r="F75" t="s">
        <v>28</v>
      </c>
      <c r="G75">
        <v>0.78472222222222221</v>
      </c>
      <c r="H75">
        <v>0.78819444444444442</v>
      </c>
      <c r="J75" t="s">
        <v>18</v>
      </c>
      <c r="K75" t="s">
        <v>19</v>
      </c>
      <c r="L75">
        <v>1942</v>
      </c>
      <c r="M75">
        <v>5</v>
      </c>
      <c r="N75" t="s">
        <v>1658</v>
      </c>
      <c r="O75" t="s">
        <v>1659</v>
      </c>
      <c r="Q75" t="s">
        <v>1665</v>
      </c>
    </row>
    <row r="76" spans="1:18" x14ac:dyDescent="0.35">
      <c r="A76" t="s">
        <v>193</v>
      </c>
      <c r="B76" s="19">
        <v>45929</v>
      </c>
      <c r="C76" t="s">
        <v>194</v>
      </c>
      <c r="D76" t="s">
        <v>226</v>
      </c>
      <c r="E76" t="s">
        <v>413</v>
      </c>
      <c r="F76" t="s">
        <v>17</v>
      </c>
      <c r="G76">
        <v>0.84375</v>
      </c>
      <c r="H76">
        <v>0.84305555555555556</v>
      </c>
      <c r="I76">
        <v>2</v>
      </c>
      <c r="J76" t="s">
        <v>18</v>
      </c>
      <c r="K76" t="s">
        <v>19</v>
      </c>
      <c r="L76">
        <v>861</v>
      </c>
      <c r="M76">
        <v>-1</v>
      </c>
      <c r="N76" t="s">
        <v>1658</v>
      </c>
      <c r="O76" t="s">
        <v>1659</v>
      </c>
      <c r="P76">
        <v>1</v>
      </c>
      <c r="Q76" t="s">
        <v>1665</v>
      </c>
    </row>
    <row r="77" spans="1:18" x14ac:dyDescent="0.35">
      <c r="A77" t="s">
        <v>195</v>
      </c>
      <c r="B77" s="19">
        <v>45930</v>
      </c>
      <c r="C77" t="s">
        <v>196</v>
      </c>
      <c r="D77" t="s">
        <v>197</v>
      </c>
      <c r="E77" t="s">
        <v>84</v>
      </c>
      <c r="F77" t="s">
        <v>24</v>
      </c>
      <c r="G77">
        <v>0.2986111111111111</v>
      </c>
      <c r="H77">
        <v>0.2986111111111111</v>
      </c>
      <c r="I77">
        <v>-6</v>
      </c>
      <c r="J77" t="s">
        <v>18</v>
      </c>
      <c r="K77" t="s">
        <v>19</v>
      </c>
      <c r="L77">
        <v>2415</v>
      </c>
      <c r="M77">
        <v>0</v>
      </c>
      <c r="N77" t="s">
        <v>1658</v>
      </c>
      <c r="O77" t="s">
        <v>1661</v>
      </c>
      <c r="P77">
        <v>1</v>
      </c>
      <c r="Q77" t="s">
        <v>1660</v>
      </c>
    </row>
    <row r="78" spans="1:18" x14ac:dyDescent="0.35">
      <c r="A78" t="s">
        <v>198</v>
      </c>
      <c r="B78" s="19">
        <v>45930</v>
      </c>
      <c r="C78" t="s">
        <v>199</v>
      </c>
      <c r="D78" t="s">
        <v>546</v>
      </c>
      <c r="E78" t="s">
        <v>84</v>
      </c>
      <c r="F78" t="s">
        <v>17</v>
      </c>
      <c r="G78">
        <v>0.3888888888888889</v>
      </c>
      <c r="H78">
        <v>0.38680555555555562</v>
      </c>
      <c r="I78">
        <v>-5</v>
      </c>
      <c r="J78" t="s">
        <v>18</v>
      </c>
      <c r="K78" t="s">
        <v>19</v>
      </c>
      <c r="L78">
        <v>867</v>
      </c>
      <c r="M78">
        <v>-3</v>
      </c>
      <c r="N78" t="s">
        <v>1658</v>
      </c>
      <c r="O78" t="s">
        <v>1661</v>
      </c>
      <c r="P78">
        <v>1</v>
      </c>
      <c r="Q78" t="s">
        <v>1660</v>
      </c>
    </row>
    <row r="79" spans="1:18" x14ac:dyDescent="0.35">
      <c r="A79" t="s">
        <v>200</v>
      </c>
      <c r="B79" s="19">
        <v>45930</v>
      </c>
      <c r="C79" t="s">
        <v>201</v>
      </c>
      <c r="D79" t="s">
        <v>1171</v>
      </c>
      <c r="E79" t="s">
        <v>202</v>
      </c>
      <c r="F79" t="s">
        <v>17</v>
      </c>
      <c r="G79">
        <v>0.42708333333333331</v>
      </c>
      <c r="H79">
        <v>0.42986111111111108</v>
      </c>
      <c r="J79" t="s">
        <v>18</v>
      </c>
      <c r="K79" t="s">
        <v>19</v>
      </c>
      <c r="L79">
        <v>1969</v>
      </c>
      <c r="M79">
        <v>4</v>
      </c>
      <c r="N79" t="s">
        <v>1658</v>
      </c>
      <c r="O79" t="s">
        <v>1661</v>
      </c>
      <c r="Q79" t="s">
        <v>1660</v>
      </c>
    </row>
    <row r="80" spans="1:18" x14ac:dyDescent="0.35">
      <c r="A80" t="s">
        <v>203</v>
      </c>
      <c r="B80" s="19">
        <v>45931</v>
      </c>
      <c r="C80" t="s">
        <v>122</v>
      </c>
      <c r="D80" t="s">
        <v>588</v>
      </c>
      <c r="E80" t="s">
        <v>546</v>
      </c>
      <c r="F80" t="s">
        <v>17</v>
      </c>
      <c r="G80">
        <v>0.2986111111111111</v>
      </c>
      <c r="H80">
        <v>0.30416666666666659</v>
      </c>
      <c r="I80">
        <v>8</v>
      </c>
      <c r="J80" t="s">
        <v>18</v>
      </c>
      <c r="K80" t="s">
        <v>19</v>
      </c>
      <c r="L80">
        <v>1053</v>
      </c>
      <c r="M80">
        <v>8</v>
      </c>
      <c r="N80" t="s">
        <v>1671</v>
      </c>
      <c r="O80" t="s">
        <v>1662</v>
      </c>
      <c r="P80">
        <v>1</v>
      </c>
      <c r="Q80" t="s">
        <v>1660</v>
      </c>
    </row>
    <row r="81" spans="1:18" x14ac:dyDescent="0.35">
      <c r="A81" t="s">
        <v>204</v>
      </c>
      <c r="B81" s="19">
        <v>45931</v>
      </c>
      <c r="C81" t="s">
        <v>205</v>
      </c>
      <c r="D81" t="s">
        <v>79</v>
      </c>
      <c r="E81" t="s">
        <v>202</v>
      </c>
      <c r="F81" t="s">
        <v>17</v>
      </c>
      <c r="G81">
        <v>0.31597222222222221</v>
      </c>
      <c r="H81">
        <v>0.31527777777777782</v>
      </c>
      <c r="I81">
        <v>8</v>
      </c>
      <c r="J81" t="s">
        <v>18</v>
      </c>
      <c r="K81" t="s">
        <v>19</v>
      </c>
      <c r="L81">
        <v>596</v>
      </c>
      <c r="M81">
        <v>-1</v>
      </c>
      <c r="N81" t="s">
        <v>1671</v>
      </c>
      <c r="O81" t="s">
        <v>1662</v>
      </c>
      <c r="P81">
        <v>1</v>
      </c>
      <c r="Q81" t="s">
        <v>1660</v>
      </c>
    </row>
    <row r="82" spans="1:18" x14ac:dyDescent="0.35">
      <c r="A82" t="s">
        <v>206</v>
      </c>
      <c r="B82" s="19">
        <v>45931</v>
      </c>
      <c r="C82" t="s">
        <v>207</v>
      </c>
      <c r="D82" t="s">
        <v>546</v>
      </c>
      <c r="E82" t="s">
        <v>71</v>
      </c>
      <c r="F82" t="s">
        <v>24</v>
      </c>
      <c r="G82">
        <v>0.34375</v>
      </c>
      <c r="H82">
        <v>0.34930555555555548</v>
      </c>
      <c r="I82">
        <v>10</v>
      </c>
      <c r="J82" t="s">
        <v>18</v>
      </c>
      <c r="K82" t="s">
        <v>19</v>
      </c>
      <c r="L82">
        <v>1511</v>
      </c>
      <c r="M82">
        <v>8</v>
      </c>
      <c r="N82" t="s">
        <v>1671</v>
      </c>
      <c r="O82" t="s">
        <v>1662</v>
      </c>
      <c r="P82">
        <v>1</v>
      </c>
      <c r="Q82" t="s">
        <v>1660</v>
      </c>
    </row>
    <row r="83" spans="1:18" x14ac:dyDescent="0.35">
      <c r="A83" t="s">
        <v>208</v>
      </c>
      <c r="B83" s="19">
        <v>45931</v>
      </c>
      <c r="C83" t="s">
        <v>209</v>
      </c>
      <c r="D83" t="s">
        <v>1171</v>
      </c>
      <c r="E83" t="s">
        <v>1295</v>
      </c>
      <c r="F83" t="s">
        <v>17</v>
      </c>
      <c r="G83">
        <v>0.5625</v>
      </c>
      <c r="H83">
        <v>0.56319444444444444</v>
      </c>
      <c r="I83">
        <v>0</v>
      </c>
      <c r="J83" t="s">
        <v>18</v>
      </c>
      <c r="K83" t="s">
        <v>19</v>
      </c>
      <c r="M83">
        <v>1</v>
      </c>
      <c r="N83" t="s">
        <v>1671</v>
      </c>
      <c r="O83" t="s">
        <v>1662</v>
      </c>
      <c r="P83">
        <v>1</v>
      </c>
      <c r="Q83" t="s">
        <v>1663</v>
      </c>
    </row>
    <row r="84" spans="1:18" x14ac:dyDescent="0.35">
      <c r="A84" t="s">
        <v>210</v>
      </c>
      <c r="B84" s="19">
        <v>45931</v>
      </c>
      <c r="C84" t="s">
        <v>211</v>
      </c>
      <c r="D84" t="s">
        <v>79</v>
      </c>
      <c r="E84" t="s">
        <v>226</v>
      </c>
      <c r="F84" t="s">
        <v>28</v>
      </c>
      <c r="G84">
        <v>0.58333333333333337</v>
      </c>
      <c r="H84">
        <v>0.58750000000000002</v>
      </c>
      <c r="I84">
        <v>7</v>
      </c>
      <c r="J84" t="s">
        <v>18</v>
      </c>
      <c r="K84" t="s">
        <v>19</v>
      </c>
      <c r="L84">
        <v>1197</v>
      </c>
      <c r="M84">
        <v>6</v>
      </c>
      <c r="N84" t="s">
        <v>1671</v>
      </c>
      <c r="O84" t="s">
        <v>1662</v>
      </c>
      <c r="P84">
        <v>1</v>
      </c>
      <c r="Q84" t="s">
        <v>1663</v>
      </c>
    </row>
    <row r="85" spans="1:18" x14ac:dyDescent="0.35">
      <c r="A85" t="s">
        <v>212</v>
      </c>
      <c r="B85" s="19">
        <v>45931</v>
      </c>
      <c r="C85" t="s">
        <v>213</v>
      </c>
      <c r="D85" t="s">
        <v>71</v>
      </c>
      <c r="E85" t="s">
        <v>226</v>
      </c>
      <c r="F85" t="s">
        <v>24</v>
      </c>
      <c r="G85">
        <v>0.60416666666666663</v>
      </c>
      <c r="H85">
        <v>0.60277777777777775</v>
      </c>
      <c r="I85">
        <v>-6</v>
      </c>
      <c r="J85" t="s">
        <v>18</v>
      </c>
      <c r="K85" t="s">
        <v>19</v>
      </c>
      <c r="L85">
        <v>886</v>
      </c>
      <c r="M85">
        <v>-2</v>
      </c>
      <c r="N85" t="s">
        <v>1671</v>
      </c>
      <c r="O85" t="s">
        <v>1662</v>
      </c>
      <c r="P85">
        <v>1</v>
      </c>
      <c r="Q85" t="s">
        <v>1663</v>
      </c>
    </row>
    <row r="86" spans="1:18" x14ac:dyDescent="0.35">
      <c r="A86" t="s">
        <v>215</v>
      </c>
      <c r="B86" s="19">
        <v>45931</v>
      </c>
      <c r="C86" t="s">
        <v>216</v>
      </c>
      <c r="D86" t="s">
        <v>84</v>
      </c>
      <c r="E86" t="s">
        <v>202</v>
      </c>
      <c r="F86" t="s">
        <v>17</v>
      </c>
      <c r="G86">
        <v>0.74652777777777779</v>
      </c>
      <c r="H86">
        <v>0.80208333333333337</v>
      </c>
      <c r="I86">
        <v>85</v>
      </c>
      <c r="J86" t="s">
        <v>129</v>
      </c>
      <c r="K86" t="s">
        <v>19</v>
      </c>
      <c r="L86">
        <v>2722</v>
      </c>
      <c r="M86">
        <v>80</v>
      </c>
      <c r="N86" t="s">
        <v>1671</v>
      </c>
      <c r="O86" t="s">
        <v>1662</v>
      </c>
      <c r="P86">
        <v>0</v>
      </c>
      <c r="Q86" t="s">
        <v>1665</v>
      </c>
      <c r="R86" t="s">
        <v>1670</v>
      </c>
    </row>
    <row r="87" spans="1:18" x14ac:dyDescent="0.35">
      <c r="A87" t="s">
        <v>217</v>
      </c>
      <c r="B87" s="19">
        <v>45932</v>
      </c>
      <c r="C87" t="s">
        <v>218</v>
      </c>
      <c r="D87" t="s">
        <v>1549</v>
      </c>
      <c r="E87" t="s">
        <v>79</v>
      </c>
      <c r="F87" t="s">
        <v>24</v>
      </c>
      <c r="G87">
        <v>0.28125</v>
      </c>
      <c r="H87">
        <v>0.28125</v>
      </c>
      <c r="I87">
        <v>-9</v>
      </c>
      <c r="J87" t="s">
        <v>18</v>
      </c>
      <c r="K87" t="s">
        <v>19</v>
      </c>
      <c r="L87">
        <v>945</v>
      </c>
      <c r="M87">
        <v>0</v>
      </c>
      <c r="N87" t="s">
        <v>1671</v>
      </c>
      <c r="O87" t="s">
        <v>1664</v>
      </c>
      <c r="P87">
        <v>1</v>
      </c>
      <c r="Q87" t="s">
        <v>1660</v>
      </c>
    </row>
    <row r="88" spans="1:18" x14ac:dyDescent="0.35">
      <c r="A88" t="s">
        <v>219</v>
      </c>
      <c r="B88" s="19">
        <v>45932</v>
      </c>
      <c r="C88" t="s">
        <v>220</v>
      </c>
      <c r="D88" t="s">
        <v>71</v>
      </c>
      <c r="E88" t="s">
        <v>413</v>
      </c>
      <c r="F88" t="s">
        <v>24</v>
      </c>
      <c r="G88">
        <v>0.60416666666666663</v>
      </c>
      <c r="H88">
        <v>0.60972222222222228</v>
      </c>
      <c r="I88">
        <v>5</v>
      </c>
      <c r="J88" t="s">
        <v>18</v>
      </c>
      <c r="K88" t="s">
        <v>19</v>
      </c>
      <c r="L88">
        <v>1742</v>
      </c>
      <c r="M88">
        <v>8</v>
      </c>
      <c r="N88" t="s">
        <v>1671</v>
      </c>
      <c r="O88" t="s">
        <v>1664</v>
      </c>
      <c r="P88">
        <v>1</v>
      </c>
      <c r="Q88" t="s">
        <v>1663</v>
      </c>
    </row>
    <row r="89" spans="1:18" x14ac:dyDescent="0.35">
      <c r="A89" t="s">
        <v>222</v>
      </c>
      <c r="B89" s="19">
        <v>45932</v>
      </c>
      <c r="C89" t="s">
        <v>223</v>
      </c>
      <c r="D89" t="s">
        <v>202</v>
      </c>
      <c r="E89" t="s">
        <v>84</v>
      </c>
      <c r="F89" t="s">
        <v>38</v>
      </c>
      <c r="G89">
        <v>0.76041666666666663</v>
      </c>
      <c r="H89">
        <v>0.76041666666666663</v>
      </c>
      <c r="I89">
        <v>1</v>
      </c>
      <c r="J89" t="s">
        <v>18</v>
      </c>
      <c r="K89" t="s">
        <v>19</v>
      </c>
      <c r="L89">
        <v>2722</v>
      </c>
      <c r="M89">
        <v>0</v>
      </c>
      <c r="N89" t="s">
        <v>1671</v>
      </c>
      <c r="O89" t="s">
        <v>1664</v>
      </c>
      <c r="P89">
        <v>1</v>
      </c>
      <c r="Q89" t="s">
        <v>1665</v>
      </c>
    </row>
    <row r="90" spans="1:18" x14ac:dyDescent="0.35">
      <c r="A90" t="s">
        <v>224</v>
      </c>
      <c r="B90" s="19">
        <v>45932</v>
      </c>
      <c r="C90" t="s">
        <v>225</v>
      </c>
      <c r="D90" t="s">
        <v>226</v>
      </c>
      <c r="E90" t="s">
        <v>546</v>
      </c>
      <c r="F90" t="s">
        <v>17</v>
      </c>
      <c r="G90">
        <v>0.92708333333333337</v>
      </c>
      <c r="H90">
        <v>0.93541666666666667</v>
      </c>
      <c r="I90">
        <v>6</v>
      </c>
      <c r="J90" t="s">
        <v>18</v>
      </c>
      <c r="K90" t="s">
        <v>19</v>
      </c>
      <c r="L90">
        <v>627</v>
      </c>
      <c r="M90">
        <v>12</v>
      </c>
      <c r="N90" t="s">
        <v>1671</v>
      </c>
      <c r="O90" t="s">
        <v>1664</v>
      </c>
      <c r="P90">
        <v>1</v>
      </c>
      <c r="Q90" t="s">
        <v>1669</v>
      </c>
    </row>
    <row r="91" spans="1:18" x14ac:dyDescent="0.35">
      <c r="A91" t="s">
        <v>227</v>
      </c>
      <c r="B91" s="19">
        <v>45933</v>
      </c>
      <c r="C91" t="s">
        <v>228</v>
      </c>
      <c r="D91" t="s">
        <v>413</v>
      </c>
      <c r="E91" t="s">
        <v>226</v>
      </c>
      <c r="F91" t="s">
        <v>28</v>
      </c>
      <c r="G91">
        <v>0.82986111111111116</v>
      </c>
      <c r="H91">
        <v>0.83611111111111114</v>
      </c>
      <c r="I91">
        <v>17</v>
      </c>
      <c r="J91" t="s">
        <v>18</v>
      </c>
      <c r="K91" t="s">
        <v>19</v>
      </c>
      <c r="L91">
        <v>861</v>
      </c>
      <c r="M91">
        <v>9</v>
      </c>
      <c r="N91" t="s">
        <v>1671</v>
      </c>
      <c r="O91" t="s">
        <v>1666</v>
      </c>
      <c r="P91">
        <v>0</v>
      </c>
      <c r="Q91" t="s">
        <v>1665</v>
      </c>
    </row>
    <row r="92" spans="1:18" x14ac:dyDescent="0.35">
      <c r="A92" t="s">
        <v>229</v>
      </c>
      <c r="B92" s="19">
        <v>45934</v>
      </c>
      <c r="C92" t="s">
        <v>230</v>
      </c>
      <c r="D92" t="s">
        <v>413</v>
      </c>
      <c r="E92" t="s">
        <v>71</v>
      </c>
      <c r="F92" t="s">
        <v>24</v>
      </c>
      <c r="G92">
        <v>0.49652777777777779</v>
      </c>
      <c r="H92">
        <v>0.49305555555555558</v>
      </c>
      <c r="I92">
        <v>-8</v>
      </c>
      <c r="J92" t="s">
        <v>18</v>
      </c>
      <c r="K92" t="s">
        <v>19</v>
      </c>
      <c r="L92">
        <v>1742</v>
      </c>
      <c r="M92">
        <v>-5</v>
      </c>
      <c r="N92" t="s">
        <v>1671</v>
      </c>
      <c r="O92" t="s">
        <v>1667</v>
      </c>
      <c r="P92">
        <v>1</v>
      </c>
      <c r="Q92" t="s">
        <v>1660</v>
      </c>
    </row>
    <row r="93" spans="1:18" x14ac:dyDescent="0.35">
      <c r="A93" t="s">
        <v>231</v>
      </c>
      <c r="B93" s="19">
        <v>45934</v>
      </c>
      <c r="C93" t="s">
        <v>232</v>
      </c>
      <c r="D93" t="s">
        <v>413</v>
      </c>
      <c r="E93" t="s">
        <v>226</v>
      </c>
      <c r="F93" t="s">
        <v>38</v>
      </c>
      <c r="G93">
        <v>0.70138888888888884</v>
      </c>
      <c r="H93">
        <v>0.70208333333333328</v>
      </c>
      <c r="I93">
        <v>3</v>
      </c>
      <c r="J93" t="s">
        <v>18</v>
      </c>
      <c r="K93" t="s">
        <v>19</v>
      </c>
      <c r="L93">
        <v>861</v>
      </c>
      <c r="M93">
        <v>1</v>
      </c>
      <c r="N93" t="s">
        <v>1671</v>
      </c>
      <c r="O93" t="s">
        <v>1667</v>
      </c>
      <c r="P93">
        <v>1</v>
      </c>
      <c r="Q93" t="s">
        <v>1663</v>
      </c>
    </row>
    <row r="94" spans="1:18" x14ac:dyDescent="0.35">
      <c r="A94" t="s">
        <v>233</v>
      </c>
      <c r="B94" s="19">
        <v>45934</v>
      </c>
      <c r="C94" t="s">
        <v>234</v>
      </c>
      <c r="D94" t="s">
        <v>84</v>
      </c>
      <c r="E94" t="s">
        <v>1295</v>
      </c>
      <c r="F94" t="s">
        <v>28</v>
      </c>
      <c r="G94">
        <v>0.73263888888888884</v>
      </c>
      <c r="H94">
        <v>0.73124999999999996</v>
      </c>
      <c r="I94">
        <v>-7</v>
      </c>
      <c r="J94" t="s">
        <v>18</v>
      </c>
      <c r="K94" t="s">
        <v>19</v>
      </c>
      <c r="L94">
        <v>679</v>
      </c>
      <c r="M94">
        <v>-2</v>
      </c>
      <c r="N94" t="s">
        <v>1671</v>
      </c>
      <c r="O94" t="s">
        <v>1667</v>
      </c>
      <c r="P94">
        <v>1</v>
      </c>
      <c r="Q94" t="s">
        <v>1665</v>
      </c>
    </row>
    <row r="95" spans="1:18" x14ac:dyDescent="0.35">
      <c r="A95" t="s">
        <v>235</v>
      </c>
      <c r="B95" s="19">
        <v>45935</v>
      </c>
      <c r="C95" t="s">
        <v>236</v>
      </c>
      <c r="D95" t="s">
        <v>226</v>
      </c>
      <c r="E95" t="s">
        <v>1549</v>
      </c>
      <c r="F95" t="s">
        <v>28</v>
      </c>
      <c r="G95">
        <v>0.75</v>
      </c>
      <c r="H95">
        <v>0.74652777777777779</v>
      </c>
      <c r="I95">
        <v>-13</v>
      </c>
      <c r="J95" t="s">
        <v>18</v>
      </c>
      <c r="K95" t="s">
        <v>19</v>
      </c>
      <c r="L95">
        <v>1749</v>
      </c>
      <c r="M95">
        <v>-5</v>
      </c>
      <c r="N95" t="s">
        <v>1671</v>
      </c>
      <c r="O95" t="s">
        <v>1668</v>
      </c>
      <c r="P95">
        <v>1</v>
      </c>
      <c r="Q95" t="s">
        <v>1665</v>
      </c>
    </row>
    <row r="96" spans="1:18" x14ac:dyDescent="0.35">
      <c r="A96" t="s">
        <v>237</v>
      </c>
      <c r="B96" s="19">
        <v>45935</v>
      </c>
      <c r="C96" t="s">
        <v>223</v>
      </c>
      <c r="D96" t="s">
        <v>588</v>
      </c>
      <c r="E96" t="s">
        <v>1295</v>
      </c>
      <c r="F96" t="s">
        <v>38</v>
      </c>
      <c r="G96">
        <v>0.85763888888888884</v>
      </c>
      <c r="H96">
        <v>0.8569444444444444</v>
      </c>
      <c r="I96">
        <v>4</v>
      </c>
      <c r="J96" t="s">
        <v>18</v>
      </c>
      <c r="K96" t="s">
        <v>19</v>
      </c>
      <c r="L96">
        <v>1462</v>
      </c>
      <c r="M96">
        <v>-1</v>
      </c>
      <c r="N96" t="s">
        <v>1671</v>
      </c>
      <c r="O96" t="s">
        <v>1668</v>
      </c>
      <c r="P96">
        <v>1</v>
      </c>
      <c r="Q96" t="s">
        <v>1665</v>
      </c>
    </row>
    <row r="97" spans="1:18" x14ac:dyDescent="0.35">
      <c r="A97" t="s">
        <v>238</v>
      </c>
      <c r="B97" s="19">
        <v>45936</v>
      </c>
      <c r="C97" t="s">
        <v>239</v>
      </c>
      <c r="D97" t="s">
        <v>197</v>
      </c>
      <c r="E97" t="s">
        <v>1549</v>
      </c>
      <c r="F97" t="s">
        <v>17</v>
      </c>
      <c r="G97">
        <v>0.33680555555555558</v>
      </c>
      <c r="H97">
        <v>0.34166666666666667</v>
      </c>
      <c r="I97">
        <v>-2</v>
      </c>
      <c r="J97" t="s">
        <v>18</v>
      </c>
      <c r="K97" t="s">
        <v>19</v>
      </c>
      <c r="L97">
        <v>186</v>
      </c>
      <c r="M97">
        <v>7</v>
      </c>
      <c r="N97" t="s">
        <v>1671</v>
      </c>
      <c r="O97" t="s">
        <v>1659</v>
      </c>
      <c r="P97">
        <v>1</v>
      </c>
      <c r="Q97" t="s">
        <v>1660</v>
      </c>
    </row>
    <row r="98" spans="1:18" x14ac:dyDescent="0.35">
      <c r="A98" t="s">
        <v>240</v>
      </c>
      <c r="B98" s="19">
        <v>45936</v>
      </c>
      <c r="C98" t="s">
        <v>241</v>
      </c>
      <c r="D98" t="s">
        <v>197</v>
      </c>
      <c r="E98" t="s">
        <v>226</v>
      </c>
      <c r="F98" t="s">
        <v>17</v>
      </c>
      <c r="G98">
        <v>0.47222222222222221</v>
      </c>
      <c r="H98">
        <v>0.48055555555555562</v>
      </c>
      <c r="I98">
        <v>19</v>
      </c>
      <c r="J98" t="s">
        <v>18</v>
      </c>
      <c r="K98" t="s">
        <v>19</v>
      </c>
      <c r="L98">
        <v>1622</v>
      </c>
      <c r="M98">
        <v>12</v>
      </c>
      <c r="N98" t="s">
        <v>1671</v>
      </c>
      <c r="O98" t="s">
        <v>1659</v>
      </c>
      <c r="P98">
        <v>0</v>
      </c>
      <c r="Q98" t="s">
        <v>1660</v>
      </c>
    </row>
    <row r="99" spans="1:18" x14ac:dyDescent="0.35">
      <c r="A99" t="s">
        <v>242</v>
      </c>
      <c r="B99" s="19">
        <v>45936</v>
      </c>
      <c r="C99" t="s">
        <v>243</v>
      </c>
      <c r="D99" t="s">
        <v>226</v>
      </c>
      <c r="E99" t="s">
        <v>1295</v>
      </c>
      <c r="F99" t="s">
        <v>24</v>
      </c>
      <c r="G99">
        <v>0.75694444444444442</v>
      </c>
      <c r="H99">
        <v>0.75416666666666665</v>
      </c>
      <c r="I99">
        <v>-3</v>
      </c>
      <c r="J99" t="s">
        <v>18</v>
      </c>
      <c r="K99" t="s">
        <v>19</v>
      </c>
      <c r="L99">
        <v>965</v>
      </c>
      <c r="M99">
        <v>-4</v>
      </c>
      <c r="N99" t="s">
        <v>1671</v>
      </c>
      <c r="O99" t="s">
        <v>1659</v>
      </c>
      <c r="P99">
        <v>1</v>
      </c>
      <c r="Q99" t="s">
        <v>1665</v>
      </c>
    </row>
    <row r="100" spans="1:18" x14ac:dyDescent="0.35">
      <c r="A100" t="s">
        <v>244</v>
      </c>
      <c r="B100" s="19">
        <v>45936</v>
      </c>
      <c r="C100" t="s">
        <v>245</v>
      </c>
      <c r="D100" t="s">
        <v>588</v>
      </c>
      <c r="E100" t="s">
        <v>546</v>
      </c>
      <c r="F100" t="s">
        <v>17</v>
      </c>
      <c r="G100">
        <v>0.86111111111111116</v>
      </c>
      <c r="H100">
        <v>0.86736111111111114</v>
      </c>
      <c r="I100">
        <v>5</v>
      </c>
      <c r="J100" t="s">
        <v>18</v>
      </c>
      <c r="K100" t="s">
        <v>19</v>
      </c>
      <c r="L100">
        <v>1053</v>
      </c>
      <c r="M100">
        <v>9</v>
      </c>
      <c r="N100" t="s">
        <v>1671</v>
      </c>
      <c r="O100" t="s">
        <v>1659</v>
      </c>
      <c r="P100">
        <v>1</v>
      </c>
      <c r="Q100" t="s">
        <v>1665</v>
      </c>
    </row>
    <row r="101" spans="1:18" x14ac:dyDescent="0.35">
      <c r="A101" t="s">
        <v>246</v>
      </c>
      <c r="B101" s="19">
        <v>45937</v>
      </c>
      <c r="C101" t="s">
        <v>247</v>
      </c>
      <c r="D101" t="s">
        <v>79</v>
      </c>
      <c r="E101" t="s">
        <v>71</v>
      </c>
      <c r="F101" t="s">
        <v>28</v>
      </c>
      <c r="G101">
        <v>0.4513888888888889</v>
      </c>
      <c r="H101">
        <v>0.45694444444444438</v>
      </c>
      <c r="I101">
        <v>9</v>
      </c>
      <c r="J101" t="s">
        <v>18</v>
      </c>
      <c r="K101" t="s">
        <v>19</v>
      </c>
      <c r="L101">
        <v>606</v>
      </c>
      <c r="M101">
        <v>8</v>
      </c>
      <c r="N101" t="s">
        <v>1671</v>
      </c>
      <c r="O101" t="s">
        <v>1661</v>
      </c>
      <c r="P101">
        <v>1</v>
      </c>
      <c r="Q101" t="s">
        <v>1660</v>
      </c>
    </row>
    <row r="102" spans="1:18" x14ac:dyDescent="0.35">
      <c r="A102" t="s">
        <v>248</v>
      </c>
      <c r="B102" s="19">
        <v>45937</v>
      </c>
      <c r="C102" t="s">
        <v>249</v>
      </c>
      <c r="D102" t="s">
        <v>202</v>
      </c>
      <c r="E102" t="s">
        <v>71</v>
      </c>
      <c r="F102" t="s">
        <v>24</v>
      </c>
      <c r="G102">
        <v>0.60763888888888884</v>
      </c>
      <c r="H102">
        <v>0.60486111111111107</v>
      </c>
      <c r="I102">
        <v>-16</v>
      </c>
      <c r="J102" t="s">
        <v>18</v>
      </c>
      <c r="K102" t="s">
        <v>19</v>
      </c>
      <c r="L102">
        <v>1199</v>
      </c>
      <c r="M102">
        <v>-4</v>
      </c>
      <c r="N102" t="s">
        <v>1671</v>
      </c>
      <c r="O102" t="s">
        <v>1661</v>
      </c>
      <c r="P102">
        <v>1</v>
      </c>
      <c r="Q102" t="s">
        <v>1663</v>
      </c>
    </row>
    <row r="103" spans="1:18" x14ac:dyDescent="0.35">
      <c r="A103" t="s">
        <v>250</v>
      </c>
      <c r="B103" s="19">
        <v>45937</v>
      </c>
      <c r="C103" t="s">
        <v>251</v>
      </c>
      <c r="D103" t="s">
        <v>79</v>
      </c>
      <c r="E103" t="s">
        <v>197</v>
      </c>
      <c r="F103" t="s">
        <v>17</v>
      </c>
      <c r="G103">
        <v>0.64583333333333337</v>
      </c>
      <c r="H103">
        <v>0.6791666666666667</v>
      </c>
      <c r="I103">
        <v>34</v>
      </c>
      <c r="J103" t="s">
        <v>60</v>
      </c>
      <c r="K103" t="s">
        <v>19</v>
      </c>
      <c r="L103">
        <v>759</v>
      </c>
      <c r="M103">
        <v>48</v>
      </c>
      <c r="N103" t="s">
        <v>1671</v>
      </c>
      <c r="O103" t="s">
        <v>1661</v>
      </c>
      <c r="P103">
        <v>0</v>
      </c>
      <c r="Q103" t="s">
        <v>1663</v>
      </c>
      <c r="R103" t="s">
        <v>1657</v>
      </c>
    </row>
    <row r="104" spans="1:18" x14ac:dyDescent="0.35">
      <c r="A104" t="s">
        <v>1652</v>
      </c>
      <c r="B104" s="19">
        <v>46265</v>
      </c>
      <c r="C104" t="s">
        <v>269</v>
      </c>
      <c r="D104" t="s">
        <v>79</v>
      </c>
      <c r="E104" t="s">
        <v>71</v>
      </c>
      <c r="F104" t="s">
        <v>38</v>
      </c>
      <c r="G104">
        <v>0.78125</v>
      </c>
      <c r="H104">
        <v>0.80555555555555558</v>
      </c>
      <c r="I104">
        <v>26</v>
      </c>
      <c r="J104" t="s">
        <v>60</v>
      </c>
      <c r="K104" t="s">
        <v>19</v>
      </c>
      <c r="L104">
        <v>606</v>
      </c>
      <c r="M104">
        <v>35</v>
      </c>
      <c r="N104" t="s">
        <v>1681</v>
      </c>
      <c r="O104" t="s">
        <v>1659</v>
      </c>
      <c r="P104">
        <v>0</v>
      </c>
      <c r="Q104" t="s">
        <v>1665</v>
      </c>
      <c r="R104" t="s">
        <v>1657</v>
      </c>
    </row>
    <row r="105" spans="1:18" x14ac:dyDescent="0.35">
      <c r="A105" t="s">
        <v>255</v>
      </c>
      <c r="B105" s="19">
        <v>45937</v>
      </c>
      <c r="C105" t="s">
        <v>256</v>
      </c>
      <c r="D105" t="s">
        <v>84</v>
      </c>
      <c r="E105" t="s">
        <v>79</v>
      </c>
      <c r="F105" t="s">
        <v>28</v>
      </c>
      <c r="G105">
        <v>0.94791666666666663</v>
      </c>
      <c r="H105">
        <v>0.95486111111111116</v>
      </c>
      <c r="I105">
        <v>6</v>
      </c>
      <c r="J105" t="s">
        <v>18</v>
      </c>
      <c r="K105" t="s">
        <v>19</v>
      </c>
      <c r="L105">
        <v>2178</v>
      </c>
      <c r="M105">
        <v>10</v>
      </c>
      <c r="N105" t="s">
        <v>1671</v>
      </c>
      <c r="O105" t="s">
        <v>1661</v>
      </c>
      <c r="P105">
        <v>1</v>
      </c>
      <c r="Q105" t="s">
        <v>1669</v>
      </c>
    </row>
    <row r="106" spans="1:18" x14ac:dyDescent="0.35">
      <c r="A106" t="s">
        <v>257</v>
      </c>
      <c r="B106" s="19">
        <v>45938</v>
      </c>
      <c r="C106" t="s">
        <v>258</v>
      </c>
      <c r="D106" t="s">
        <v>588</v>
      </c>
      <c r="E106" t="s">
        <v>202</v>
      </c>
      <c r="F106" t="s">
        <v>28</v>
      </c>
      <c r="G106">
        <v>0.44097222222222221</v>
      </c>
      <c r="H106">
        <v>0.44583333333333341</v>
      </c>
      <c r="I106">
        <v>-1</v>
      </c>
      <c r="J106" t="s">
        <v>18</v>
      </c>
      <c r="K106" t="s">
        <v>19</v>
      </c>
      <c r="L106">
        <v>1120</v>
      </c>
      <c r="M106">
        <v>7</v>
      </c>
      <c r="N106" t="s">
        <v>1671</v>
      </c>
      <c r="O106" t="s">
        <v>1662</v>
      </c>
      <c r="P106">
        <v>1</v>
      </c>
      <c r="Q106" t="s">
        <v>1660</v>
      </c>
    </row>
    <row r="107" spans="1:18" x14ac:dyDescent="0.35">
      <c r="A107" t="s">
        <v>259</v>
      </c>
      <c r="B107" s="19">
        <v>45938</v>
      </c>
      <c r="C107" t="s">
        <v>260</v>
      </c>
      <c r="D107" t="s">
        <v>197</v>
      </c>
      <c r="E107" t="s">
        <v>202</v>
      </c>
      <c r="F107" t="s">
        <v>24</v>
      </c>
      <c r="G107">
        <v>0.77430555555555558</v>
      </c>
      <c r="H107">
        <v>0.78055555555555556</v>
      </c>
      <c r="I107">
        <v>11</v>
      </c>
      <c r="J107" t="s">
        <v>18</v>
      </c>
      <c r="K107" t="s">
        <v>19</v>
      </c>
      <c r="L107">
        <v>1092</v>
      </c>
      <c r="M107">
        <v>9</v>
      </c>
      <c r="N107" t="s">
        <v>1671</v>
      </c>
      <c r="O107" t="s">
        <v>1662</v>
      </c>
      <c r="P107">
        <v>1</v>
      </c>
      <c r="Q107" t="s">
        <v>1665</v>
      </c>
    </row>
    <row r="108" spans="1:18" x14ac:dyDescent="0.35">
      <c r="A108" t="s">
        <v>261</v>
      </c>
      <c r="B108" s="19">
        <v>45939</v>
      </c>
      <c r="C108" t="s">
        <v>262</v>
      </c>
      <c r="D108" t="s">
        <v>197</v>
      </c>
      <c r="E108" t="s">
        <v>79</v>
      </c>
      <c r="F108" t="s">
        <v>24</v>
      </c>
      <c r="G108">
        <v>0.21180555555555561</v>
      </c>
      <c r="H108">
        <v>0.23958333333333329</v>
      </c>
      <c r="I108">
        <v>30</v>
      </c>
      <c r="J108" t="s">
        <v>477</v>
      </c>
      <c r="K108" t="s">
        <v>19</v>
      </c>
      <c r="L108">
        <v>759</v>
      </c>
      <c r="M108">
        <v>40</v>
      </c>
      <c r="N108" t="s">
        <v>1671</v>
      </c>
      <c r="O108" t="s">
        <v>1664</v>
      </c>
      <c r="P108">
        <v>0</v>
      </c>
      <c r="Q108" t="s">
        <v>1660</v>
      </c>
      <c r="R108" t="s">
        <v>1670</v>
      </c>
    </row>
    <row r="109" spans="1:18" x14ac:dyDescent="0.35">
      <c r="A109" t="s">
        <v>264</v>
      </c>
      <c r="B109" s="19">
        <v>45939</v>
      </c>
      <c r="C109" t="s">
        <v>265</v>
      </c>
      <c r="D109" t="s">
        <v>1549</v>
      </c>
      <c r="E109" t="s">
        <v>79</v>
      </c>
      <c r="F109" t="s">
        <v>28</v>
      </c>
      <c r="G109">
        <v>0.40625</v>
      </c>
      <c r="H109">
        <v>0.40069444444444452</v>
      </c>
      <c r="I109">
        <v>-13</v>
      </c>
      <c r="J109" t="s">
        <v>18</v>
      </c>
      <c r="K109" t="s">
        <v>19</v>
      </c>
      <c r="L109">
        <v>945</v>
      </c>
      <c r="M109">
        <v>-8</v>
      </c>
      <c r="N109" t="s">
        <v>1671</v>
      </c>
      <c r="O109" t="s">
        <v>1664</v>
      </c>
      <c r="P109">
        <v>1</v>
      </c>
      <c r="Q109" t="s">
        <v>1660</v>
      </c>
    </row>
    <row r="110" spans="1:18" x14ac:dyDescent="0.35">
      <c r="A110" t="s">
        <v>266</v>
      </c>
      <c r="B110" s="19">
        <v>45939</v>
      </c>
      <c r="C110" t="s">
        <v>267</v>
      </c>
      <c r="D110" t="s">
        <v>71</v>
      </c>
      <c r="E110" t="s">
        <v>588</v>
      </c>
      <c r="F110" t="s">
        <v>24</v>
      </c>
      <c r="G110">
        <v>0.42708333333333331</v>
      </c>
      <c r="H110">
        <v>0.42777777777777781</v>
      </c>
      <c r="I110">
        <v>-8</v>
      </c>
      <c r="J110" t="s">
        <v>18</v>
      </c>
      <c r="K110" t="s">
        <v>19</v>
      </c>
      <c r="L110">
        <v>802</v>
      </c>
      <c r="M110">
        <v>1</v>
      </c>
      <c r="N110" t="s">
        <v>1671</v>
      </c>
      <c r="O110" t="s">
        <v>1664</v>
      </c>
      <c r="P110">
        <v>1</v>
      </c>
      <c r="Q110" t="s">
        <v>1660</v>
      </c>
    </row>
    <row r="111" spans="1:18" x14ac:dyDescent="0.35">
      <c r="A111" t="s">
        <v>268</v>
      </c>
      <c r="B111" s="19">
        <v>45939</v>
      </c>
      <c r="C111" t="s">
        <v>269</v>
      </c>
      <c r="D111" t="s">
        <v>197</v>
      </c>
      <c r="E111" t="s">
        <v>71</v>
      </c>
      <c r="F111" t="s">
        <v>17</v>
      </c>
      <c r="G111">
        <v>0.66666666666666663</v>
      </c>
      <c r="H111">
        <v>0.67222222222222228</v>
      </c>
      <c r="I111">
        <v>10</v>
      </c>
      <c r="J111" t="s">
        <v>18</v>
      </c>
      <c r="K111" t="s">
        <v>19</v>
      </c>
      <c r="L111">
        <v>738</v>
      </c>
      <c r="M111">
        <v>8</v>
      </c>
      <c r="N111" t="s">
        <v>1671</v>
      </c>
      <c r="O111" t="s">
        <v>1664</v>
      </c>
      <c r="P111">
        <v>1</v>
      </c>
      <c r="Q111" t="s">
        <v>1663</v>
      </c>
    </row>
    <row r="112" spans="1:18" x14ac:dyDescent="0.35">
      <c r="A112" t="s">
        <v>270</v>
      </c>
      <c r="B112" s="19">
        <v>45940</v>
      </c>
      <c r="C112" t="s">
        <v>271</v>
      </c>
      <c r="D112" t="s">
        <v>71</v>
      </c>
      <c r="E112" t="s">
        <v>588</v>
      </c>
      <c r="F112" t="s">
        <v>28</v>
      </c>
      <c r="G112">
        <v>0.53819444444444442</v>
      </c>
      <c r="I112">
        <v>-14</v>
      </c>
      <c r="J112" t="s">
        <v>18</v>
      </c>
      <c r="K112" t="s">
        <v>19</v>
      </c>
      <c r="L112">
        <v>802</v>
      </c>
      <c r="M112">
        <v>-8</v>
      </c>
      <c r="N112" t="s">
        <v>1671</v>
      </c>
      <c r="O112" t="s">
        <v>1666</v>
      </c>
      <c r="P112">
        <v>1</v>
      </c>
      <c r="Q112" t="s">
        <v>1663</v>
      </c>
    </row>
    <row r="113" spans="1:18" x14ac:dyDescent="0.35">
      <c r="A113" t="s">
        <v>272</v>
      </c>
      <c r="B113" s="19">
        <v>45940</v>
      </c>
      <c r="C113" t="s">
        <v>273</v>
      </c>
      <c r="D113" t="s">
        <v>226</v>
      </c>
      <c r="E113" t="s">
        <v>413</v>
      </c>
      <c r="F113" t="s">
        <v>17</v>
      </c>
      <c r="G113">
        <v>0.875</v>
      </c>
      <c r="H113">
        <v>0.87430555555555556</v>
      </c>
      <c r="I113">
        <v>7</v>
      </c>
      <c r="J113" t="s">
        <v>18</v>
      </c>
      <c r="K113" t="s">
        <v>19</v>
      </c>
      <c r="L113">
        <v>861</v>
      </c>
      <c r="M113">
        <v>-1</v>
      </c>
      <c r="N113" t="s">
        <v>1671</v>
      </c>
      <c r="O113" t="s">
        <v>1666</v>
      </c>
      <c r="P113">
        <v>1</v>
      </c>
      <c r="Q113" t="s">
        <v>1669</v>
      </c>
    </row>
    <row r="114" spans="1:18" x14ac:dyDescent="0.35">
      <c r="A114" t="s">
        <v>274</v>
      </c>
      <c r="B114" s="19">
        <v>45940</v>
      </c>
      <c r="C114" t="s">
        <v>275</v>
      </c>
      <c r="D114" t="s">
        <v>1549</v>
      </c>
      <c r="E114" t="s">
        <v>588</v>
      </c>
      <c r="F114" t="s">
        <v>38</v>
      </c>
      <c r="G114">
        <v>0.91319444444444442</v>
      </c>
      <c r="H114">
        <v>0.97361111111111109</v>
      </c>
      <c r="I114">
        <v>95</v>
      </c>
      <c r="J114" t="s">
        <v>129</v>
      </c>
      <c r="K114" t="s">
        <v>19</v>
      </c>
      <c r="L114">
        <v>1559</v>
      </c>
      <c r="M114">
        <v>87</v>
      </c>
      <c r="N114" t="s">
        <v>1671</v>
      </c>
      <c r="O114" t="s">
        <v>1666</v>
      </c>
      <c r="P114">
        <v>0</v>
      </c>
      <c r="Q114" t="s">
        <v>1669</v>
      </c>
      <c r="R114" t="s">
        <v>1670</v>
      </c>
    </row>
    <row r="115" spans="1:18" x14ac:dyDescent="0.35">
      <c r="A115" t="s">
        <v>277</v>
      </c>
      <c r="B115" s="19">
        <v>45941</v>
      </c>
      <c r="C115" t="s">
        <v>278</v>
      </c>
      <c r="D115" t="s">
        <v>71</v>
      </c>
      <c r="E115" t="s">
        <v>588</v>
      </c>
      <c r="F115" t="s">
        <v>24</v>
      </c>
      <c r="G115">
        <v>0.41319444444444442</v>
      </c>
      <c r="H115">
        <v>0.41319444444444442</v>
      </c>
      <c r="I115">
        <v>-4</v>
      </c>
      <c r="J115" t="s">
        <v>18</v>
      </c>
      <c r="K115" t="s">
        <v>19</v>
      </c>
      <c r="L115">
        <v>802</v>
      </c>
      <c r="M115">
        <v>0</v>
      </c>
      <c r="N115" t="s">
        <v>1671</v>
      </c>
      <c r="O115" t="s">
        <v>1667</v>
      </c>
      <c r="P115">
        <v>1</v>
      </c>
      <c r="Q115" t="s">
        <v>1660</v>
      </c>
    </row>
    <row r="116" spans="1:18" x14ac:dyDescent="0.35">
      <c r="A116" t="s">
        <v>279</v>
      </c>
      <c r="B116" s="19">
        <v>45941</v>
      </c>
      <c r="C116" t="s">
        <v>280</v>
      </c>
      <c r="D116" t="s">
        <v>71</v>
      </c>
      <c r="E116" t="s">
        <v>413</v>
      </c>
      <c r="F116" t="s">
        <v>17</v>
      </c>
      <c r="G116">
        <v>0.44444444444444442</v>
      </c>
      <c r="H116">
        <v>0.44444444444444442</v>
      </c>
      <c r="I116">
        <v>2</v>
      </c>
      <c r="J116" t="s">
        <v>18</v>
      </c>
      <c r="K116" t="s">
        <v>19</v>
      </c>
      <c r="L116">
        <v>1742</v>
      </c>
      <c r="M116">
        <v>0</v>
      </c>
      <c r="N116" t="s">
        <v>1671</v>
      </c>
      <c r="O116" t="s">
        <v>1667</v>
      </c>
      <c r="P116">
        <v>1</v>
      </c>
      <c r="Q116" t="s">
        <v>1660</v>
      </c>
    </row>
    <row r="117" spans="1:18" x14ac:dyDescent="0.35">
      <c r="A117" t="s">
        <v>281</v>
      </c>
      <c r="B117" s="19">
        <v>45941</v>
      </c>
      <c r="C117" t="s">
        <v>282</v>
      </c>
      <c r="D117" t="s">
        <v>79</v>
      </c>
      <c r="E117" t="s">
        <v>546</v>
      </c>
      <c r="F117" t="s">
        <v>24</v>
      </c>
      <c r="G117">
        <v>0.57638888888888884</v>
      </c>
      <c r="H117">
        <v>0.63472222222222219</v>
      </c>
      <c r="I117">
        <v>84</v>
      </c>
      <c r="J117" t="s">
        <v>129</v>
      </c>
      <c r="K117" t="s">
        <v>19</v>
      </c>
      <c r="L117">
        <v>1743</v>
      </c>
      <c r="M117">
        <v>84</v>
      </c>
      <c r="N117" t="s">
        <v>1671</v>
      </c>
      <c r="O117" t="s">
        <v>1667</v>
      </c>
      <c r="P117">
        <v>0</v>
      </c>
      <c r="Q117" t="s">
        <v>1663</v>
      </c>
      <c r="R117" t="s">
        <v>1670</v>
      </c>
    </row>
    <row r="118" spans="1:18" x14ac:dyDescent="0.35">
      <c r="A118" t="s">
        <v>283</v>
      </c>
      <c r="B118" s="19">
        <v>45941</v>
      </c>
      <c r="C118" t="s">
        <v>284</v>
      </c>
      <c r="D118" t="s">
        <v>1549</v>
      </c>
      <c r="E118" t="s">
        <v>79</v>
      </c>
      <c r="F118" t="s">
        <v>28</v>
      </c>
      <c r="G118">
        <v>0.70486111111111116</v>
      </c>
      <c r="H118">
        <v>0.70694444444444449</v>
      </c>
      <c r="I118">
        <v>-6</v>
      </c>
      <c r="J118" t="s">
        <v>18</v>
      </c>
      <c r="K118" t="s">
        <v>19</v>
      </c>
      <c r="L118">
        <v>945</v>
      </c>
      <c r="M118">
        <v>3</v>
      </c>
      <c r="N118" t="s">
        <v>1671</v>
      </c>
      <c r="O118" t="s">
        <v>1667</v>
      </c>
      <c r="P118">
        <v>1</v>
      </c>
      <c r="Q118" t="s">
        <v>1663</v>
      </c>
    </row>
    <row r="119" spans="1:18" x14ac:dyDescent="0.35">
      <c r="A119" t="s">
        <v>285</v>
      </c>
      <c r="B119" s="19">
        <v>45942</v>
      </c>
      <c r="C119" t="s">
        <v>286</v>
      </c>
      <c r="D119" t="s">
        <v>84</v>
      </c>
      <c r="E119" t="s">
        <v>202</v>
      </c>
      <c r="F119" t="s">
        <v>17</v>
      </c>
      <c r="G119">
        <v>0.31597222222222221</v>
      </c>
      <c r="H119">
        <v>0.31388888888888888</v>
      </c>
      <c r="I119">
        <v>-2</v>
      </c>
      <c r="J119" t="s">
        <v>18</v>
      </c>
      <c r="K119" t="s">
        <v>19</v>
      </c>
      <c r="L119">
        <v>2722</v>
      </c>
      <c r="M119">
        <v>-3</v>
      </c>
      <c r="N119" t="s">
        <v>1671</v>
      </c>
      <c r="O119" t="s">
        <v>1668</v>
      </c>
      <c r="P119">
        <v>1</v>
      </c>
      <c r="Q119" t="s">
        <v>1660</v>
      </c>
    </row>
    <row r="120" spans="1:18" x14ac:dyDescent="0.35">
      <c r="A120" t="s">
        <v>287</v>
      </c>
      <c r="B120" s="19">
        <v>45942</v>
      </c>
      <c r="C120" t="s">
        <v>288</v>
      </c>
      <c r="D120" t="s">
        <v>197</v>
      </c>
      <c r="E120" t="s">
        <v>71</v>
      </c>
      <c r="F120" t="s">
        <v>17</v>
      </c>
      <c r="G120">
        <v>0.38541666666666669</v>
      </c>
      <c r="H120">
        <v>0.3923611111111111</v>
      </c>
      <c r="I120">
        <v>6</v>
      </c>
      <c r="J120" t="s">
        <v>18</v>
      </c>
      <c r="K120" t="s">
        <v>19</v>
      </c>
      <c r="L120">
        <v>738</v>
      </c>
      <c r="M120">
        <v>10</v>
      </c>
      <c r="N120" t="s">
        <v>1671</v>
      </c>
      <c r="O120" t="s">
        <v>1668</v>
      </c>
      <c r="P120">
        <v>1</v>
      </c>
      <c r="Q120" t="s">
        <v>1660</v>
      </c>
    </row>
    <row r="121" spans="1:18" x14ac:dyDescent="0.35">
      <c r="A121" t="s">
        <v>289</v>
      </c>
      <c r="B121" s="19">
        <v>45942</v>
      </c>
      <c r="C121" t="s">
        <v>290</v>
      </c>
      <c r="D121" t="s">
        <v>202</v>
      </c>
      <c r="E121" t="s">
        <v>1549</v>
      </c>
      <c r="F121" t="s">
        <v>24</v>
      </c>
      <c r="G121">
        <v>0.59375</v>
      </c>
      <c r="H121">
        <v>0.59722222222222221</v>
      </c>
      <c r="I121">
        <v>-4</v>
      </c>
      <c r="J121" t="s">
        <v>18</v>
      </c>
      <c r="K121" t="s">
        <v>19</v>
      </c>
      <c r="L121">
        <v>1260</v>
      </c>
      <c r="M121">
        <v>5</v>
      </c>
      <c r="N121" t="s">
        <v>1671</v>
      </c>
      <c r="O121" t="s">
        <v>1668</v>
      </c>
      <c r="P121">
        <v>1</v>
      </c>
      <c r="Q121" t="s">
        <v>1663</v>
      </c>
    </row>
    <row r="122" spans="1:18" x14ac:dyDescent="0.35">
      <c r="A122" t="s">
        <v>291</v>
      </c>
      <c r="B122" s="19">
        <v>45942</v>
      </c>
      <c r="C122" t="s">
        <v>292</v>
      </c>
      <c r="D122" t="s">
        <v>71</v>
      </c>
      <c r="E122" t="s">
        <v>226</v>
      </c>
      <c r="F122" t="s">
        <v>24</v>
      </c>
      <c r="G122">
        <v>0.61111111111111116</v>
      </c>
      <c r="H122">
        <v>0.61805555555555558</v>
      </c>
      <c r="I122">
        <v>-2</v>
      </c>
      <c r="J122" t="s">
        <v>18</v>
      </c>
      <c r="K122" t="s">
        <v>19</v>
      </c>
      <c r="L122">
        <v>886</v>
      </c>
      <c r="M122">
        <v>10</v>
      </c>
      <c r="N122" t="s">
        <v>1671</v>
      </c>
      <c r="O122" t="s">
        <v>1668</v>
      </c>
      <c r="P122">
        <v>1</v>
      </c>
      <c r="Q122" t="s">
        <v>1663</v>
      </c>
    </row>
    <row r="123" spans="1:18" x14ac:dyDescent="0.35">
      <c r="A123" t="s">
        <v>293</v>
      </c>
      <c r="B123" s="19">
        <v>45942</v>
      </c>
      <c r="C123" t="s">
        <v>294</v>
      </c>
      <c r="D123" t="s">
        <v>588</v>
      </c>
      <c r="E123" t="s">
        <v>226</v>
      </c>
      <c r="F123" t="s">
        <v>38</v>
      </c>
      <c r="G123">
        <v>0.80555555555555558</v>
      </c>
      <c r="H123">
        <v>0.80347222222222225</v>
      </c>
      <c r="I123">
        <v>0</v>
      </c>
      <c r="J123" t="s">
        <v>18</v>
      </c>
      <c r="K123" t="s">
        <v>19</v>
      </c>
      <c r="L123">
        <v>641</v>
      </c>
      <c r="M123">
        <v>-3</v>
      </c>
      <c r="N123" t="s">
        <v>1671</v>
      </c>
      <c r="O123" t="s">
        <v>1668</v>
      </c>
      <c r="P123">
        <v>1</v>
      </c>
      <c r="Q123" t="s">
        <v>1665</v>
      </c>
    </row>
    <row r="124" spans="1:18" x14ac:dyDescent="0.35">
      <c r="A124" t="s">
        <v>295</v>
      </c>
      <c r="B124" s="19">
        <v>45942</v>
      </c>
      <c r="C124" t="s">
        <v>296</v>
      </c>
      <c r="D124" t="s">
        <v>413</v>
      </c>
      <c r="E124" t="s">
        <v>226</v>
      </c>
      <c r="F124" t="s">
        <v>17</v>
      </c>
      <c r="G124">
        <v>0.88541666666666663</v>
      </c>
      <c r="H124">
        <v>0.88402777777777775</v>
      </c>
      <c r="I124">
        <v>-10</v>
      </c>
      <c r="J124" t="s">
        <v>18</v>
      </c>
      <c r="K124" t="s">
        <v>19</v>
      </c>
      <c r="L124">
        <v>861</v>
      </c>
      <c r="M124">
        <v>-2</v>
      </c>
      <c r="N124" t="s">
        <v>1671</v>
      </c>
      <c r="O124" t="s">
        <v>1668</v>
      </c>
      <c r="P124">
        <v>1</v>
      </c>
      <c r="Q124" t="s">
        <v>1669</v>
      </c>
    </row>
    <row r="125" spans="1:18" x14ac:dyDescent="0.35">
      <c r="A125" t="s">
        <v>297</v>
      </c>
      <c r="B125" s="19">
        <v>45943</v>
      </c>
      <c r="C125" t="s">
        <v>298</v>
      </c>
      <c r="D125" t="s">
        <v>413</v>
      </c>
      <c r="E125" t="s">
        <v>588</v>
      </c>
      <c r="F125" t="s">
        <v>17</v>
      </c>
      <c r="G125">
        <v>0.2638888888888889</v>
      </c>
      <c r="H125">
        <v>0.27013888888888887</v>
      </c>
      <c r="I125">
        <v>4</v>
      </c>
      <c r="J125" t="s">
        <v>18</v>
      </c>
      <c r="K125" t="s">
        <v>19</v>
      </c>
      <c r="L125">
        <v>1232</v>
      </c>
      <c r="M125">
        <v>9</v>
      </c>
      <c r="N125" t="s">
        <v>1671</v>
      </c>
      <c r="O125" t="s">
        <v>1659</v>
      </c>
      <c r="P125">
        <v>1</v>
      </c>
      <c r="Q125" t="s">
        <v>1660</v>
      </c>
    </row>
    <row r="126" spans="1:18" x14ac:dyDescent="0.35">
      <c r="A126" t="s">
        <v>299</v>
      </c>
      <c r="B126" s="19">
        <v>45943</v>
      </c>
      <c r="C126" t="s">
        <v>300</v>
      </c>
      <c r="D126" t="s">
        <v>1295</v>
      </c>
      <c r="E126" t="s">
        <v>79</v>
      </c>
      <c r="F126" t="s">
        <v>28</v>
      </c>
      <c r="G126">
        <v>0.35069444444444442</v>
      </c>
      <c r="H126">
        <v>0.37083333333333329</v>
      </c>
      <c r="I126">
        <v>14</v>
      </c>
      <c r="J126" t="s">
        <v>60</v>
      </c>
      <c r="K126" t="s">
        <v>19</v>
      </c>
      <c r="L126">
        <v>2134</v>
      </c>
      <c r="M126">
        <v>29</v>
      </c>
      <c r="N126" t="s">
        <v>1671</v>
      </c>
      <c r="O126" t="s">
        <v>1659</v>
      </c>
      <c r="P126">
        <v>1</v>
      </c>
      <c r="Q126" t="s">
        <v>1660</v>
      </c>
      <c r="R126" t="s">
        <v>1657</v>
      </c>
    </row>
    <row r="127" spans="1:18" x14ac:dyDescent="0.35">
      <c r="A127" t="s">
        <v>301</v>
      </c>
      <c r="B127" s="19">
        <v>45943</v>
      </c>
      <c r="C127" t="s">
        <v>302</v>
      </c>
      <c r="D127" t="s">
        <v>79</v>
      </c>
      <c r="E127" t="s">
        <v>197</v>
      </c>
      <c r="F127" t="s">
        <v>28</v>
      </c>
      <c r="G127">
        <v>0.41319444444444442</v>
      </c>
      <c r="H127">
        <v>0.42986111111111108</v>
      </c>
      <c r="I127">
        <v>24</v>
      </c>
      <c r="J127" t="s">
        <v>129</v>
      </c>
      <c r="K127" t="s">
        <v>19</v>
      </c>
      <c r="L127">
        <v>759</v>
      </c>
      <c r="M127">
        <v>24</v>
      </c>
      <c r="N127" t="s">
        <v>1671</v>
      </c>
      <c r="O127" t="s">
        <v>1659</v>
      </c>
      <c r="P127">
        <v>0</v>
      </c>
      <c r="Q127" t="s">
        <v>1660</v>
      </c>
      <c r="R127" t="s">
        <v>1670</v>
      </c>
    </row>
    <row r="128" spans="1:18" x14ac:dyDescent="0.35">
      <c r="A128" t="s">
        <v>304</v>
      </c>
      <c r="B128" s="19">
        <v>45943</v>
      </c>
      <c r="C128" t="s">
        <v>305</v>
      </c>
      <c r="D128" t="s">
        <v>202</v>
      </c>
      <c r="E128" t="s">
        <v>71</v>
      </c>
      <c r="F128" t="s">
        <v>17</v>
      </c>
      <c r="G128">
        <v>0.50347222222222221</v>
      </c>
      <c r="H128">
        <v>0.50486111111111109</v>
      </c>
      <c r="I128">
        <v>1</v>
      </c>
      <c r="J128" t="s">
        <v>18</v>
      </c>
      <c r="K128" t="s">
        <v>19</v>
      </c>
      <c r="L128">
        <v>1199</v>
      </c>
      <c r="M128">
        <v>2</v>
      </c>
      <c r="N128" t="s">
        <v>1671</v>
      </c>
      <c r="O128" t="s">
        <v>1659</v>
      </c>
      <c r="P128">
        <v>1</v>
      </c>
      <c r="Q128" t="s">
        <v>1663</v>
      </c>
    </row>
    <row r="129" spans="1:18" x14ac:dyDescent="0.35">
      <c r="A129" t="s">
        <v>306</v>
      </c>
      <c r="B129" s="19">
        <v>45943</v>
      </c>
      <c r="C129" t="s">
        <v>307</v>
      </c>
      <c r="D129" t="s">
        <v>197</v>
      </c>
      <c r="E129" t="s">
        <v>202</v>
      </c>
      <c r="F129" t="s">
        <v>28</v>
      </c>
      <c r="G129">
        <v>0.77430555555555558</v>
      </c>
      <c r="H129">
        <v>0.77361111111111114</v>
      </c>
      <c r="I129">
        <v>8</v>
      </c>
      <c r="J129" t="s">
        <v>18</v>
      </c>
      <c r="K129" t="s">
        <v>19</v>
      </c>
      <c r="L129">
        <v>1092</v>
      </c>
      <c r="M129">
        <v>-1</v>
      </c>
      <c r="N129" t="s">
        <v>1671</v>
      </c>
      <c r="O129" t="s">
        <v>1659</v>
      </c>
      <c r="P129">
        <v>1</v>
      </c>
      <c r="Q129" t="s">
        <v>1665</v>
      </c>
    </row>
    <row r="130" spans="1:18" x14ac:dyDescent="0.35">
      <c r="A130" t="s">
        <v>308</v>
      </c>
      <c r="B130" s="19">
        <v>45944</v>
      </c>
      <c r="C130" t="s">
        <v>309</v>
      </c>
      <c r="D130" t="s">
        <v>588</v>
      </c>
      <c r="E130" t="s">
        <v>79</v>
      </c>
      <c r="F130" t="s">
        <v>17</v>
      </c>
      <c r="G130">
        <v>0.3298611111111111</v>
      </c>
      <c r="H130">
        <v>0.32916666666666672</v>
      </c>
      <c r="I130">
        <v>1</v>
      </c>
      <c r="J130" t="s">
        <v>18</v>
      </c>
      <c r="K130" t="s">
        <v>19</v>
      </c>
      <c r="L130">
        <v>730</v>
      </c>
      <c r="M130">
        <v>-1</v>
      </c>
      <c r="N130" t="s">
        <v>1671</v>
      </c>
      <c r="O130" t="s">
        <v>1661</v>
      </c>
      <c r="P130">
        <v>1</v>
      </c>
      <c r="Q130" t="s">
        <v>1660</v>
      </c>
    </row>
    <row r="131" spans="1:18" x14ac:dyDescent="0.35">
      <c r="A131" t="s">
        <v>310</v>
      </c>
      <c r="B131" s="19">
        <v>45944</v>
      </c>
      <c r="C131" t="s">
        <v>205</v>
      </c>
      <c r="D131" t="s">
        <v>413</v>
      </c>
      <c r="E131" t="s">
        <v>202</v>
      </c>
      <c r="F131" t="s">
        <v>28</v>
      </c>
      <c r="G131">
        <v>0.40972222222222221</v>
      </c>
      <c r="H131">
        <v>0.41736111111111113</v>
      </c>
      <c r="I131">
        <v>13</v>
      </c>
      <c r="J131" t="s">
        <v>18</v>
      </c>
      <c r="K131" t="s">
        <v>19</v>
      </c>
      <c r="L131">
        <v>2338</v>
      </c>
      <c r="M131">
        <v>11</v>
      </c>
      <c r="N131" t="s">
        <v>1671</v>
      </c>
      <c r="O131" t="s">
        <v>1661</v>
      </c>
      <c r="P131">
        <v>1</v>
      </c>
      <c r="Q131" t="s">
        <v>1660</v>
      </c>
    </row>
    <row r="132" spans="1:18" x14ac:dyDescent="0.35">
      <c r="A132" t="s">
        <v>311</v>
      </c>
      <c r="B132" s="19">
        <v>45944</v>
      </c>
      <c r="C132" t="s">
        <v>312</v>
      </c>
      <c r="D132" t="s">
        <v>413</v>
      </c>
      <c r="E132" t="s">
        <v>197</v>
      </c>
      <c r="F132" t="s">
        <v>17</v>
      </c>
      <c r="G132">
        <v>0.76388888888888884</v>
      </c>
      <c r="H132">
        <v>0.77708333333333335</v>
      </c>
      <c r="I132">
        <v>20</v>
      </c>
      <c r="J132" t="s">
        <v>129</v>
      </c>
      <c r="K132" t="s">
        <v>19</v>
      </c>
      <c r="L132">
        <v>2470</v>
      </c>
      <c r="M132">
        <v>19</v>
      </c>
      <c r="N132" t="s">
        <v>1671</v>
      </c>
      <c r="O132" t="s">
        <v>1661</v>
      </c>
      <c r="P132">
        <v>0</v>
      </c>
      <c r="Q132" t="s">
        <v>1665</v>
      </c>
      <c r="R132" t="s">
        <v>1670</v>
      </c>
    </row>
    <row r="133" spans="1:18" x14ac:dyDescent="0.35">
      <c r="A133" t="s">
        <v>313</v>
      </c>
      <c r="B133" s="19">
        <v>45945</v>
      </c>
      <c r="C133" t="s">
        <v>314</v>
      </c>
      <c r="D133" t="s">
        <v>546</v>
      </c>
      <c r="E133" t="s">
        <v>1171</v>
      </c>
      <c r="F133" t="s">
        <v>17</v>
      </c>
      <c r="G133">
        <v>0.41666666666666669</v>
      </c>
      <c r="H133">
        <v>0.42083333333333328</v>
      </c>
      <c r="I133">
        <v>-5</v>
      </c>
      <c r="J133" t="s">
        <v>18</v>
      </c>
      <c r="K133" t="s">
        <v>19</v>
      </c>
      <c r="L133">
        <v>256</v>
      </c>
      <c r="M133">
        <v>6</v>
      </c>
      <c r="N133" t="s">
        <v>1671</v>
      </c>
      <c r="O133" t="s">
        <v>1662</v>
      </c>
      <c r="P133">
        <v>1</v>
      </c>
      <c r="Q133" t="s">
        <v>1660</v>
      </c>
    </row>
    <row r="134" spans="1:18" x14ac:dyDescent="0.35">
      <c r="A134" t="s">
        <v>315</v>
      </c>
      <c r="B134" s="19">
        <v>45945</v>
      </c>
      <c r="C134" t="s">
        <v>316</v>
      </c>
      <c r="D134" t="s">
        <v>588</v>
      </c>
      <c r="E134" t="s">
        <v>1549</v>
      </c>
      <c r="F134" t="s">
        <v>17</v>
      </c>
      <c r="G134">
        <v>0.4375</v>
      </c>
      <c r="H134">
        <v>0.44444444444444442</v>
      </c>
      <c r="I134">
        <v>11</v>
      </c>
      <c r="J134" t="s">
        <v>18</v>
      </c>
      <c r="K134" t="s">
        <v>19</v>
      </c>
      <c r="L134">
        <v>1559</v>
      </c>
      <c r="M134">
        <v>10</v>
      </c>
      <c r="N134" t="s">
        <v>1671</v>
      </c>
      <c r="O134" t="s">
        <v>1662</v>
      </c>
      <c r="P134">
        <v>1</v>
      </c>
      <c r="Q134" t="s">
        <v>1660</v>
      </c>
    </row>
    <row r="135" spans="1:18" x14ac:dyDescent="0.35">
      <c r="A135" t="s">
        <v>317</v>
      </c>
      <c r="B135" s="19">
        <v>45945</v>
      </c>
      <c r="C135" t="s">
        <v>318</v>
      </c>
      <c r="D135" t="s">
        <v>79</v>
      </c>
      <c r="E135" t="s">
        <v>84</v>
      </c>
      <c r="F135" t="s">
        <v>24</v>
      </c>
      <c r="G135">
        <v>0.75347222222222221</v>
      </c>
      <c r="H135">
        <v>0.77708333333333335</v>
      </c>
      <c r="I135">
        <v>31</v>
      </c>
      <c r="J135" t="s">
        <v>319</v>
      </c>
      <c r="K135" t="s">
        <v>19</v>
      </c>
      <c r="L135">
        <v>2178</v>
      </c>
      <c r="M135">
        <v>34</v>
      </c>
      <c r="N135" t="s">
        <v>1671</v>
      </c>
      <c r="O135" t="s">
        <v>1662</v>
      </c>
      <c r="P135">
        <v>0</v>
      </c>
      <c r="Q135" t="s">
        <v>1665</v>
      </c>
      <c r="R135" t="s">
        <v>1670</v>
      </c>
    </row>
    <row r="136" spans="1:18" x14ac:dyDescent="0.35">
      <c r="A136" t="s">
        <v>320</v>
      </c>
      <c r="B136" s="19">
        <v>45945</v>
      </c>
      <c r="C136" t="s">
        <v>298</v>
      </c>
      <c r="D136" t="s">
        <v>84</v>
      </c>
      <c r="E136" t="s">
        <v>546</v>
      </c>
      <c r="F136" t="s">
        <v>38</v>
      </c>
      <c r="G136">
        <v>0.78819444444444442</v>
      </c>
      <c r="H136">
        <v>0.79166666666666663</v>
      </c>
      <c r="I136">
        <v>-7</v>
      </c>
      <c r="J136" t="s">
        <v>18</v>
      </c>
      <c r="K136" t="s">
        <v>19</v>
      </c>
      <c r="L136">
        <v>867</v>
      </c>
      <c r="M136">
        <v>5</v>
      </c>
      <c r="N136" t="s">
        <v>1671</v>
      </c>
      <c r="O136" t="s">
        <v>1662</v>
      </c>
      <c r="P136">
        <v>1</v>
      </c>
      <c r="Q136" t="s">
        <v>1665</v>
      </c>
    </row>
    <row r="137" spans="1:18" x14ac:dyDescent="0.35">
      <c r="A137" t="s">
        <v>321</v>
      </c>
      <c r="B137" s="19">
        <v>45946</v>
      </c>
      <c r="C137" t="s">
        <v>322</v>
      </c>
      <c r="D137" t="s">
        <v>202</v>
      </c>
      <c r="E137" t="s">
        <v>79</v>
      </c>
      <c r="F137" t="s">
        <v>28</v>
      </c>
      <c r="G137">
        <v>0.36458333333333331</v>
      </c>
      <c r="H137">
        <v>0.36249999999999999</v>
      </c>
      <c r="I137">
        <v>1</v>
      </c>
      <c r="J137" t="s">
        <v>18</v>
      </c>
      <c r="K137" t="s">
        <v>19</v>
      </c>
      <c r="L137">
        <v>596</v>
      </c>
      <c r="M137">
        <v>-3</v>
      </c>
      <c r="N137" t="s">
        <v>1671</v>
      </c>
      <c r="O137" t="s">
        <v>1664</v>
      </c>
      <c r="P137">
        <v>1</v>
      </c>
      <c r="Q137" t="s">
        <v>1660</v>
      </c>
    </row>
    <row r="138" spans="1:18" x14ac:dyDescent="0.35">
      <c r="A138" t="s">
        <v>323</v>
      </c>
      <c r="B138" s="19">
        <v>45946</v>
      </c>
      <c r="C138" t="s">
        <v>324</v>
      </c>
      <c r="D138" t="s">
        <v>1549</v>
      </c>
      <c r="E138" t="s">
        <v>84</v>
      </c>
      <c r="F138" t="s">
        <v>24</v>
      </c>
      <c r="G138">
        <v>0.44791666666666669</v>
      </c>
      <c r="H138">
        <v>0.46388888888888891</v>
      </c>
      <c r="I138">
        <v>23</v>
      </c>
      <c r="J138" t="s">
        <v>477</v>
      </c>
      <c r="K138" t="s">
        <v>19</v>
      </c>
      <c r="L138">
        <v>2489</v>
      </c>
      <c r="M138">
        <v>23</v>
      </c>
      <c r="N138" t="s">
        <v>1671</v>
      </c>
      <c r="O138" t="s">
        <v>1664</v>
      </c>
      <c r="P138">
        <v>0</v>
      </c>
      <c r="Q138" t="s">
        <v>1660</v>
      </c>
      <c r="R138" t="s">
        <v>1670</v>
      </c>
    </row>
    <row r="139" spans="1:18" x14ac:dyDescent="0.35">
      <c r="A139" t="s">
        <v>326</v>
      </c>
      <c r="B139" s="19">
        <v>45946</v>
      </c>
      <c r="C139" t="s">
        <v>327</v>
      </c>
      <c r="D139" t="s">
        <v>197</v>
      </c>
      <c r="E139" t="s">
        <v>84</v>
      </c>
      <c r="F139" t="s">
        <v>17</v>
      </c>
      <c r="G139">
        <v>0.46180555555555558</v>
      </c>
      <c r="H139">
        <v>0.46944444444444439</v>
      </c>
      <c r="I139">
        <v>9</v>
      </c>
      <c r="J139" t="s">
        <v>18</v>
      </c>
      <c r="K139" t="s">
        <v>19</v>
      </c>
      <c r="L139">
        <v>2415</v>
      </c>
      <c r="M139">
        <v>11</v>
      </c>
      <c r="N139" t="s">
        <v>1671</v>
      </c>
      <c r="O139" t="s">
        <v>1664</v>
      </c>
      <c r="P139">
        <v>1</v>
      </c>
      <c r="Q139" t="s">
        <v>1660</v>
      </c>
    </row>
    <row r="140" spans="1:18" x14ac:dyDescent="0.35">
      <c r="A140" t="s">
        <v>329</v>
      </c>
      <c r="B140" s="19">
        <v>45946</v>
      </c>
      <c r="C140" t="s">
        <v>330</v>
      </c>
      <c r="D140" t="s">
        <v>71</v>
      </c>
      <c r="E140" t="s">
        <v>202</v>
      </c>
      <c r="F140" t="s">
        <v>17</v>
      </c>
      <c r="G140">
        <v>0.78472222222222221</v>
      </c>
      <c r="H140">
        <v>0.78402777777777777</v>
      </c>
      <c r="I140">
        <v>-10</v>
      </c>
      <c r="J140" t="s">
        <v>18</v>
      </c>
      <c r="K140" t="s">
        <v>19</v>
      </c>
      <c r="L140">
        <v>1199</v>
      </c>
      <c r="M140">
        <v>-1</v>
      </c>
      <c r="N140" t="s">
        <v>1671</v>
      </c>
      <c r="O140" t="s">
        <v>1664</v>
      </c>
      <c r="P140">
        <v>1</v>
      </c>
      <c r="Q140" t="s">
        <v>1665</v>
      </c>
    </row>
    <row r="141" spans="1:18" x14ac:dyDescent="0.35">
      <c r="A141" t="s">
        <v>331</v>
      </c>
      <c r="B141" s="19">
        <v>45946</v>
      </c>
      <c r="C141" t="s">
        <v>332</v>
      </c>
      <c r="D141" t="s">
        <v>1171</v>
      </c>
      <c r="E141" t="s">
        <v>202</v>
      </c>
      <c r="F141" t="s">
        <v>28</v>
      </c>
      <c r="G141">
        <v>0.84375</v>
      </c>
      <c r="H141">
        <v>0.85069444444444442</v>
      </c>
      <c r="I141">
        <v>9</v>
      </c>
      <c r="J141" t="s">
        <v>18</v>
      </c>
      <c r="K141" t="s">
        <v>19</v>
      </c>
      <c r="L141">
        <v>1969</v>
      </c>
      <c r="M141">
        <v>10</v>
      </c>
      <c r="N141" t="s">
        <v>1671</v>
      </c>
      <c r="O141" t="s">
        <v>1664</v>
      </c>
      <c r="P141">
        <v>1</v>
      </c>
      <c r="Q141" t="s">
        <v>1665</v>
      </c>
    </row>
    <row r="142" spans="1:18" x14ac:dyDescent="0.35">
      <c r="A142" t="s">
        <v>333</v>
      </c>
      <c r="B142" s="19">
        <v>45947</v>
      </c>
      <c r="C142" t="s">
        <v>334</v>
      </c>
      <c r="D142" t="s">
        <v>546</v>
      </c>
      <c r="E142" t="s">
        <v>71</v>
      </c>
      <c r="F142" t="s">
        <v>17</v>
      </c>
      <c r="G142">
        <v>0.27430555555555558</v>
      </c>
      <c r="H142">
        <v>0.2722222222222222</v>
      </c>
      <c r="I142">
        <v>5</v>
      </c>
      <c r="J142" t="s">
        <v>18</v>
      </c>
      <c r="K142" t="s">
        <v>19</v>
      </c>
      <c r="L142">
        <v>1511</v>
      </c>
      <c r="M142">
        <v>-3</v>
      </c>
      <c r="N142" t="s">
        <v>1671</v>
      </c>
      <c r="O142" t="s">
        <v>1666</v>
      </c>
      <c r="P142">
        <v>1</v>
      </c>
      <c r="Q142" t="s">
        <v>1660</v>
      </c>
    </row>
    <row r="143" spans="1:18" x14ac:dyDescent="0.35">
      <c r="A143" t="s">
        <v>335</v>
      </c>
      <c r="B143" s="19">
        <v>45947</v>
      </c>
      <c r="C143" t="s">
        <v>336</v>
      </c>
      <c r="D143" t="s">
        <v>71</v>
      </c>
      <c r="E143" t="s">
        <v>588</v>
      </c>
      <c r="F143" t="s">
        <v>24</v>
      </c>
      <c r="G143">
        <v>0.67708333333333337</v>
      </c>
      <c r="H143">
        <v>0.68194444444444446</v>
      </c>
      <c r="I143">
        <v>6</v>
      </c>
      <c r="J143" t="s">
        <v>18</v>
      </c>
      <c r="K143" t="s">
        <v>19</v>
      </c>
      <c r="L143">
        <v>802</v>
      </c>
      <c r="M143">
        <v>7</v>
      </c>
      <c r="N143" t="s">
        <v>1671</v>
      </c>
      <c r="O143" t="s">
        <v>1666</v>
      </c>
      <c r="P143">
        <v>1</v>
      </c>
      <c r="Q143" t="s">
        <v>1663</v>
      </c>
    </row>
    <row r="144" spans="1:18" x14ac:dyDescent="0.35">
      <c r="A144" t="s">
        <v>337</v>
      </c>
      <c r="B144" s="19">
        <v>45947</v>
      </c>
      <c r="C144" t="s">
        <v>338</v>
      </c>
      <c r="D144" t="s">
        <v>588</v>
      </c>
      <c r="E144" t="s">
        <v>413</v>
      </c>
      <c r="F144" t="s">
        <v>24</v>
      </c>
      <c r="G144">
        <v>0.83333333333333337</v>
      </c>
      <c r="H144">
        <v>0.84861111111111109</v>
      </c>
      <c r="I144">
        <v>13</v>
      </c>
      <c r="J144" t="s">
        <v>54</v>
      </c>
      <c r="K144" t="s">
        <v>19</v>
      </c>
      <c r="L144">
        <v>1232</v>
      </c>
      <c r="M144">
        <v>22</v>
      </c>
      <c r="N144" t="s">
        <v>1671</v>
      </c>
      <c r="O144" t="s">
        <v>1666</v>
      </c>
      <c r="P144">
        <v>1</v>
      </c>
      <c r="Q144" t="s">
        <v>1665</v>
      </c>
      <c r="R144" t="s">
        <v>1657</v>
      </c>
    </row>
    <row r="145" spans="1:18" x14ac:dyDescent="0.35">
      <c r="A145" t="s">
        <v>339</v>
      </c>
      <c r="B145" s="19">
        <v>45948</v>
      </c>
      <c r="C145" t="s">
        <v>340</v>
      </c>
      <c r="D145" t="s">
        <v>202</v>
      </c>
      <c r="E145" t="s">
        <v>588</v>
      </c>
      <c r="F145" t="s">
        <v>24</v>
      </c>
      <c r="G145">
        <v>0.22916666666666671</v>
      </c>
      <c r="H145">
        <v>0.24930555555555561</v>
      </c>
      <c r="I145">
        <v>33</v>
      </c>
      <c r="J145" t="s">
        <v>54</v>
      </c>
      <c r="K145" t="s">
        <v>19</v>
      </c>
      <c r="L145">
        <v>1120</v>
      </c>
      <c r="M145">
        <v>29</v>
      </c>
      <c r="N145" t="s">
        <v>1671</v>
      </c>
      <c r="O145" t="s">
        <v>1667</v>
      </c>
      <c r="P145">
        <v>0</v>
      </c>
      <c r="Q145" t="s">
        <v>1660</v>
      </c>
      <c r="R145" t="s">
        <v>1657</v>
      </c>
    </row>
    <row r="146" spans="1:18" x14ac:dyDescent="0.35">
      <c r="A146" t="s">
        <v>341</v>
      </c>
      <c r="B146" s="19">
        <v>45948</v>
      </c>
      <c r="C146" t="s">
        <v>342</v>
      </c>
      <c r="D146" t="s">
        <v>79</v>
      </c>
      <c r="E146" t="s">
        <v>1295</v>
      </c>
      <c r="F146" t="s">
        <v>17</v>
      </c>
      <c r="G146">
        <v>0.34027777777777779</v>
      </c>
      <c r="H146">
        <v>0.3347222222222222</v>
      </c>
      <c r="I146">
        <v>-8</v>
      </c>
      <c r="J146" t="s">
        <v>18</v>
      </c>
      <c r="K146" t="s">
        <v>19</v>
      </c>
      <c r="L146">
        <v>2134</v>
      </c>
      <c r="M146">
        <v>-8</v>
      </c>
      <c r="N146" t="s">
        <v>1671</v>
      </c>
      <c r="O146" t="s">
        <v>1667</v>
      </c>
      <c r="P146">
        <v>1</v>
      </c>
      <c r="Q146" t="s">
        <v>1660</v>
      </c>
    </row>
    <row r="147" spans="1:18" x14ac:dyDescent="0.35">
      <c r="A147" t="s">
        <v>343</v>
      </c>
      <c r="B147" s="19">
        <v>45948</v>
      </c>
      <c r="C147" t="s">
        <v>344</v>
      </c>
      <c r="D147" t="s">
        <v>413</v>
      </c>
      <c r="E147" t="s">
        <v>79</v>
      </c>
      <c r="F147" t="s">
        <v>17</v>
      </c>
      <c r="G147">
        <v>0.77777777777777779</v>
      </c>
      <c r="H147">
        <v>0.78333333333333333</v>
      </c>
      <c r="I147">
        <v>13</v>
      </c>
      <c r="J147" t="s">
        <v>18</v>
      </c>
      <c r="K147" t="s">
        <v>19</v>
      </c>
      <c r="L147">
        <v>1942</v>
      </c>
      <c r="M147">
        <v>8</v>
      </c>
      <c r="N147" t="s">
        <v>1671</v>
      </c>
      <c r="O147" t="s">
        <v>1667</v>
      </c>
      <c r="P147">
        <v>1</v>
      </c>
      <c r="Q147" t="s">
        <v>1665</v>
      </c>
    </row>
    <row r="148" spans="1:18" x14ac:dyDescent="0.35">
      <c r="A148" t="s">
        <v>345</v>
      </c>
      <c r="B148" s="19">
        <v>45948</v>
      </c>
      <c r="C148" t="s">
        <v>346</v>
      </c>
      <c r="D148" t="s">
        <v>1549</v>
      </c>
      <c r="E148" t="s">
        <v>71</v>
      </c>
      <c r="F148" t="s">
        <v>17</v>
      </c>
      <c r="G148">
        <v>0.84027777777777779</v>
      </c>
      <c r="H148">
        <v>0.83958333333333335</v>
      </c>
      <c r="I148">
        <v>-2</v>
      </c>
      <c r="J148" t="s">
        <v>18</v>
      </c>
      <c r="K148" t="s">
        <v>19</v>
      </c>
      <c r="L148">
        <v>864</v>
      </c>
      <c r="M148">
        <v>-1</v>
      </c>
      <c r="N148" t="s">
        <v>1671</v>
      </c>
      <c r="O148" t="s">
        <v>1667</v>
      </c>
      <c r="P148">
        <v>1</v>
      </c>
      <c r="Q148" t="s">
        <v>1665</v>
      </c>
    </row>
    <row r="149" spans="1:18" x14ac:dyDescent="0.35">
      <c r="A149" t="s">
        <v>347</v>
      </c>
      <c r="B149" s="19">
        <v>45948</v>
      </c>
      <c r="C149" t="s">
        <v>273</v>
      </c>
      <c r="D149" t="s">
        <v>71</v>
      </c>
      <c r="E149" t="s">
        <v>546</v>
      </c>
      <c r="F149" t="s">
        <v>38</v>
      </c>
      <c r="G149">
        <v>0.85069444444444442</v>
      </c>
      <c r="H149">
        <v>0.85833333333333328</v>
      </c>
      <c r="I149">
        <v>2</v>
      </c>
      <c r="J149" t="s">
        <v>18</v>
      </c>
      <c r="K149" t="s">
        <v>19</v>
      </c>
      <c r="L149">
        <v>1511</v>
      </c>
      <c r="M149">
        <v>11</v>
      </c>
      <c r="N149" t="s">
        <v>1671</v>
      </c>
      <c r="O149" t="s">
        <v>1667</v>
      </c>
      <c r="P149">
        <v>1</v>
      </c>
      <c r="Q149" t="s">
        <v>1665</v>
      </c>
    </row>
    <row r="150" spans="1:18" x14ac:dyDescent="0.35">
      <c r="A150" t="s">
        <v>348</v>
      </c>
      <c r="B150" s="19">
        <v>45949</v>
      </c>
      <c r="C150" t="s">
        <v>349</v>
      </c>
      <c r="D150" t="s">
        <v>1171</v>
      </c>
      <c r="E150" t="s">
        <v>84</v>
      </c>
      <c r="F150" t="s">
        <v>24</v>
      </c>
      <c r="G150">
        <v>0.39583333333333331</v>
      </c>
      <c r="H150">
        <v>0.4</v>
      </c>
      <c r="I150">
        <v>5</v>
      </c>
      <c r="J150" t="s">
        <v>18</v>
      </c>
      <c r="K150" t="s">
        <v>19</v>
      </c>
      <c r="L150">
        <v>1108</v>
      </c>
      <c r="M150">
        <v>6</v>
      </c>
      <c r="N150" t="s">
        <v>1671</v>
      </c>
      <c r="O150" t="s">
        <v>1668</v>
      </c>
      <c r="P150">
        <v>1</v>
      </c>
      <c r="Q150" t="s">
        <v>1660</v>
      </c>
    </row>
    <row r="151" spans="1:18" x14ac:dyDescent="0.35">
      <c r="A151" t="s">
        <v>1651</v>
      </c>
      <c r="B151" s="19">
        <v>46265</v>
      </c>
      <c r="C151" t="s">
        <v>1091</v>
      </c>
      <c r="D151" t="s">
        <v>588</v>
      </c>
      <c r="E151" t="s">
        <v>84</v>
      </c>
      <c r="F151" t="s">
        <v>24</v>
      </c>
      <c r="G151">
        <v>0.70833333333333337</v>
      </c>
      <c r="H151">
        <v>0.73541666666666672</v>
      </c>
      <c r="I151">
        <v>36</v>
      </c>
      <c r="J151" t="s">
        <v>129</v>
      </c>
      <c r="K151" t="s">
        <v>19</v>
      </c>
      <c r="L151">
        <v>1658</v>
      </c>
      <c r="M151">
        <v>39</v>
      </c>
      <c r="N151" t="s">
        <v>1681</v>
      </c>
      <c r="O151" t="s">
        <v>1659</v>
      </c>
      <c r="P151">
        <v>0</v>
      </c>
      <c r="Q151" t="s">
        <v>1665</v>
      </c>
      <c r="R151" t="s">
        <v>1670</v>
      </c>
    </row>
    <row r="152" spans="1:18" x14ac:dyDescent="0.35">
      <c r="A152" t="s">
        <v>352</v>
      </c>
      <c r="B152" s="19">
        <v>45949</v>
      </c>
      <c r="C152" t="s">
        <v>353</v>
      </c>
      <c r="D152" t="s">
        <v>79</v>
      </c>
      <c r="E152" t="s">
        <v>197</v>
      </c>
      <c r="F152" t="s">
        <v>28</v>
      </c>
      <c r="G152">
        <v>0.52777777777777779</v>
      </c>
      <c r="H152">
        <v>0.53472222222222221</v>
      </c>
      <c r="J152" t="s">
        <v>18</v>
      </c>
      <c r="K152" t="s">
        <v>19</v>
      </c>
      <c r="L152">
        <v>759</v>
      </c>
      <c r="M152">
        <v>10</v>
      </c>
      <c r="N152" t="s">
        <v>1671</v>
      </c>
      <c r="O152" t="s">
        <v>1668</v>
      </c>
      <c r="Q152" t="s">
        <v>1663</v>
      </c>
    </row>
    <row r="153" spans="1:18" x14ac:dyDescent="0.35">
      <c r="A153" t="s">
        <v>354</v>
      </c>
      <c r="B153" s="19">
        <v>45950</v>
      </c>
      <c r="C153" t="s">
        <v>355</v>
      </c>
      <c r="D153" t="s">
        <v>413</v>
      </c>
      <c r="E153" t="s">
        <v>79</v>
      </c>
      <c r="F153" t="s">
        <v>24</v>
      </c>
      <c r="G153">
        <v>0.22222222222222221</v>
      </c>
      <c r="H153">
        <v>0.22361111111111109</v>
      </c>
      <c r="I153">
        <v>0</v>
      </c>
      <c r="J153" t="s">
        <v>18</v>
      </c>
      <c r="K153" t="s">
        <v>19</v>
      </c>
      <c r="L153">
        <v>1942</v>
      </c>
      <c r="M153">
        <v>2</v>
      </c>
      <c r="N153" t="s">
        <v>1671</v>
      </c>
      <c r="O153" t="s">
        <v>1659</v>
      </c>
      <c r="P153">
        <v>1</v>
      </c>
      <c r="Q153" t="s">
        <v>1660</v>
      </c>
    </row>
    <row r="154" spans="1:18" x14ac:dyDescent="0.35">
      <c r="A154" t="s">
        <v>356</v>
      </c>
      <c r="B154" s="19">
        <v>45951</v>
      </c>
      <c r="C154" t="s">
        <v>357</v>
      </c>
      <c r="D154" t="s">
        <v>71</v>
      </c>
      <c r="E154" t="s">
        <v>226</v>
      </c>
      <c r="F154" t="s">
        <v>24</v>
      </c>
      <c r="G154">
        <v>0.29166666666666669</v>
      </c>
      <c r="H154">
        <v>0.29375000000000001</v>
      </c>
      <c r="I154">
        <v>3</v>
      </c>
      <c r="J154" t="s">
        <v>18</v>
      </c>
      <c r="K154" t="s">
        <v>19</v>
      </c>
      <c r="L154">
        <v>886</v>
      </c>
      <c r="M154">
        <v>3</v>
      </c>
      <c r="N154" t="s">
        <v>1671</v>
      </c>
      <c r="O154" t="s">
        <v>1661</v>
      </c>
      <c r="P154">
        <v>1</v>
      </c>
      <c r="Q154" t="s">
        <v>1660</v>
      </c>
    </row>
    <row r="155" spans="1:18" x14ac:dyDescent="0.35">
      <c r="A155" t="s">
        <v>358</v>
      </c>
      <c r="B155" s="19">
        <v>45951</v>
      </c>
      <c r="C155" t="s">
        <v>359</v>
      </c>
      <c r="D155" t="s">
        <v>226</v>
      </c>
      <c r="E155" t="s">
        <v>588</v>
      </c>
      <c r="F155" t="s">
        <v>24</v>
      </c>
      <c r="G155">
        <v>0.36805555555555558</v>
      </c>
      <c r="H155">
        <v>0.37152777777777779</v>
      </c>
      <c r="I155">
        <v>2</v>
      </c>
      <c r="J155" t="s">
        <v>18</v>
      </c>
      <c r="K155" t="s">
        <v>19</v>
      </c>
      <c r="L155">
        <v>641</v>
      </c>
      <c r="M155">
        <v>5</v>
      </c>
      <c r="N155" t="s">
        <v>1671</v>
      </c>
      <c r="O155" t="s">
        <v>1661</v>
      </c>
      <c r="P155">
        <v>1</v>
      </c>
      <c r="Q155" t="s">
        <v>1660</v>
      </c>
    </row>
    <row r="156" spans="1:18" x14ac:dyDescent="0.35">
      <c r="A156" t="s">
        <v>360</v>
      </c>
      <c r="B156" s="19">
        <v>45951</v>
      </c>
      <c r="C156" t="s">
        <v>361</v>
      </c>
      <c r="D156" t="s">
        <v>1171</v>
      </c>
      <c r="E156" t="s">
        <v>71</v>
      </c>
      <c r="F156" t="s">
        <v>17</v>
      </c>
      <c r="G156">
        <v>0.66666666666666663</v>
      </c>
      <c r="H156">
        <v>0.66874999999999996</v>
      </c>
      <c r="I156">
        <v>5</v>
      </c>
      <c r="J156" t="s">
        <v>18</v>
      </c>
      <c r="K156" t="s">
        <v>19</v>
      </c>
      <c r="L156">
        <v>1438</v>
      </c>
      <c r="M156">
        <v>3</v>
      </c>
      <c r="N156" t="s">
        <v>1671</v>
      </c>
      <c r="O156" t="s">
        <v>1661</v>
      </c>
      <c r="P156">
        <v>1</v>
      </c>
      <c r="Q156" t="s">
        <v>1663</v>
      </c>
    </row>
    <row r="157" spans="1:18" x14ac:dyDescent="0.35">
      <c r="A157" t="s">
        <v>1650</v>
      </c>
      <c r="B157" s="19">
        <v>46264</v>
      </c>
      <c r="C157" t="s">
        <v>300</v>
      </c>
      <c r="D157" t="s">
        <v>1171</v>
      </c>
      <c r="E157" t="s">
        <v>79</v>
      </c>
      <c r="F157" t="s">
        <v>24</v>
      </c>
      <c r="G157">
        <v>0.82291666666666663</v>
      </c>
      <c r="H157">
        <v>0.82777777777777772</v>
      </c>
      <c r="I157">
        <v>2</v>
      </c>
      <c r="J157" t="s">
        <v>18</v>
      </c>
      <c r="K157" t="s">
        <v>19</v>
      </c>
      <c r="L157">
        <v>1584</v>
      </c>
      <c r="M157">
        <v>7</v>
      </c>
      <c r="N157" t="s">
        <v>1681</v>
      </c>
      <c r="O157" t="s">
        <v>1668</v>
      </c>
      <c r="P157">
        <v>1</v>
      </c>
      <c r="Q157" t="s">
        <v>1665</v>
      </c>
    </row>
    <row r="158" spans="1:18" x14ac:dyDescent="0.35">
      <c r="A158" t="s">
        <v>364</v>
      </c>
      <c r="B158" s="19">
        <v>45952</v>
      </c>
      <c r="C158" t="s">
        <v>365</v>
      </c>
      <c r="D158" t="s">
        <v>84</v>
      </c>
      <c r="E158" t="s">
        <v>71</v>
      </c>
      <c r="F158" t="s">
        <v>28</v>
      </c>
      <c r="G158">
        <v>0.47916666666666669</v>
      </c>
      <c r="H158">
        <v>0.4777777777777778</v>
      </c>
      <c r="I158">
        <v>-12</v>
      </c>
      <c r="J158" t="s">
        <v>18</v>
      </c>
      <c r="K158" t="s">
        <v>19</v>
      </c>
      <c r="L158">
        <v>1717</v>
      </c>
      <c r="M158">
        <v>-2</v>
      </c>
      <c r="N158" t="s">
        <v>1671</v>
      </c>
      <c r="O158" t="s">
        <v>1662</v>
      </c>
      <c r="P158">
        <v>1</v>
      </c>
      <c r="Q158" t="s">
        <v>1660</v>
      </c>
    </row>
    <row r="159" spans="1:18" x14ac:dyDescent="0.35">
      <c r="A159" t="s">
        <v>366</v>
      </c>
      <c r="B159" s="19">
        <v>45952</v>
      </c>
      <c r="C159" t="s">
        <v>367</v>
      </c>
      <c r="D159" t="s">
        <v>197</v>
      </c>
      <c r="E159" t="s">
        <v>84</v>
      </c>
      <c r="F159" t="s">
        <v>28</v>
      </c>
      <c r="G159">
        <v>0.61458333333333337</v>
      </c>
      <c r="H159">
        <v>0.69305555555555554</v>
      </c>
      <c r="I159">
        <v>100</v>
      </c>
      <c r="J159" t="s">
        <v>54</v>
      </c>
      <c r="K159" t="s">
        <v>19</v>
      </c>
      <c r="L159">
        <v>2415</v>
      </c>
      <c r="M159">
        <v>113</v>
      </c>
      <c r="N159" t="s">
        <v>1671</v>
      </c>
      <c r="O159" t="s">
        <v>1662</v>
      </c>
      <c r="P159">
        <v>0</v>
      </c>
      <c r="Q159" t="s">
        <v>1663</v>
      </c>
      <c r="R159" t="s">
        <v>1657</v>
      </c>
    </row>
    <row r="160" spans="1:18" x14ac:dyDescent="0.35">
      <c r="A160" t="s">
        <v>368</v>
      </c>
      <c r="B160" s="19">
        <v>45952</v>
      </c>
      <c r="C160" t="s">
        <v>369</v>
      </c>
      <c r="D160" t="s">
        <v>71</v>
      </c>
      <c r="E160" t="s">
        <v>79</v>
      </c>
      <c r="F160" t="s">
        <v>17</v>
      </c>
      <c r="G160">
        <v>0.84722222222222221</v>
      </c>
      <c r="H160">
        <v>0.85</v>
      </c>
      <c r="I160">
        <v>-3</v>
      </c>
      <c r="J160" t="s">
        <v>18</v>
      </c>
      <c r="K160" t="s">
        <v>19</v>
      </c>
      <c r="L160">
        <v>606</v>
      </c>
      <c r="M160">
        <v>4</v>
      </c>
      <c r="N160" t="s">
        <v>1671</v>
      </c>
      <c r="O160" t="s">
        <v>1662</v>
      </c>
      <c r="P160">
        <v>1</v>
      </c>
      <c r="Q160" t="s">
        <v>1665</v>
      </c>
    </row>
    <row r="161" spans="1:18" x14ac:dyDescent="0.35">
      <c r="A161" t="s">
        <v>370</v>
      </c>
      <c r="B161" s="19">
        <v>45953</v>
      </c>
      <c r="C161" t="s">
        <v>371</v>
      </c>
      <c r="D161" t="s">
        <v>71</v>
      </c>
      <c r="E161" t="s">
        <v>413</v>
      </c>
      <c r="F161" t="s">
        <v>38</v>
      </c>
      <c r="G161">
        <v>0.63888888888888884</v>
      </c>
      <c r="H161">
        <v>0.63541666666666663</v>
      </c>
      <c r="I161">
        <v>4</v>
      </c>
      <c r="J161" t="s">
        <v>18</v>
      </c>
      <c r="K161" t="s">
        <v>19</v>
      </c>
      <c r="L161">
        <v>1742</v>
      </c>
      <c r="M161">
        <v>-5</v>
      </c>
      <c r="N161" t="s">
        <v>1671</v>
      </c>
      <c r="O161" t="s">
        <v>1664</v>
      </c>
      <c r="P161">
        <v>1</v>
      </c>
      <c r="Q161" t="s">
        <v>1663</v>
      </c>
    </row>
    <row r="162" spans="1:18" x14ac:dyDescent="0.35">
      <c r="A162" t="s">
        <v>372</v>
      </c>
      <c r="B162" s="19">
        <v>45953</v>
      </c>
      <c r="C162" t="s">
        <v>133</v>
      </c>
      <c r="D162" t="s">
        <v>79</v>
      </c>
      <c r="E162" t="s">
        <v>588</v>
      </c>
      <c r="F162" t="s">
        <v>17</v>
      </c>
      <c r="G162">
        <v>0.75</v>
      </c>
      <c r="H162">
        <v>0.75069444444444444</v>
      </c>
      <c r="I162">
        <v>7</v>
      </c>
      <c r="J162" t="s">
        <v>18</v>
      </c>
      <c r="K162" t="s">
        <v>19</v>
      </c>
      <c r="L162">
        <v>730</v>
      </c>
      <c r="M162">
        <v>1</v>
      </c>
      <c r="N162" t="s">
        <v>1671</v>
      </c>
      <c r="O162" t="s">
        <v>1664</v>
      </c>
      <c r="P162">
        <v>1</v>
      </c>
      <c r="Q162" t="s">
        <v>1665</v>
      </c>
    </row>
    <row r="163" spans="1:18" x14ac:dyDescent="0.35">
      <c r="A163" t="s">
        <v>373</v>
      </c>
      <c r="B163" s="19">
        <v>45954</v>
      </c>
      <c r="C163" t="s">
        <v>374</v>
      </c>
      <c r="D163" t="s">
        <v>413</v>
      </c>
      <c r="E163" t="s">
        <v>588</v>
      </c>
      <c r="F163" t="s">
        <v>24</v>
      </c>
      <c r="G163">
        <v>0.78819444444444442</v>
      </c>
      <c r="H163">
        <v>0.7895833333333333</v>
      </c>
      <c r="I163">
        <v>-7</v>
      </c>
      <c r="J163" t="s">
        <v>18</v>
      </c>
      <c r="K163" t="s">
        <v>19</v>
      </c>
      <c r="L163">
        <v>1232</v>
      </c>
      <c r="M163">
        <v>2</v>
      </c>
      <c r="N163" t="s">
        <v>1671</v>
      </c>
      <c r="O163" t="s">
        <v>1666</v>
      </c>
      <c r="P163">
        <v>1</v>
      </c>
      <c r="Q163" t="s">
        <v>1665</v>
      </c>
    </row>
    <row r="164" spans="1:18" x14ac:dyDescent="0.35">
      <c r="A164" t="s">
        <v>375</v>
      </c>
      <c r="B164" s="19">
        <v>45954</v>
      </c>
      <c r="C164" t="s">
        <v>376</v>
      </c>
      <c r="D164" t="s">
        <v>413</v>
      </c>
      <c r="E164" t="s">
        <v>1171</v>
      </c>
      <c r="F164" t="s">
        <v>38</v>
      </c>
      <c r="G164">
        <v>0.81597222222222221</v>
      </c>
      <c r="H164">
        <v>0.89375000000000004</v>
      </c>
      <c r="I164">
        <v>117</v>
      </c>
      <c r="J164" t="s">
        <v>54</v>
      </c>
      <c r="K164" t="s">
        <v>19</v>
      </c>
      <c r="L164">
        <v>370</v>
      </c>
      <c r="M164">
        <v>112</v>
      </c>
      <c r="N164" t="s">
        <v>1671</v>
      </c>
      <c r="O164" t="s">
        <v>1666</v>
      </c>
      <c r="P164">
        <v>0</v>
      </c>
      <c r="Q164" t="s">
        <v>1665</v>
      </c>
      <c r="R164" t="s">
        <v>1657</v>
      </c>
    </row>
    <row r="165" spans="1:18" x14ac:dyDescent="0.35">
      <c r="A165" t="s">
        <v>377</v>
      </c>
      <c r="B165" s="19">
        <v>45955</v>
      </c>
      <c r="C165" t="s">
        <v>378</v>
      </c>
      <c r="D165" t="s">
        <v>71</v>
      </c>
      <c r="E165" t="s">
        <v>588</v>
      </c>
      <c r="F165" t="s">
        <v>28</v>
      </c>
      <c r="G165">
        <v>0.28125</v>
      </c>
      <c r="H165">
        <v>0.28125</v>
      </c>
      <c r="I165">
        <v>-12</v>
      </c>
      <c r="J165" t="s">
        <v>18</v>
      </c>
      <c r="K165" t="s">
        <v>19</v>
      </c>
      <c r="L165">
        <v>802</v>
      </c>
      <c r="M165">
        <v>0</v>
      </c>
      <c r="N165" t="s">
        <v>1671</v>
      </c>
      <c r="O165" t="s">
        <v>1667</v>
      </c>
      <c r="P165">
        <v>1</v>
      </c>
      <c r="Q165" t="s">
        <v>1660</v>
      </c>
    </row>
    <row r="166" spans="1:18" x14ac:dyDescent="0.35">
      <c r="A166" t="s">
        <v>379</v>
      </c>
      <c r="B166" s="19">
        <v>45955</v>
      </c>
      <c r="C166" t="s">
        <v>346</v>
      </c>
      <c r="D166" t="s">
        <v>588</v>
      </c>
      <c r="E166" t="s">
        <v>71</v>
      </c>
      <c r="F166" t="s">
        <v>28</v>
      </c>
      <c r="G166">
        <v>0.30208333333333331</v>
      </c>
      <c r="H166">
        <v>0.29930555555555549</v>
      </c>
      <c r="I166">
        <v>-15</v>
      </c>
      <c r="J166" t="s">
        <v>18</v>
      </c>
      <c r="K166" t="s">
        <v>19</v>
      </c>
      <c r="L166">
        <v>802</v>
      </c>
      <c r="M166">
        <v>-4</v>
      </c>
      <c r="N166" t="s">
        <v>1671</v>
      </c>
      <c r="O166" t="s">
        <v>1667</v>
      </c>
      <c r="P166">
        <v>1</v>
      </c>
      <c r="Q166" t="s">
        <v>1660</v>
      </c>
    </row>
    <row r="167" spans="1:18" x14ac:dyDescent="0.35">
      <c r="A167" t="s">
        <v>380</v>
      </c>
      <c r="B167" s="19">
        <v>45956</v>
      </c>
      <c r="C167" t="s">
        <v>381</v>
      </c>
      <c r="D167" t="s">
        <v>197</v>
      </c>
      <c r="E167" t="s">
        <v>1171</v>
      </c>
      <c r="F167" t="s">
        <v>24</v>
      </c>
      <c r="G167">
        <v>0.63541666666666663</v>
      </c>
      <c r="H167">
        <v>0.63402777777777775</v>
      </c>
      <c r="I167">
        <v>-7</v>
      </c>
      <c r="J167" t="s">
        <v>18</v>
      </c>
      <c r="K167" t="s">
        <v>19</v>
      </c>
      <c r="L167">
        <v>2149</v>
      </c>
      <c r="M167">
        <v>-2</v>
      </c>
      <c r="N167" t="s">
        <v>1671</v>
      </c>
      <c r="O167" t="s">
        <v>1668</v>
      </c>
      <c r="P167">
        <v>1</v>
      </c>
      <c r="Q167" t="s">
        <v>1663</v>
      </c>
    </row>
    <row r="168" spans="1:18" x14ac:dyDescent="0.35">
      <c r="A168" t="s">
        <v>382</v>
      </c>
      <c r="B168" s="19">
        <v>45957</v>
      </c>
      <c r="C168" t="s">
        <v>383</v>
      </c>
      <c r="D168" t="s">
        <v>546</v>
      </c>
      <c r="E168" t="s">
        <v>1549</v>
      </c>
      <c r="F168" t="s">
        <v>17</v>
      </c>
      <c r="G168">
        <v>0.31597222222222221</v>
      </c>
      <c r="H168">
        <v>0.32291666666666669</v>
      </c>
      <c r="I168">
        <v>3</v>
      </c>
      <c r="J168" t="s">
        <v>18</v>
      </c>
      <c r="K168" t="s">
        <v>19</v>
      </c>
      <c r="L168">
        <v>2375</v>
      </c>
      <c r="M168">
        <v>10</v>
      </c>
      <c r="N168" t="s">
        <v>1671</v>
      </c>
      <c r="O168" t="s">
        <v>1659</v>
      </c>
      <c r="P168">
        <v>1</v>
      </c>
      <c r="Q168" t="s">
        <v>1660</v>
      </c>
    </row>
    <row r="169" spans="1:18" x14ac:dyDescent="0.35">
      <c r="A169" t="s">
        <v>384</v>
      </c>
      <c r="B169" s="19">
        <v>45957</v>
      </c>
      <c r="C169" t="s">
        <v>385</v>
      </c>
      <c r="D169" t="s">
        <v>79</v>
      </c>
      <c r="E169" t="s">
        <v>1295</v>
      </c>
      <c r="F169" t="s">
        <v>17</v>
      </c>
      <c r="G169">
        <v>0.36805555555555558</v>
      </c>
      <c r="H169">
        <v>0.36944444444444452</v>
      </c>
      <c r="I169">
        <v>1</v>
      </c>
      <c r="J169" t="s">
        <v>18</v>
      </c>
      <c r="K169" t="s">
        <v>19</v>
      </c>
      <c r="L169">
        <v>2134</v>
      </c>
      <c r="M169">
        <v>2</v>
      </c>
      <c r="N169" t="s">
        <v>1671</v>
      </c>
      <c r="O169" t="s">
        <v>1659</v>
      </c>
      <c r="P169">
        <v>1</v>
      </c>
      <c r="Q169" t="s">
        <v>1660</v>
      </c>
    </row>
    <row r="170" spans="1:18" x14ac:dyDescent="0.35">
      <c r="A170" t="s">
        <v>387</v>
      </c>
      <c r="B170" s="19">
        <v>45957</v>
      </c>
      <c r="C170" t="s">
        <v>388</v>
      </c>
      <c r="D170" t="s">
        <v>588</v>
      </c>
      <c r="E170" t="s">
        <v>79</v>
      </c>
      <c r="F170" t="s">
        <v>24</v>
      </c>
      <c r="G170">
        <v>0.74652777777777779</v>
      </c>
      <c r="H170">
        <v>0.7416666666666667</v>
      </c>
      <c r="I170">
        <v>-12</v>
      </c>
      <c r="J170" t="s">
        <v>18</v>
      </c>
      <c r="K170" t="s">
        <v>19</v>
      </c>
      <c r="L170">
        <v>730</v>
      </c>
      <c r="M170">
        <v>-7</v>
      </c>
      <c r="N170" t="s">
        <v>1671</v>
      </c>
      <c r="O170" t="s">
        <v>1659</v>
      </c>
      <c r="P170">
        <v>1</v>
      </c>
      <c r="Q170" t="s">
        <v>1665</v>
      </c>
    </row>
    <row r="171" spans="1:18" x14ac:dyDescent="0.35">
      <c r="A171" t="s">
        <v>389</v>
      </c>
      <c r="B171" s="19">
        <v>45957</v>
      </c>
      <c r="C171" t="s">
        <v>390</v>
      </c>
      <c r="D171" t="s">
        <v>197</v>
      </c>
      <c r="E171" t="s">
        <v>84</v>
      </c>
      <c r="F171" t="s">
        <v>24</v>
      </c>
      <c r="G171">
        <v>0.89583333333333337</v>
      </c>
      <c r="H171">
        <v>0.89027777777777772</v>
      </c>
      <c r="I171">
        <v>-5</v>
      </c>
      <c r="J171" t="s">
        <v>18</v>
      </c>
      <c r="K171" t="s">
        <v>19</v>
      </c>
      <c r="L171">
        <v>2415</v>
      </c>
      <c r="M171">
        <v>-8</v>
      </c>
      <c r="N171" t="s">
        <v>1671</v>
      </c>
      <c r="O171" t="s">
        <v>1659</v>
      </c>
      <c r="P171">
        <v>1</v>
      </c>
      <c r="Q171" t="s">
        <v>1669</v>
      </c>
    </row>
    <row r="172" spans="1:18" x14ac:dyDescent="0.35">
      <c r="A172" t="s">
        <v>391</v>
      </c>
      <c r="B172" s="19">
        <v>45958</v>
      </c>
      <c r="C172" t="s">
        <v>385</v>
      </c>
      <c r="D172" t="s">
        <v>1171</v>
      </c>
      <c r="E172" t="s">
        <v>588</v>
      </c>
      <c r="F172" t="s">
        <v>38</v>
      </c>
      <c r="G172">
        <v>0.36458333333333331</v>
      </c>
      <c r="H172">
        <v>0.37222222222222218</v>
      </c>
      <c r="I172">
        <v>14</v>
      </c>
      <c r="J172" t="s">
        <v>18</v>
      </c>
      <c r="K172" t="s">
        <v>19</v>
      </c>
      <c r="L172">
        <v>866</v>
      </c>
      <c r="M172">
        <v>11</v>
      </c>
      <c r="N172" t="s">
        <v>1671</v>
      </c>
      <c r="O172" t="s">
        <v>1661</v>
      </c>
      <c r="P172">
        <v>1</v>
      </c>
      <c r="Q172" t="s">
        <v>1660</v>
      </c>
    </row>
    <row r="173" spans="1:18" x14ac:dyDescent="0.35">
      <c r="A173" t="s">
        <v>392</v>
      </c>
      <c r="B173" s="19">
        <v>45958</v>
      </c>
      <c r="C173" t="s">
        <v>196</v>
      </c>
      <c r="D173" t="s">
        <v>413</v>
      </c>
      <c r="E173" t="s">
        <v>1549</v>
      </c>
      <c r="F173" t="s">
        <v>28</v>
      </c>
      <c r="G173">
        <v>0.58333333333333337</v>
      </c>
      <c r="H173">
        <v>0.58680555555555558</v>
      </c>
      <c r="I173">
        <v>10</v>
      </c>
      <c r="J173" t="s">
        <v>18</v>
      </c>
      <c r="K173" t="s">
        <v>19</v>
      </c>
      <c r="L173">
        <v>2606</v>
      </c>
      <c r="M173">
        <v>5</v>
      </c>
      <c r="N173" t="s">
        <v>1671</v>
      </c>
      <c r="O173" t="s">
        <v>1661</v>
      </c>
      <c r="P173">
        <v>1</v>
      </c>
      <c r="Q173" t="s">
        <v>1663</v>
      </c>
    </row>
    <row r="174" spans="1:18" x14ac:dyDescent="0.35">
      <c r="A174" t="s">
        <v>393</v>
      </c>
      <c r="B174" s="19">
        <v>45958</v>
      </c>
      <c r="C174" t="s">
        <v>394</v>
      </c>
      <c r="D174" t="s">
        <v>79</v>
      </c>
      <c r="E174" t="s">
        <v>1171</v>
      </c>
      <c r="F174" t="s">
        <v>38</v>
      </c>
      <c r="G174">
        <v>0.71180555555555558</v>
      </c>
      <c r="H174">
        <v>0.7270833333333333</v>
      </c>
      <c r="I174">
        <v>17</v>
      </c>
      <c r="J174" t="s">
        <v>60</v>
      </c>
      <c r="K174" t="s">
        <v>19</v>
      </c>
      <c r="L174">
        <v>1584</v>
      </c>
      <c r="M174">
        <v>22</v>
      </c>
      <c r="N174" t="s">
        <v>1671</v>
      </c>
      <c r="O174" t="s">
        <v>1661</v>
      </c>
      <c r="P174">
        <v>0</v>
      </c>
      <c r="Q174" t="s">
        <v>1665</v>
      </c>
      <c r="R174" t="s">
        <v>1657</v>
      </c>
    </row>
    <row r="175" spans="1:18" x14ac:dyDescent="0.35">
      <c r="A175" t="s">
        <v>395</v>
      </c>
      <c r="B175" s="19">
        <v>45959</v>
      </c>
      <c r="C175" t="s">
        <v>120</v>
      </c>
      <c r="D175" t="s">
        <v>71</v>
      </c>
      <c r="E175" t="s">
        <v>79</v>
      </c>
      <c r="F175" t="s">
        <v>24</v>
      </c>
      <c r="G175">
        <v>0.33333333333333331</v>
      </c>
      <c r="H175">
        <v>0.33750000000000002</v>
      </c>
      <c r="I175">
        <v>5</v>
      </c>
      <c r="J175" t="s">
        <v>18</v>
      </c>
      <c r="K175" t="s">
        <v>19</v>
      </c>
      <c r="L175">
        <v>606</v>
      </c>
      <c r="M175">
        <v>6</v>
      </c>
      <c r="N175" t="s">
        <v>1671</v>
      </c>
      <c r="O175" t="s">
        <v>1662</v>
      </c>
      <c r="P175">
        <v>1</v>
      </c>
      <c r="Q175" t="s">
        <v>1660</v>
      </c>
    </row>
    <row r="176" spans="1:18" x14ac:dyDescent="0.35">
      <c r="A176" t="s">
        <v>396</v>
      </c>
      <c r="B176" s="19">
        <v>45959</v>
      </c>
      <c r="C176" t="s">
        <v>397</v>
      </c>
      <c r="D176" t="s">
        <v>79</v>
      </c>
      <c r="E176" t="s">
        <v>1549</v>
      </c>
      <c r="F176" t="s">
        <v>17</v>
      </c>
      <c r="G176">
        <v>0.61111111111111116</v>
      </c>
      <c r="H176">
        <v>0.6166666666666667</v>
      </c>
      <c r="I176">
        <v>1</v>
      </c>
      <c r="J176" t="s">
        <v>18</v>
      </c>
      <c r="K176" t="s">
        <v>19</v>
      </c>
      <c r="L176">
        <v>945</v>
      </c>
      <c r="M176">
        <v>8</v>
      </c>
      <c r="N176" t="s">
        <v>1671</v>
      </c>
      <c r="O176" t="s">
        <v>1662</v>
      </c>
      <c r="P176">
        <v>1</v>
      </c>
      <c r="Q176" t="s">
        <v>1663</v>
      </c>
    </row>
    <row r="177" spans="1:18" x14ac:dyDescent="0.35">
      <c r="A177" t="s">
        <v>398</v>
      </c>
      <c r="B177" s="19">
        <v>45961</v>
      </c>
      <c r="C177" t="s">
        <v>399</v>
      </c>
      <c r="D177" t="s">
        <v>71</v>
      </c>
      <c r="E177" t="s">
        <v>79</v>
      </c>
      <c r="F177" t="s">
        <v>24</v>
      </c>
      <c r="G177">
        <v>0.2638888888888889</v>
      </c>
      <c r="H177">
        <v>0.26041666666666669</v>
      </c>
      <c r="I177">
        <v>-13</v>
      </c>
      <c r="J177" t="s">
        <v>18</v>
      </c>
      <c r="K177" t="s">
        <v>19</v>
      </c>
      <c r="L177">
        <v>606</v>
      </c>
      <c r="M177">
        <v>-5</v>
      </c>
      <c r="N177" t="s">
        <v>1671</v>
      </c>
      <c r="O177" t="s">
        <v>1666</v>
      </c>
      <c r="P177">
        <v>1</v>
      </c>
      <c r="Q177" t="s">
        <v>1660</v>
      </c>
    </row>
    <row r="178" spans="1:18" x14ac:dyDescent="0.35">
      <c r="A178" t="s">
        <v>400</v>
      </c>
      <c r="B178" s="19">
        <v>45961</v>
      </c>
      <c r="C178" t="s">
        <v>381</v>
      </c>
      <c r="D178" t="s">
        <v>79</v>
      </c>
      <c r="E178" t="s">
        <v>202</v>
      </c>
      <c r="F178" t="s">
        <v>38</v>
      </c>
      <c r="G178">
        <v>0.38194444444444442</v>
      </c>
      <c r="H178">
        <v>0.38055555555555548</v>
      </c>
      <c r="I178">
        <v>6</v>
      </c>
      <c r="J178" t="s">
        <v>18</v>
      </c>
      <c r="K178" t="s">
        <v>19</v>
      </c>
      <c r="L178">
        <v>596</v>
      </c>
      <c r="M178">
        <v>-2</v>
      </c>
      <c r="N178" t="s">
        <v>1671</v>
      </c>
      <c r="O178" t="s">
        <v>1666</v>
      </c>
      <c r="P178">
        <v>1</v>
      </c>
      <c r="Q178" t="s">
        <v>1660</v>
      </c>
    </row>
    <row r="179" spans="1:18" x14ac:dyDescent="0.35">
      <c r="A179" t="s">
        <v>401</v>
      </c>
      <c r="B179" s="19">
        <v>45961</v>
      </c>
      <c r="C179" t="s">
        <v>402</v>
      </c>
      <c r="D179" t="s">
        <v>79</v>
      </c>
      <c r="E179" t="s">
        <v>226</v>
      </c>
      <c r="F179" t="s">
        <v>38</v>
      </c>
      <c r="G179">
        <v>0.45833333333333331</v>
      </c>
      <c r="H179">
        <v>0.45763888888888887</v>
      </c>
      <c r="I179">
        <v>1</v>
      </c>
      <c r="J179" t="s">
        <v>18</v>
      </c>
      <c r="K179" t="s">
        <v>19</v>
      </c>
      <c r="L179">
        <v>1197</v>
      </c>
      <c r="M179">
        <v>-1</v>
      </c>
      <c r="N179" t="s">
        <v>1671</v>
      </c>
      <c r="O179" t="s">
        <v>1666</v>
      </c>
      <c r="P179">
        <v>1</v>
      </c>
      <c r="Q179" t="s">
        <v>1660</v>
      </c>
    </row>
    <row r="180" spans="1:18" x14ac:dyDescent="0.35">
      <c r="A180" t="s">
        <v>403</v>
      </c>
      <c r="B180" s="19">
        <v>45961</v>
      </c>
      <c r="C180" t="s">
        <v>404</v>
      </c>
      <c r="D180" t="s">
        <v>71</v>
      </c>
      <c r="E180" t="s">
        <v>546</v>
      </c>
      <c r="F180" t="s">
        <v>17</v>
      </c>
      <c r="G180">
        <v>0.67013888888888884</v>
      </c>
      <c r="H180">
        <v>0.67847222222222225</v>
      </c>
      <c r="I180">
        <v>0</v>
      </c>
      <c r="J180" t="s">
        <v>18</v>
      </c>
      <c r="K180" t="s">
        <v>19</v>
      </c>
      <c r="L180">
        <v>1511</v>
      </c>
      <c r="M180">
        <v>12</v>
      </c>
      <c r="N180" t="s">
        <v>1671</v>
      </c>
      <c r="O180" t="s">
        <v>1666</v>
      </c>
      <c r="P180">
        <v>1</v>
      </c>
      <c r="Q180" t="s">
        <v>1663</v>
      </c>
    </row>
    <row r="181" spans="1:18" x14ac:dyDescent="0.35">
      <c r="A181" t="s">
        <v>405</v>
      </c>
      <c r="B181" s="19">
        <v>45961</v>
      </c>
      <c r="C181" t="s">
        <v>406</v>
      </c>
      <c r="D181" t="s">
        <v>197</v>
      </c>
      <c r="E181" t="s">
        <v>413</v>
      </c>
      <c r="F181" t="s">
        <v>17</v>
      </c>
      <c r="G181">
        <v>0.73263888888888884</v>
      </c>
      <c r="H181">
        <v>0.72916666666666663</v>
      </c>
      <c r="I181">
        <v>-7</v>
      </c>
      <c r="J181" t="s">
        <v>18</v>
      </c>
      <c r="K181" t="s">
        <v>19</v>
      </c>
      <c r="L181">
        <v>2470</v>
      </c>
      <c r="M181">
        <v>-5</v>
      </c>
      <c r="N181" t="s">
        <v>1671</v>
      </c>
      <c r="O181" t="s">
        <v>1666</v>
      </c>
      <c r="P181">
        <v>1</v>
      </c>
      <c r="Q181" t="s">
        <v>1665</v>
      </c>
    </row>
    <row r="182" spans="1:18" x14ac:dyDescent="0.35">
      <c r="A182" t="s">
        <v>407</v>
      </c>
      <c r="B182" s="19">
        <v>45961</v>
      </c>
      <c r="C182" t="s">
        <v>408</v>
      </c>
      <c r="D182" t="s">
        <v>197</v>
      </c>
      <c r="E182" t="s">
        <v>202</v>
      </c>
      <c r="F182" t="s">
        <v>38</v>
      </c>
      <c r="G182">
        <v>0.74652777777777779</v>
      </c>
      <c r="H182">
        <v>0.75208333333333333</v>
      </c>
      <c r="I182">
        <v>11</v>
      </c>
      <c r="J182" t="s">
        <v>18</v>
      </c>
      <c r="K182" t="s">
        <v>19</v>
      </c>
      <c r="L182">
        <v>1092</v>
      </c>
      <c r="M182">
        <v>8</v>
      </c>
      <c r="N182" t="s">
        <v>1671</v>
      </c>
      <c r="O182" t="s">
        <v>1666</v>
      </c>
      <c r="P182">
        <v>1</v>
      </c>
      <c r="Q182" t="s">
        <v>1665</v>
      </c>
    </row>
    <row r="183" spans="1:18" x14ac:dyDescent="0.35">
      <c r="A183" t="s">
        <v>409</v>
      </c>
      <c r="B183" s="19">
        <v>45961</v>
      </c>
      <c r="C183" t="s">
        <v>410</v>
      </c>
      <c r="D183" t="s">
        <v>79</v>
      </c>
      <c r="E183" t="s">
        <v>226</v>
      </c>
      <c r="F183" t="s">
        <v>28</v>
      </c>
      <c r="G183">
        <v>0.81944444444444442</v>
      </c>
      <c r="H183">
        <v>0.82777777777777772</v>
      </c>
      <c r="I183">
        <v>1</v>
      </c>
      <c r="J183" t="s">
        <v>18</v>
      </c>
      <c r="K183" t="s">
        <v>19</v>
      </c>
      <c r="L183">
        <v>1197</v>
      </c>
      <c r="M183">
        <v>12</v>
      </c>
      <c r="N183" t="s">
        <v>1671</v>
      </c>
      <c r="O183" t="s">
        <v>1666</v>
      </c>
      <c r="P183">
        <v>1</v>
      </c>
      <c r="Q183" t="s">
        <v>1665</v>
      </c>
    </row>
    <row r="184" spans="1:18" x14ac:dyDescent="0.35">
      <c r="A184" t="s">
        <v>411</v>
      </c>
      <c r="B184" s="19">
        <v>45962</v>
      </c>
      <c r="C184" t="s">
        <v>412</v>
      </c>
      <c r="D184" t="s">
        <v>202</v>
      </c>
      <c r="E184" t="s">
        <v>413</v>
      </c>
      <c r="F184" t="s">
        <v>24</v>
      </c>
      <c r="G184">
        <v>0.71875</v>
      </c>
      <c r="H184">
        <v>0.73541666666666672</v>
      </c>
      <c r="I184">
        <v>31</v>
      </c>
      <c r="J184" t="s">
        <v>60</v>
      </c>
      <c r="K184" t="s">
        <v>19</v>
      </c>
      <c r="L184">
        <v>2338</v>
      </c>
      <c r="M184">
        <v>24</v>
      </c>
      <c r="N184" t="s">
        <v>1672</v>
      </c>
      <c r="O184" t="s">
        <v>1667</v>
      </c>
      <c r="P184">
        <v>0</v>
      </c>
      <c r="Q184" t="s">
        <v>1665</v>
      </c>
      <c r="R184" t="s">
        <v>1657</v>
      </c>
    </row>
    <row r="185" spans="1:18" x14ac:dyDescent="0.35">
      <c r="A185" t="s">
        <v>414</v>
      </c>
      <c r="B185" s="19">
        <v>45963</v>
      </c>
      <c r="C185" t="s">
        <v>415</v>
      </c>
      <c r="D185" t="s">
        <v>226</v>
      </c>
      <c r="E185" t="s">
        <v>197</v>
      </c>
      <c r="F185" t="s">
        <v>17</v>
      </c>
      <c r="G185">
        <v>0.27777777777777779</v>
      </c>
      <c r="H185">
        <v>0.27916666666666667</v>
      </c>
      <c r="I185">
        <v>-5</v>
      </c>
      <c r="J185" t="s">
        <v>18</v>
      </c>
      <c r="K185" t="s">
        <v>19</v>
      </c>
      <c r="L185">
        <v>1622</v>
      </c>
      <c r="M185">
        <v>2</v>
      </c>
      <c r="N185" t="s">
        <v>1672</v>
      </c>
      <c r="O185" t="s">
        <v>1668</v>
      </c>
      <c r="P185">
        <v>1</v>
      </c>
      <c r="Q185" t="s">
        <v>1660</v>
      </c>
    </row>
    <row r="186" spans="1:18" x14ac:dyDescent="0.35">
      <c r="A186" t="s">
        <v>416</v>
      </c>
      <c r="B186" s="19">
        <v>45963</v>
      </c>
      <c r="C186" t="s">
        <v>417</v>
      </c>
      <c r="D186" t="s">
        <v>588</v>
      </c>
      <c r="E186" t="s">
        <v>202</v>
      </c>
      <c r="F186" t="s">
        <v>28</v>
      </c>
      <c r="G186">
        <v>0.31597222222222221</v>
      </c>
      <c r="H186">
        <v>0.31319444444444439</v>
      </c>
      <c r="I186">
        <v>-15</v>
      </c>
      <c r="J186" t="s">
        <v>18</v>
      </c>
      <c r="K186" t="s">
        <v>19</v>
      </c>
      <c r="L186">
        <v>1120</v>
      </c>
      <c r="M186">
        <v>-4</v>
      </c>
      <c r="N186" t="s">
        <v>1672</v>
      </c>
      <c r="O186" t="s">
        <v>1668</v>
      </c>
      <c r="P186">
        <v>1</v>
      </c>
      <c r="Q186" t="s">
        <v>1660</v>
      </c>
    </row>
    <row r="187" spans="1:18" x14ac:dyDescent="0.35">
      <c r="A187" t="s">
        <v>419</v>
      </c>
      <c r="B187" s="19">
        <v>45963</v>
      </c>
      <c r="C187" t="s">
        <v>420</v>
      </c>
      <c r="D187" t="s">
        <v>413</v>
      </c>
      <c r="E187" t="s">
        <v>588</v>
      </c>
      <c r="F187" t="s">
        <v>24</v>
      </c>
      <c r="G187">
        <v>0.35416666666666669</v>
      </c>
      <c r="H187">
        <v>0.35486111111111113</v>
      </c>
      <c r="I187">
        <v>3</v>
      </c>
      <c r="J187" t="s">
        <v>18</v>
      </c>
      <c r="K187" t="s">
        <v>19</v>
      </c>
      <c r="L187">
        <v>1232</v>
      </c>
      <c r="M187">
        <v>1</v>
      </c>
      <c r="N187" t="s">
        <v>1672</v>
      </c>
      <c r="O187" t="s">
        <v>1668</v>
      </c>
      <c r="P187">
        <v>1</v>
      </c>
      <c r="Q187" t="s">
        <v>1660</v>
      </c>
    </row>
    <row r="188" spans="1:18" x14ac:dyDescent="0.35">
      <c r="A188" t="s">
        <v>421</v>
      </c>
      <c r="B188" s="19">
        <v>45963</v>
      </c>
      <c r="C188" t="s">
        <v>422</v>
      </c>
      <c r="D188" t="s">
        <v>79</v>
      </c>
      <c r="E188" t="s">
        <v>71</v>
      </c>
      <c r="F188" t="s">
        <v>28</v>
      </c>
      <c r="G188">
        <v>0.3888888888888889</v>
      </c>
      <c r="H188">
        <v>0.38472222222222219</v>
      </c>
      <c r="I188">
        <v>1</v>
      </c>
      <c r="J188" t="s">
        <v>18</v>
      </c>
      <c r="K188" t="s">
        <v>19</v>
      </c>
      <c r="L188">
        <v>606</v>
      </c>
      <c r="M188">
        <v>-6</v>
      </c>
      <c r="N188" t="s">
        <v>1672</v>
      </c>
      <c r="O188" t="s">
        <v>1668</v>
      </c>
      <c r="P188">
        <v>1</v>
      </c>
      <c r="Q188" t="s">
        <v>1660</v>
      </c>
    </row>
    <row r="189" spans="1:18" x14ac:dyDescent="0.35">
      <c r="A189" t="s">
        <v>423</v>
      </c>
      <c r="B189" s="19">
        <v>45963</v>
      </c>
      <c r="C189" t="s">
        <v>424</v>
      </c>
      <c r="D189" t="s">
        <v>79</v>
      </c>
      <c r="E189" t="s">
        <v>202</v>
      </c>
      <c r="F189" t="s">
        <v>28</v>
      </c>
      <c r="G189">
        <v>0.77777777777777779</v>
      </c>
      <c r="H189">
        <v>0.83472222222222225</v>
      </c>
      <c r="I189">
        <v>79</v>
      </c>
      <c r="J189" t="s">
        <v>60</v>
      </c>
      <c r="K189" t="s">
        <v>19</v>
      </c>
      <c r="L189">
        <v>596</v>
      </c>
      <c r="M189">
        <v>82</v>
      </c>
      <c r="N189" t="s">
        <v>1672</v>
      </c>
      <c r="O189" t="s">
        <v>1668</v>
      </c>
      <c r="P189">
        <v>0</v>
      </c>
      <c r="Q189" t="s">
        <v>1665</v>
      </c>
      <c r="R189" t="s">
        <v>1657</v>
      </c>
    </row>
    <row r="190" spans="1:18" x14ac:dyDescent="0.35">
      <c r="A190" t="s">
        <v>425</v>
      </c>
      <c r="B190" s="19">
        <v>45964</v>
      </c>
      <c r="C190" t="s">
        <v>426</v>
      </c>
      <c r="D190" t="s">
        <v>202</v>
      </c>
      <c r="E190" t="s">
        <v>79</v>
      </c>
      <c r="F190" t="s">
        <v>28</v>
      </c>
      <c r="G190">
        <v>0.43055555555555558</v>
      </c>
      <c r="H190">
        <v>0.43680555555555561</v>
      </c>
      <c r="I190">
        <v>13</v>
      </c>
      <c r="J190" t="s">
        <v>18</v>
      </c>
      <c r="K190" t="s">
        <v>19</v>
      </c>
      <c r="L190">
        <v>596</v>
      </c>
      <c r="M190">
        <v>9</v>
      </c>
      <c r="N190" t="s">
        <v>1672</v>
      </c>
      <c r="O190" t="s">
        <v>1659</v>
      </c>
      <c r="P190">
        <v>1</v>
      </c>
      <c r="Q190" t="s">
        <v>1660</v>
      </c>
    </row>
    <row r="191" spans="1:18" x14ac:dyDescent="0.35">
      <c r="A191" t="s">
        <v>427</v>
      </c>
      <c r="B191" s="19">
        <v>45965</v>
      </c>
      <c r="C191" t="s">
        <v>428</v>
      </c>
      <c r="D191" t="s">
        <v>79</v>
      </c>
      <c r="E191" t="s">
        <v>413</v>
      </c>
      <c r="F191" t="s">
        <v>24</v>
      </c>
      <c r="G191">
        <v>0.2986111111111111</v>
      </c>
      <c r="H191">
        <v>0.30486111111111108</v>
      </c>
      <c r="I191">
        <v>17</v>
      </c>
      <c r="J191" t="s">
        <v>18</v>
      </c>
      <c r="K191" t="s">
        <v>19</v>
      </c>
      <c r="L191">
        <v>1942</v>
      </c>
      <c r="M191">
        <v>9</v>
      </c>
      <c r="N191" t="s">
        <v>1672</v>
      </c>
      <c r="O191" t="s">
        <v>1661</v>
      </c>
      <c r="P191">
        <v>0</v>
      </c>
      <c r="Q191" t="s">
        <v>1660</v>
      </c>
    </row>
    <row r="192" spans="1:18" x14ac:dyDescent="0.35">
      <c r="A192" t="s">
        <v>429</v>
      </c>
      <c r="B192" s="19">
        <v>45965</v>
      </c>
      <c r="C192" t="s">
        <v>430</v>
      </c>
      <c r="D192" t="s">
        <v>197</v>
      </c>
      <c r="E192" t="s">
        <v>71</v>
      </c>
      <c r="F192" t="s">
        <v>24</v>
      </c>
      <c r="G192">
        <v>0.40625</v>
      </c>
      <c r="H192">
        <v>0.41388888888888892</v>
      </c>
      <c r="I192">
        <v>15</v>
      </c>
      <c r="J192" t="s">
        <v>18</v>
      </c>
      <c r="K192" t="s">
        <v>19</v>
      </c>
      <c r="L192">
        <v>738</v>
      </c>
      <c r="M192">
        <v>11</v>
      </c>
      <c r="N192" t="s">
        <v>1672</v>
      </c>
      <c r="O192" t="s">
        <v>1661</v>
      </c>
      <c r="P192">
        <v>1</v>
      </c>
      <c r="Q192" t="s">
        <v>1660</v>
      </c>
    </row>
    <row r="193" spans="1:18" x14ac:dyDescent="0.35">
      <c r="A193" t="s">
        <v>431</v>
      </c>
      <c r="B193" s="19">
        <v>45965</v>
      </c>
      <c r="C193" t="s">
        <v>432</v>
      </c>
      <c r="D193" t="s">
        <v>1549</v>
      </c>
      <c r="E193" t="s">
        <v>226</v>
      </c>
      <c r="F193" t="s">
        <v>38</v>
      </c>
      <c r="G193">
        <v>0.48958333333333331</v>
      </c>
      <c r="H193">
        <v>0.49444444444444452</v>
      </c>
      <c r="I193">
        <v>3</v>
      </c>
      <c r="J193" t="s">
        <v>18</v>
      </c>
      <c r="K193" t="s">
        <v>19</v>
      </c>
      <c r="L193">
        <v>1749</v>
      </c>
      <c r="M193">
        <v>7</v>
      </c>
      <c r="N193" t="s">
        <v>1672</v>
      </c>
      <c r="O193" t="s">
        <v>1661</v>
      </c>
      <c r="P193">
        <v>1</v>
      </c>
      <c r="Q193" t="s">
        <v>1660</v>
      </c>
    </row>
    <row r="194" spans="1:18" x14ac:dyDescent="0.35">
      <c r="A194" t="s">
        <v>433</v>
      </c>
      <c r="B194" s="19">
        <v>45966</v>
      </c>
      <c r="C194" t="s">
        <v>434</v>
      </c>
      <c r="D194" t="s">
        <v>588</v>
      </c>
      <c r="E194" t="s">
        <v>413</v>
      </c>
      <c r="F194" t="s">
        <v>17</v>
      </c>
      <c r="G194">
        <v>0.34722222222222221</v>
      </c>
      <c r="H194">
        <v>0.34236111111111112</v>
      </c>
      <c r="I194">
        <v>-9</v>
      </c>
      <c r="J194" t="s">
        <v>18</v>
      </c>
      <c r="K194" t="s">
        <v>19</v>
      </c>
      <c r="L194">
        <v>1232</v>
      </c>
      <c r="M194">
        <v>-7</v>
      </c>
      <c r="N194" t="s">
        <v>1672</v>
      </c>
      <c r="O194" t="s">
        <v>1662</v>
      </c>
      <c r="P194">
        <v>1</v>
      </c>
      <c r="Q194" t="s">
        <v>1660</v>
      </c>
    </row>
    <row r="195" spans="1:18" x14ac:dyDescent="0.35">
      <c r="A195" t="s">
        <v>435</v>
      </c>
      <c r="B195" s="19">
        <v>45966</v>
      </c>
      <c r="C195" t="s">
        <v>436</v>
      </c>
      <c r="D195" t="s">
        <v>84</v>
      </c>
      <c r="E195" t="s">
        <v>226</v>
      </c>
      <c r="F195" t="s">
        <v>38</v>
      </c>
      <c r="G195">
        <v>0.38194444444444442</v>
      </c>
      <c r="H195">
        <v>0.38541666666666669</v>
      </c>
      <c r="I195">
        <v>-6</v>
      </c>
      <c r="J195" t="s">
        <v>18</v>
      </c>
      <c r="K195" t="s">
        <v>19</v>
      </c>
      <c r="L195">
        <v>1023</v>
      </c>
      <c r="M195">
        <v>5</v>
      </c>
      <c r="N195" t="s">
        <v>1672</v>
      </c>
      <c r="O195" t="s">
        <v>1662</v>
      </c>
      <c r="P195">
        <v>1</v>
      </c>
      <c r="Q195" t="s">
        <v>1660</v>
      </c>
    </row>
    <row r="196" spans="1:18" x14ac:dyDescent="0.35">
      <c r="A196" t="s">
        <v>437</v>
      </c>
      <c r="B196" s="19">
        <v>45966</v>
      </c>
      <c r="C196" t="s">
        <v>438</v>
      </c>
      <c r="D196" t="s">
        <v>71</v>
      </c>
      <c r="E196" t="s">
        <v>1171</v>
      </c>
      <c r="F196" t="s">
        <v>17</v>
      </c>
      <c r="G196">
        <v>0.66319444444444442</v>
      </c>
      <c r="H196">
        <v>0.66597222222222219</v>
      </c>
      <c r="I196">
        <v>8</v>
      </c>
      <c r="J196" t="s">
        <v>18</v>
      </c>
      <c r="K196" t="s">
        <v>19</v>
      </c>
      <c r="L196">
        <v>1438</v>
      </c>
      <c r="M196">
        <v>4</v>
      </c>
      <c r="N196" t="s">
        <v>1672</v>
      </c>
      <c r="O196" t="s">
        <v>1662</v>
      </c>
      <c r="P196">
        <v>1</v>
      </c>
      <c r="Q196" t="s">
        <v>1663</v>
      </c>
    </row>
    <row r="197" spans="1:18" x14ac:dyDescent="0.35">
      <c r="A197" t="s">
        <v>439</v>
      </c>
      <c r="B197" s="19">
        <v>45966</v>
      </c>
      <c r="C197" t="s">
        <v>440</v>
      </c>
      <c r="D197" t="s">
        <v>588</v>
      </c>
      <c r="E197" t="s">
        <v>1171</v>
      </c>
      <c r="F197" t="s">
        <v>17</v>
      </c>
      <c r="G197">
        <v>0.82638888888888884</v>
      </c>
      <c r="H197">
        <v>0.83472222222222225</v>
      </c>
      <c r="I197">
        <v>2</v>
      </c>
      <c r="J197" t="s">
        <v>18</v>
      </c>
      <c r="K197" t="s">
        <v>19</v>
      </c>
      <c r="L197">
        <v>866</v>
      </c>
      <c r="M197">
        <v>12</v>
      </c>
      <c r="N197" t="s">
        <v>1672</v>
      </c>
      <c r="O197" t="s">
        <v>1662</v>
      </c>
      <c r="P197">
        <v>1</v>
      </c>
      <c r="Q197" t="s">
        <v>1665</v>
      </c>
    </row>
    <row r="198" spans="1:18" x14ac:dyDescent="0.35">
      <c r="A198" t="s">
        <v>441</v>
      </c>
      <c r="B198" s="19">
        <v>45966</v>
      </c>
      <c r="C198" t="s">
        <v>442</v>
      </c>
      <c r="D198" t="s">
        <v>1295</v>
      </c>
      <c r="E198" t="s">
        <v>197</v>
      </c>
      <c r="F198" t="s">
        <v>17</v>
      </c>
      <c r="G198">
        <v>0.85416666666666663</v>
      </c>
      <c r="H198">
        <v>0.86041666666666672</v>
      </c>
      <c r="I198">
        <v>1</v>
      </c>
      <c r="J198" t="s">
        <v>18</v>
      </c>
      <c r="K198" t="s">
        <v>19</v>
      </c>
      <c r="L198">
        <v>2580</v>
      </c>
      <c r="M198">
        <v>9</v>
      </c>
      <c r="N198" t="s">
        <v>1672</v>
      </c>
      <c r="O198" t="s">
        <v>1662</v>
      </c>
      <c r="P198">
        <v>1</v>
      </c>
      <c r="Q198" t="s">
        <v>1665</v>
      </c>
    </row>
    <row r="199" spans="1:18" x14ac:dyDescent="0.35">
      <c r="A199" t="s">
        <v>443</v>
      </c>
      <c r="B199" s="19">
        <v>45967</v>
      </c>
      <c r="C199" t="s">
        <v>444</v>
      </c>
      <c r="D199" t="s">
        <v>71</v>
      </c>
      <c r="E199" t="s">
        <v>197</v>
      </c>
      <c r="F199" t="s">
        <v>17</v>
      </c>
      <c r="G199">
        <v>0.47916666666666669</v>
      </c>
      <c r="H199">
        <v>0.48680555555555549</v>
      </c>
      <c r="I199">
        <v>19</v>
      </c>
      <c r="J199" t="s">
        <v>18</v>
      </c>
      <c r="K199" t="s">
        <v>19</v>
      </c>
      <c r="L199">
        <v>738</v>
      </c>
      <c r="M199">
        <v>11</v>
      </c>
      <c r="N199" t="s">
        <v>1672</v>
      </c>
      <c r="O199" t="s">
        <v>1664</v>
      </c>
      <c r="P199">
        <v>0</v>
      </c>
      <c r="Q199" t="s">
        <v>1660</v>
      </c>
    </row>
    <row r="200" spans="1:18" x14ac:dyDescent="0.35">
      <c r="A200" t="s">
        <v>445</v>
      </c>
      <c r="B200" s="19">
        <v>45967</v>
      </c>
      <c r="C200" t="s">
        <v>446</v>
      </c>
      <c r="D200" t="s">
        <v>71</v>
      </c>
      <c r="E200" t="s">
        <v>202</v>
      </c>
      <c r="F200" t="s">
        <v>24</v>
      </c>
      <c r="G200">
        <v>0.88888888888888884</v>
      </c>
      <c r="H200">
        <v>0.90625</v>
      </c>
      <c r="I200">
        <v>25</v>
      </c>
      <c r="J200" t="s">
        <v>477</v>
      </c>
      <c r="K200" t="s">
        <v>19</v>
      </c>
      <c r="L200">
        <v>1199</v>
      </c>
      <c r="M200">
        <v>25</v>
      </c>
      <c r="N200" t="s">
        <v>1672</v>
      </c>
      <c r="O200" t="s">
        <v>1664</v>
      </c>
      <c r="P200">
        <v>0</v>
      </c>
      <c r="Q200" t="s">
        <v>1669</v>
      </c>
      <c r="R200" t="s">
        <v>1670</v>
      </c>
    </row>
    <row r="201" spans="1:18" x14ac:dyDescent="0.35">
      <c r="A201" t="s">
        <v>447</v>
      </c>
      <c r="B201" s="19">
        <v>45968</v>
      </c>
      <c r="C201" t="s">
        <v>448</v>
      </c>
      <c r="D201" t="s">
        <v>71</v>
      </c>
      <c r="E201" t="s">
        <v>1171</v>
      </c>
      <c r="F201" t="s">
        <v>38</v>
      </c>
      <c r="G201">
        <v>0.3263888888888889</v>
      </c>
      <c r="H201">
        <v>0.32361111111111113</v>
      </c>
      <c r="I201">
        <v>1</v>
      </c>
      <c r="J201" t="s">
        <v>18</v>
      </c>
      <c r="K201" t="s">
        <v>19</v>
      </c>
      <c r="L201">
        <v>1438</v>
      </c>
      <c r="M201">
        <v>-4</v>
      </c>
      <c r="N201" t="s">
        <v>1672</v>
      </c>
      <c r="O201" t="s">
        <v>1666</v>
      </c>
      <c r="P201">
        <v>1</v>
      </c>
      <c r="Q201" t="s">
        <v>1660</v>
      </c>
    </row>
    <row r="202" spans="1:18" x14ac:dyDescent="0.35">
      <c r="A202" t="s">
        <v>449</v>
      </c>
      <c r="B202" s="19">
        <v>45968</v>
      </c>
      <c r="C202" t="s">
        <v>133</v>
      </c>
      <c r="D202" t="s">
        <v>197</v>
      </c>
      <c r="E202" t="s">
        <v>71</v>
      </c>
      <c r="F202" t="s">
        <v>24</v>
      </c>
      <c r="G202">
        <v>0.38194444444444442</v>
      </c>
      <c r="H202">
        <v>0.37847222222222221</v>
      </c>
      <c r="I202">
        <v>-16</v>
      </c>
      <c r="J202" t="s">
        <v>18</v>
      </c>
      <c r="K202" t="s">
        <v>19</v>
      </c>
      <c r="L202">
        <v>738</v>
      </c>
      <c r="M202">
        <v>-5</v>
      </c>
      <c r="N202" t="s">
        <v>1672</v>
      </c>
      <c r="O202" t="s">
        <v>1666</v>
      </c>
      <c r="P202">
        <v>1</v>
      </c>
      <c r="Q202" t="s">
        <v>1660</v>
      </c>
    </row>
    <row r="203" spans="1:18" x14ac:dyDescent="0.35">
      <c r="A203" t="s">
        <v>450</v>
      </c>
      <c r="B203" s="19">
        <v>45968</v>
      </c>
      <c r="C203" t="s">
        <v>46</v>
      </c>
      <c r="D203" t="s">
        <v>197</v>
      </c>
      <c r="E203" t="s">
        <v>71</v>
      </c>
      <c r="F203" t="s">
        <v>17</v>
      </c>
      <c r="G203">
        <v>0.39583333333333331</v>
      </c>
      <c r="H203">
        <v>0.40277777777777779</v>
      </c>
      <c r="I203">
        <v>2</v>
      </c>
      <c r="J203" t="s">
        <v>18</v>
      </c>
      <c r="K203" t="s">
        <v>19</v>
      </c>
      <c r="L203">
        <v>738</v>
      </c>
      <c r="M203">
        <v>10</v>
      </c>
      <c r="N203" t="s">
        <v>1672</v>
      </c>
      <c r="O203" t="s">
        <v>1666</v>
      </c>
      <c r="P203">
        <v>1</v>
      </c>
      <c r="Q203" t="s">
        <v>1660</v>
      </c>
    </row>
    <row r="204" spans="1:18" x14ac:dyDescent="0.35">
      <c r="A204" t="s">
        <v>451</v>
      </c>
      <c r="B204" s="19">
        <v>45968</v>
      </c>
      <c r="C204" t="s">
        <v>452</v>
      </c>
      <c r="D204" t="s">
        <v>71</v>
      </c>
      <c r="E204" t="s">
        <v>1549</v>
      </c>
      <c r="F204" t="s">
        <v>17</v>
      </c>
      <c r="G204">
        <v>0.43055555555555558</v>
      </c>
      <c r="H204">
        <v>0.43263888888888891</v>
      </c>
      <c r="I204">
        <v>-3</v>
      </c>
      <c r="J204" t="s">
        <v>18</v>
      </c>
      <c r="K204" t="s">
        <v>19</v>
      </c>
      <c r="L204">
        <v>864</v>
      </c>
      <c r="M204">
        <v>3</v>
      </c>
      <c r="N204" t="s">
        <v>1672</v>
      </c>
      <c r="O204" t="s">
        <v>1666</v>
      </c>
      <c r="P204">
        <v>1</v>
      </c>
      <c r="Q204" t="s">
        <v>1660</v>
      </c>
    </row>
    <row r="205" spans="1:18" x14ac:dyDescent="0.35">
      <c r="A205" t="s">
        <v>453</v>
      </c>
      <c r="B205" s="19">
        <v>45969</v>
      </c>
      <c r="C205" t="s">
        <v>454</v>
      </c>
      <c r="D205" t="s">
        <v>79</v>
      </c>
      <c r="E205" t="s">
        <v>1171</v>
      </c>
      <c r="F205" t="s">
        <v>17</v>
      </c>
      <c r="G205">
        <v>0.22916666666666671</v>
      </c>
      <c r="H205">
        <v>0.22847222222222219</v>
      </c>
      <c r="I205">
        <v>7</v>
      </c>
      <c r="J205" t="s">
        <v>18</v>
      </c>
      <c r="K205" t="s">
        <v>19</v>
      </c>
      <c r="L205">
        <v>1584</v>
      </c>
      <c r="M205">
        <v>-1</v>
      </c>
      <c r="N205" t="s">
        <v>1672</v>
      </c>
      <c r="O205" t="s">
        <v>1667</v>
      </c>
      <c r="P205">
        <v>1</v>
      </c>
      <c r="Q205" t="s">
        <v>1660</v>
      </c>
    </row>
    <row r="206" spans="1:18" x14ac:dyDescent="0.35">
      <c r="A206" t="s">
        <v>455</v>
      </c>
      <c r="B206" s="19">
        <v>45969</v>
      </c>
      <c r="C206" t="s">
        <v>456</v>
      </c>
      <c r="D206" t="s">
        <v>1295</v>
      </c>
      <c r="E206" t="s">
        <v>413</v>
      </c>
      <c r="F206" t="s">
        <v>17</v>
      </c>
      <c r="G206">
        <v>0.3125</v>
      </c>
      <c r="H206">
        <v>0.31319444444444439</v>
      </c>
      <c r="I206">
        <v>6</v>
      </c>
      <c r="J206" t="s">
        <v>18</v>
      </c>
      <c r="K206" t="s">
        <v>19</v>
      </c>
      <c r="L206">
        <v>338</v>
      </c>
      <c r="M206">
        <v>1</v>
      </c>
      <c r="N206" t="s">
        <v>1672</v>
      </c>
      <c r="O206" t="s">
        <v>1667</v>
      </c>
      <c r="P206">
        <v>1</v>
      </c>
      <c r="Q206" t="s">
        <v>1660</v>
      </c>
    </row>
    <row r="207" spans="1:18" x14ac:dyDescent="0.35">
      <c r="A207" t="s">
        <v>457</v>
      </c>
      <c r="B207" s="19">
        <v>45969</v>
      </c>
      <c r="C207" t="s">
        <v>458</v>
      </c>
      <c r="D207" t="s">
        <v>413</v>
      </c>
      <c r="E207" t="s">
        <v>226</v>
      </c>
      <c r="F207" t="s">
        <v>24</v>
      </c>
      <c r="G207">
        <v>0.70486111111111116</v>
      </c>
      <c r="I207">
        <v>-8</v>
      </c>
      <c r="J207" t="s">
        <v>18</v>
      </c>
      <c r="K207" t="s">
        <v>19</v>
      </c>
      <c r="L207">
        <v>861</v>
      </c>
      <c r="M207">
        <v>4</v>
      </c>
      <c r="N207" t="s">
        <v>1672</v>
      </c>
      <c r="O207" t="s">
        <v>1667</v>
      </c>
      <c r="P207">
        <v>1</v>
      </c>
      <c r="Q207" t="s">
        <v>1663</v>
      </c>
    </row>
    <row r="208" spans="1:18" x14ac:dyDescent="0.35">
      <c r="A208" t="s">
        <v>459</v>
      </c>
      <c r="B208" s="19">
        <v>45969</v>
      </c>
      <c r="C208" t="s">
        <v>460</v>
      </c>
      <c r="D208" t="s">
        <v>588</v>
      </c>
      <c r="E208" t="s">
        <v>197</v>
      </c>
      <c r="F208" t="s">
        <v>28</v>
      </c>
      <c r="G208">
        <v>0.72569444444444442</v>
      </c>
      <c r="H208">
        <v>0.72013888888888888</v>
      </c>
      <c r="I208">
        <v>-4</v>
      </c>
      <c r="J208" t="s">
        <v>18</v>
      </c>
      <c r="K208" t="s">
        <v>19</v>
      </c>
      <c r="L208">
        <v>1389</v>
      </c>
      <c r="M208">
        <v>-8</v>
      </c>
      <c r="N208" t="s">
        <v>1672</v>
      </c>
      <c r="O208" t="s">
        <v>1667</v>
      </c>
      <c r="P208">
        <v>1</v>
      </c>
      <c r="Q208" t="s">
        <v>1665</v>
      </c>
    </row>
    <row r="209" spans="1:18" x14ac:dyDescent="0.35">
      <c r="A209" t="s">
        <v>461</v>
      </c>
      <c r="B209" s="19">
        <v>45969</v>
      </c>
      <c r="C209" t="s">
        <v>14</v>
      </c>
      <c r="D209" t="s">
        <v>197</v>
      </c>
      <c r="E209" t="s">
        <v>1549</v>
      </c>
      <c r="F209" t="s">
        <v>28</v>
      </c>
      <c r="G209">
        <v>0.77777777777777779</v>
      </c>
      <c r="H209">
        <v>0.81458333333333333</v>
      </c>
      <c r="I209">
        <v>41</v>
      </c>
      <c r="J209" t="s">
        <v>54</v>
      </c>
      <c r="K209" t="s">
        <v>19</v>
      </c>
      <c r="L209">
        <v>186</v>
      </c>
      <c r="M209">
        <v>53</v>
      </c>
      <c r="N209" t="s">
        <v>1672</v>
      </c>
      <c r="O209" t="s">
        <v>1667</v>
      </c>
      <c r="P209">
        <v>0</v>
      </c>
      <c r="Q209" t="s">
        <v>1665</v>
      </c>
      <c r="R209" t="s">
        <v>1657</v>
      </c>
    </row>
    <row r="210" spans="1:18" x14ac:dyDescent="0.35">
      <c r="A210" t="s">
        <v>462</v>
      </c>
      <c r="B210" s="19">
        <v>45969</v>
      </c>
      <c r="C210" t="s">
        <v>463</v>
      </c>
      <c r="D210" t="s">
        <v>202</v>
      </c>
      <c r="E210" t="s">
        <v>588</v>
      </c>
      <c r="F210" t="s">
        <v>38</v>
      </c>
      <c r="G210">
        <v>0.80902777777777779</v>
      </c>
      <c r="H210">
        <v>0.82222222222222219</v>
      </c>
      <c r="I210">
        <v>17</v>
      </c>
      <c r="J210" t="s">
        <v>54</v>
      </c>
      <c r="K210" t="s">
        <v>19</v>
      </c>
      <c r="L210">
        <v>1120</v>
      </c>
      <c r="M210">
        <v>19</v>
      </c>
      <c r="N210" t="s">
        <v>1672</v>
      </c>
      <c r="O210" t="s">
        <v>1667</v>
      </c>
      <c r="P210">
        <v>0</v>
      </c>
      <c r="Q210" t="s">
        <v>1665</v>
      </c>
      <c r="R210" t="s">
        <v>1657</v>
      </c>
    </row>
    <row r="211" spans="1:18" x14ac:dyDescent="0.35">
      <c r="A211" t="s">
        <v>464</v>
      </c>
      <c r="B211" s="19">
        <v>45970</v>
      </c>
      <c r="C211" t="s">
        <v>465</v>
      </c>
      <c r="D211" t="s">
        <v>84</v>
      </c>
      <c r="E211" t="s">
        <v>71</v>
      </c>
      <c r="F211" t="s">
        <v>24</v>
      </c>
      <c r="G211">
        <v>0.34375</v>
      </c>
      <c r="H211">
        <v>0.34722222222222221</v>
      </c>
      <c r="I211">
        <v>10</v>
      </c>
      <c r="J211" t="s">
        <v>18</v>
      </c>
      <c r="K211" t="s">
        <v>19</v>
      </c>
      <c r="L211">
        <v>1717</v>
      </c>
      <c r="M211">
        <v>5</v>
      </c>
      <c r="N211" t="s">
        <v>1672</v>
      </c>
      <c r="O211" t="s">
        <v>1668</v>
      </c>
      <c r="P211">
        <v>1</v>
      </c>
      <c r="Q211" t="s">
        <v>1660</v>
      </c>
    </row>
    <row r="212" spans="1:18" x14ac:dyDescent="0.35">
      <c r="A212" t="s">
        <v>466</v>
      </c>
      <c r="B212" s="19">
        <v>45970</v>
      </c>
      <c r="C212" t="s">
        <v>151</v>
      </c>
      <c r="D212" t="s">
        <v>588</v>
      </c>
      <c r="E212" t="s">
        <v>79</v>
      </c>
      <c r="F212" t="s">
        <v>17</v>
      </c>
      <c r="G212">
        <v>0.52083333333333337</v>
      </c>
      <c r="H212">
        <v>0.52569444444444446</v>
      </c>
      <c r="I212">
        <v>4</v>
      </c>
      <c r="J212" t="s">
        <v>18</v>
      </c>
      <c r="K212" t="s">
        <v>19</v>
      </c>
      <c r="L212">
        <v>730</v>
      </c>
      <c r="M212">
        <v>7</v>
      </c>
      <c r="N212" t="s">
        <v>1672</v>
      </c>
      <c r="O212" t="s">
        <v>1668</v>
      </c>
      <c r="P212">
        <v>1</v>
      </c>
      <c r="Q212" t="s">
        <v>1663</v>
      </c>
    </row>
    <row r="213" spans="1:18" x14ac:dyDescent="0.35">
      <c r="A213" t="s">
        <v>467</v>
      </c>
      <c r="B213" s="19">
        <v>45970</v>
      </c>
      <c r="C213" t="s">
        <v>468</v>
      </c>
      <c r="D213" t="s">
        <v>226</v>
      </c>
      <c r="E213" t="s">
        <v>1549</v>
      </c>
      <c r="F213" t="s">
        <v>17</v>
      </c>
      <c r="G213">
        <v>0.79166666666666663</v>
      </c>
      <c r="H213">
        <v>0.79791666666666672</v>
      </c>
      <c r="I213">
        <v>7</v>
      </c>
      <c r="J213" t="s">
        <v>18</v>
      </c>
      <c r="K213" t="s">
        <v>19</v>
      </c>
      <c r="L213">
        <v>1749</v>
      </c>
      <c r="M213">
        <v>9</v>
      </c>
      <c r="N213" t="s">
        <v>1672</v>
      </c>
      <c r="O213" t="s">
        <v>1668</v>
      </c>
      <c r="P213">
        <v>1</v>
      </c>
      <c r="Q213" t="s">
        <v>1665</v>
      </c>
    </row>
    <row r="214" spans="1:18" x14ac:dyDescent="0.35">
      <c r="A214" t="s">
        <v>469</v>
      </c>
      <c r="B214" s="19">
        <v>45971</v>
      </c>
      <c r="C214" t="s">
        <v>470</v>
      </c>
      <c r="D214" t="s">
        <v>413</v>
      </c>
      <c r="E214" t="s">
        <v>71</v>
      </c>
      <c r="F214" t="s">
        <v>24</v>
      </c>
      <c r="G214">
        <v>0.35069444444444442</v>
      </c>
      <c r="H214">
        <v>0.35625000000000001</v>
      </c>
      <c r="I214">
        <v>17</v>
      </c>
      <c r="J214" t="s">
        <v>18</v>
      </c>
      <c r="K214" t="s">
        <v>19</v>
      </c>
      <c r="L214">
        <v>1742</v>
      </c>
      <c r="M214">
        <v>8</v>
      </c>
      <c r="N214" t="s">
        <v>1672</v>
      </c>
      <c r="O214" t="s">
        <v>1659</v>
      </c>
      <c r="P214">
        <v>0</v>
      </c>
      <c r="Q214" t="s">
        <v>1660</v>
      </c>
    </row>
    <row r="215" spans="1:18" x14ac:dyDescent="0.35">
      <c r="A215" t="s">
        <v>471</v>
      </c>
      <c r="B215" s="19">
        <v>45971</v>
      </c>
      <c r="C215" t="s">
        <v>472</v>
      </c>
      <c r="D215" t="s">
        <v>197</v>
      </c>
      <c r="E215" t="s">
        <v>588</v>
      </c>
      <c r="F215" t="s">
        <v>24</v>
      </c>
      <c r="G215">
        <v>0.62152777777777779</v>
      </c>
      <c r="H215">
        <v>0.63958333333333328</v>
      </c>
      <c r="I215">
        <v>24</v>
      </c>
      <c r="J215" t="s">
        <v>129</v>
      </c>
      <c r="K215" t="s">
        <v>19</v>
      </c>
      <c r="L215">
        <v>1389</v>
      </c>
      <c r="M215">
        <v>26</v>
      </c>
      <c r="N215" t="s">
        <v>1672</v>
      </c>
      <c r="O215" t="s">
        <v>1659</v>
      </c>
      <c r="P215">
        <v>0</v>
      </c>
      <c r="Q215" t="s">
        <v>1663</v>
      </c>
      <c r="R215" t="s">
        <v>1670</v>
      </c>
    </row>
    <row r="216" spans="1:18" x14ac:dyDescent="0.35">
      <c r="A216" t="s">
        <v>473</v>
      </c>
      <c r="B216" s="19">
        <v>45972</v>
      </c>
      <c r="C216" t="s">
        <v>474</v>
      </c>
      <c r="D216" t="s">
        <v>1171</v>
      </c>
      <c r="E216" t="s">
        <v>226</v>
      </c>
      <c r="F216" t="s">
        <v>38</v>
      </c>
      <c r="G216">
        <v>0.52430555555555558</v>
      </c>
      <c r="H216">
        <v>0.52569444444444446</v>
      </c>
      <c r="I216">
        <v>11</v>
      </c>
      <c r="J216" t="s">
        <v>18</v>
      </c>
      <c r="K216" t="s">
        <v>19</v>
      </c>
      <c r="L216">
        <v>602</v>
      </c>
      <c r="M216">
        <v>2</v>
      </c>
      <c r="N216" t="s">
        <v>1672</v>
      </c>
      <c r="O216" t="s">
        <v>1661</v>
      </c>
      <c r="P216">
        <v>1</v>
      </c>
      <c r="Q216" t="s">
        <v>1663</v>
      </c>
    </row>
    <row r="217" spans="1:18" x14ac:dyDescent="0.35">
      <c r="A217" t="s">
        <v>475</v>
      </c>
      <c r="B217" s="19">
        <v>45972</v>
      </c>
      <c r="C217" t="s">
        <v>476</v>
      </c>
      <c r="D217" t="s">
        <v>197</v>
      </c>
      <c r="E217" t="s">
        <v>79</v>
      </c>
      <c r="F217" t="s">
        <v>38</v>
      </c>
      <c r="G217">
        <v>0.73263888888888884</v>
      </c>
      <c r="H217">
        <v>0.7631944444444444</v>
      </c>
      <c r="I217">
        <v>45</v>
      </c>
      <c r="J217" t="s">
        <v>477</v>
      </c>
      <c r="K217" t="s">
        <v>19</v>
      </c>
      <c r="L217">
        <v>759</v>
      </c>
      <c r="M217">
        <v>44</v>
      </c>
      <c r="N217" t="s">
        <v>1672</v>
      </c>
      <c r="O217" t="s">
        <v>1661</v>
      </c>
      <c r="P217">
        <v>0</v>
      </c>
      <c r="Q217" t="s">
        <v>1665</v>
      </c>
      <c r="R217" t="s">
        <v>1670</v>
      </c>
    </row>
    <row r="218" spans="1:18" x14ac:dyDescent="0.35">
      <c r="A218" t="s">
        <v>478</v>
      </c>
      <c r="B218" s="19">
        <v>45973</v>
      </c>
      <c r="C218" t="s">
        <v>479</v>
      </c>
      <c r="D218" t="s">
        <v>202</v>
      </c>
      <c r="E218" t="s">
        <v>1295</v>
      </c>
      <c r="F218" t="s">
        <v>28</v>
      </c>
      <c r="G218">
        <v>0.4548611111111111</v>
      </c>
      <c r="H218">
        <v>0.44930555555555562</v>
      </c>
      <c r="I218">
        <v>-16</v>
      </c>
      <c r="J218" t="s">
        <v>18</v>
      </c>
      <c r="K218" t="s">
        <v>19</v>
      </c>
      <c r="L218">
        <v>2582</v>
      </c>
      <c r="M218">
        <v>-8</v>
      </c>
      <c r="N218" t="s">
        <v>1672</v>
      </c>
      <c r="O218" t="s">
        <v>1662</v>
      </c>
      <c r="P218">
        <v>1</v>
      </c>
      <c r="Q218" t="s">
        <v>1660</v>
      </c>
    </row>
    <row r="219" spans="1:18" x14ac:dyDescent="0.35">
      <c r="A219" t="s">
        <v>480</v>
      </c>
      <c r="B219" s="19">
        <v>45973</v>
      </c>
      <c r="C219" t="s">
        <v>481</v>
      </c>
      <c r="D219" t="s">
        <v>588</v>
      </c>
      <c r="E219" t="s">
        <v>1549</v>
      </c>
      <c r="F219" t="s">
        <v>17</v>
      </c>
      <c r="G219">
        <v>0.57638888888888884</v>
      </c>
      <c r="H219">
        <v>0.57777777777777772</v>
      </c>
      <c r="I219">
        <v>1</v>
      </c>
      <c r="J219" t="s">
        <v>18</v>
      </c>
      <c r="K219" t="s">
        <v>19</v>
      </c>
      <c r="L219">
        <v>1559</v>
      </c>
      <c r="M219">
        <v>2</v>
      </c>
      <c r="N219" t="s">
        <v>1672</v>
      </c>
      <c r="O219" t="s">
        <v>1662</v>
      </c>
      <c r="P219">
        <v>1</v>
      </c>
      <c r="Q219" t="s">
        <v>1663</v>
      </c>
    </row>
    <row r="220" spans="1:18" x14ac:dyDescent="0.35">
      <c r="A220" t="s">
        <v>482</v>
      </c>
      <c r="B220" s="19">
        <v>45973</v>
      </c>
      <c r="C220" t="s">
        <v>483</v>
      </c>
      <c r="D220" t="s">
        <v>588</v>
      </c>
      <c r="E220" t="s">
        <v>79</v>
      </c>
      <c r="F220" t="s">
        <v>24</v>
      </c>
      <c r="G220">
        <v>0.69444444444444442</v>
      </c>
      <c r="H220">
        <v>0.69305555555555554</v>
      </c>
      <c r="I220">
        <v>6</v>
      </c>
      <c r="J220" t="s">
        <v>18</v>
      </c>
      <c r="K220" t="s">
        <v>19</v>
      </c>
      <c r="L220">
        <v>730</v>
      </c>
      <c r="M220">
        <v>-2</v>
      </c>
      <c r="N220" t="s">
        <v>1672</v>
      </c>
      <c r="O220" t="s">
        <v>1662</v>
      </c>
      <c r="P220">
        <v>1</v>
      </c>
      <c r="Q220" t="s">
        <v>1663</v>
      </c>
    </row>
    <row r="221" spans="1:18" x14ac:dyDescent="0.35">
      <c r="A221" t="s">
        <v>484</v>
      </c>
      <c r="B221" s="19">
        <v>45973</v>
      </c>
      <c r="C221" t="s">
        <v>485</v>
      </c>
      <c r="D221" t="s">
        <v>84</v>
      </c>
      <c r="E221" t="s">
        <v>546</v>
      </c>
      <c r="F221" t="s">
        <v>38</v>
      </c>
      <c r="G221">
        <v>0.73611111111111116</v>
      </c>
      <c r="H221">
        <v>0.7319444444444444</v>
      </c>
      <c r="I221">
        <v>2</v>
      </c>
      <c r="J221" t="s">
        <v>18</v>
      </c>
      <c r="K221" t="s">
        <v>19</v>
      </c>
      <c r="L221">
        <v>867</v>
      </c>
      <c r="M221">
        <v>-6</v>
      </c>
      <c r="N221" t="s">
        <v>1672</v>
      </c>
      <c r="O221" t="s">
        <v>1662</v>
      </c>
      <c r="P221">
        <v>1</v>
      </c>
      <c r="Q221" t="s">
        <v>1665</v>
      </c>
    </row>
    <row r="222" spans="1:18" x14ac:dyDescent="0.35">
      <c r="A222" t="s">
        <v>486</v>
      </c>
      <c r="B222" s="19">
        <v>45973</v>
      </c>
      <c r="C222" t="s">
        <v>487</v>
      </c>
      <c r="D222" t="s">
        <v>588</v>
      </c>
      <c r="E222" t="s">
        <v>1549</v>
      </c>
      <c r="F222" t="s">
        <v>17</v>
      </c>
      <c r="G222">
        <v>0.78472222222222221</v>
      </c>
      <c r="H222">
        <v>0.78402777777777777</v>
      </c>
      <c r="J222" t="s">
        <v>18</v>
      </c>
      <c r="K222" t="s">
        <v>19</v>
      </c>
      <c r="L222">
        <v>1559</v>
      </c>
      <c r="M222">
        <v>-1</v>
      </c>
      <c r="N222" t="s">
        <v>1672</v>
      </c>
      <c r="O222" t="s">
        <v>1662</v>
      </c>
      <c r="Q222" t="s">
        <v>1665</v>
      </c>
    </row>
    <row r="223" spans="1:18" x14ac:dyDescent="0.35">
      <c r="A223" t="s">
        <v>488</v>
      </c>
      <c r="B223" s="19">
        <v>45973</v>
      </c>
      <c r="C223" t="s">
        <v>489</v>
      </c>
      <c r="D223" t="s">
        <v>202</v>
      </c>
      <c r="E223" t="s">
        <v>71</v>
      </c>
      <c r="F223" t="s">
        <v>17</v>
      </c>
      <c r="G223">
        <v>0.82291666666666663</v>
      </c>
      <c r="H223">
        <v>0.85</v>
      </c>
      <c r="I223">
        <v>36</v>
      </c>
      <c r="J223" t="s">
        <v>60</v>
      </c>
      <c r="K223" t="s">
        <v>19</v>
      </c>
      <c r="L223">
        <v>1199</v>
      </c>
      <c r="M223">
        <v>39</v>
      </c>
      <c r="N223" t="s">
        <v>1672</v>
      </c>
      <c r="O223" t="s">
        <v>1662</v>
      </c>
      <c r="P223">
        <v>0</v>
      </c>
      <c r="Q223" t="s">
        <v>1665</v>
      </c>
      <c r="R223" t="s">
        <v>1657</v>
      </c>
    </row>
    <row r="224" spans="1:18" x14ac:dyDescent="0.35">
      <c r="A224" t="s">
        <v>490</v>
      </c>
      <c r="B224" s="19">
        <v>45974</v>
      </c>
      <c r="C224" t="s">
        <v>239</v>
      </c>
      <c r="D224" t="s">
        <v>79</v>
      </c>
      <c r="E224" t="s">
        <v>588</v>
      </c>
      <c r="F224" t="s">
        <v>28</v>
      </c>
      <c r="G224">
        <v>0.4548611111111111</v>
      </c>
      <c r="H224">
        <v>0.4513888888888889</v>
      </c>
      <c r="I224">
        <v>-12</v>
      </c>
      <c r="J224" t="s">
        <v>18</v>
      </c>
      <c r="K224" t="s">
        <v>19</v>
      </c>
      <c r="L224">
        <v>730</v>
      </c>
      <c r="M224">
        <v>-5</v>
      </c>
      <c r="N224" t="s">
        <v>1672</v>
      </c>
      <c r="O224" t="s">
        <v>1664</v>
      </c>
      <c r="P224">
        <v>1</v>
      </c>
      <c r="Q224" t="s">
        <v>1660</v>
      </c>
    </row>
    <row r="225" spans="1:18" x14ac:dyDescent="0.35">
      <c r="A225" t="s">
        <v>491</v>
      </c>
      <c r="B225" s="19">
        <v>45974</v>
      </c>
      <c r="C225" t="s">
        <v>492</v>
      </c>
      <c r="D225" t="s">
        <v>588</v>
      </c>
      <c r="E225" t="s">
        <v>413</v>
      </c>
      <c r="F225" t="s">
        <v>24</v>
      </c>
      <c r="G225">
        <v>0.73958333333333337</v>
      </c>
      <c r="H225">
        <v>0.74305555555555558</v>
      </c>
      <c r="J225" t="s">
        <v>18</v>
      </c>
      <c r="K225" t="s">
        <v>19</v>
      </c>
      <c r="L225">
        <v>1232</v>
      </c>
      <c r="M225">
        <v>5</v>
      </c>
      <c r="N225" t="s">
        <v>1672</v>
      </c>
      <c r="O225" t="s">
        <v>1664</v>
      </c>
      <c r="Q225" t="s">
        <v>1665</v>
      </c>
    </row>
    <row r="226" spans="1:18" x14ac:dyDescent="0.35">
      <c r="A226" t="s">
        <v>493</v>
      </c>
      <c r="B226" s="19">
        <v>45974</v>
      </c>
      <c r="C226" t="s">
        <v>494</v>
      </c>
      <c r="D226" t="s">
        <v>588</v>
      </c>
      <c r="E226" t="s">
        <v>1549</v>
      </c>
      <c r="F226" t="s">
        <v>38</v>
      </c>
      <c r="G226">
        <v>0.8125</v>
      </c>
      <c r="H226">
        <v>0.81805555555555554</v>
      </c>
      <c r="I226">
        <v>11</v>
      </c>
      <c r="J226" t="s">
        <v>18</v>
      </c>
      <c r="K226" t="s">
        <v>19</v>
      </c>
      <c r="L226">
        <v>1559</v>
      </c>
      <c r="N226" t="s">
        <v>1672</v>
      </c>
      <c r="O226" t="s">
        <v>1664</v>
      </c>
      <c r="P226">
        <v>1</v>
      </c>
      <c r="Q226" t="s">
        <v>1665</v>
      </c>
    </row>
    <row r="227" spans="1:18" x14ac:dyDescent="0.35">
      <c r="A227" t="s">
        <v>495</v>
      </c>
      <c r="B227" s="19">
        <v>45975</v>
      </c>
      <c r="C227" t="s">
        <v>496</v>
      </c>
      <c r="D227" t="s">
        <v>79</v>
      </c>
      <c r="E227" t="s">
        <v>588</v>
      </c>
      <c r="F227" t="s">
        <v>17</v>
      </c>
      <c r="G227">
        <v>0.4513888888888889</v>
      </c>
      <c r="H227">
        <v>0.45833333333333331</v>
      </c>
      <c r="I227">
        <v>13</v>
      </c>
      <c r="J227" t="s">
        <v>18</v>
      </c>
      <c r="K227" t="s">
        <v>19</v>
      </c>
      <c r="L227">
        <v>730</v>
      </c>
      <c r="M227">
        <v>10</v>
      </c>
      <c r="N227" t="s">
        <v>1672</v>
      </c>
      <c r="O227" t="s">
        <v>1666</v>
      </c>
      <c r="P227">
        <v>1</v>
      </c>
      <c r="Q227" t="s">
        <v>1660</v>
      </c>
    </row>
    <row r="228" spans="1:18" x14ac:dyDescent="0.35">
      <c r="A228" t="s">
        <v>497</v>
      </c>
      <c r="B228" s="19">
        <v>45975</v>
      </c>
      <c r="C228" t="s">
        <v>290</v>
      </c>
      <c r="D228" t="s">
        <v>226</v>
      </c>
      <c r="E228" t="s">
        <v>79</v>
      </c>
      <c r="F228" t="s">
        <v>28</v>
      </c>
      <c r="G228">
        <v>0.70833333333333337</v>
      </c>
      <c r="H228">
        <v>0.71319444444444446</v>
      </c>
      <c r="I228">
        <v>-2</v>
      </c>
      <c r="J228" t="s">
        <v>18</v>
      </c>
      <c r="K228" t="s">
        <v>19</v>
      </c>
      <c r="L228">
        <v>1197</v>
      </c>
      <c r="M228">
        <v>7</v>
      </c>
      <c r="N228" t="s">
        <v>1672</v>
      </c>
      <c r="O228" t="s">
        <v>1666</v>
      </c>
      <c r="P228">
        <v>1</v>
      </c>
      <c r="Q228" t="s">
        <v>1665</v>
      </c>
    </row>
    <row r="229" spans="1:18" x14ac:dyDescent="0.35">
      <c r="A229" t="s">
        <v>498</v>
      </c>
      <c r="B229" s="19">
        <v>45976</v>
      </c>
      <c r="C229" t="s">
        <v>499</v>
      </c>
      <c r="D229" t="s">
        <v>71</v>
      </c>
      <c r="E229" t="s">
        <v>226</v>
      </c>
      <c r="F229" t="s">
        <v>24</v>
      </c>
      <c r="G229">
        <v>0.2361111111111111</v>
      </c>
      <c r="H229">
        <v>0.23333333333333331</v>
      </c>
      <c r="I229">
        <v>-4</v>
      </c>
      <c r="J229" t="s">
        <v>18</v>
      </c>
      <c r="K229" t="s">
        <v>19</v>
      </c>
      <c r="L229">
        <v>886</v>
      </c>
      <c r="M229">
        <v>-4</v>
      </c>
      <c r="N229" t="s">
        <v>1672</v>
      </c>
      <c r="O229" t="s">
        <v>1667</v>
      </c>
      <c r="P229">
        <v>1</v>
      </c>
      <c r="Q229" t="s">
        <v>1660</v>
      </c>
    </row>
    <row r="230" spans="1:18" x14ac:dyDescent="0.35">
      <c r="A230" t="s">
        <v>500</v>
      </c>
      <c r="B230" s="19">
        <v>45976</v>
      </c>
      <c r="C230" t="s">
        <v>501</v>
      </c>
      <c r="D230" t="s">
        <v>226</v>
      </c>
      <c r="E230" t="s">
        <v>1549</v>
      </c>
      <c r="F230" t="s">
        <v>24</v>
      </c>
      <c r="G230">
        <v>0.3263888888888889</v>
      </c>
      <c r="H230">
        <v>0.32708333333333328</v>
      </c>
      <c r="I230">
        <v>-1</v>
      </c>
      <c r="J230" t="s">
        <v>18</v>
      </c>
      <c r="K230" t="s">
        <v>19</v>
      </c>
      <c r="L230">
        <v>1749</v>
      </c>
      <c r="M230">
        <v>1</v>
      </c>
      <c r="N230" t="s">
        <v>1672</v>
      </c>
      <c r="O230" t="s">
        <v>1667</v>
      </c>
      <c r="P230">
        <v>1</v>
      </c>
      <c r="Q230" t="s">
        <v>1660</v>
      </c>
    </row>
    <row r="231" spans="1:18" x14ac:dyDescent="0.35">
      <c r="A231" t="s">
        <v>502</v>
      </c>
      <c r="B231" s="19">
        <v>45976</v>
      </c>
      <c r="C231" t="s">
        <v>470</v>
      </c>
      <c r="D231" t="s">
        <v>79</v>
      </c>
      <c r="E231" t="s">
        <v>413</v>
      </c>
      <c r="F231" t="s">
        <v>24</v>
      </c>
      <c r="G231">
        <v>0.3263888888888889</v>
      </c>
      <c r="H231">
        <v>0.3215277777777778</v>
      </c>
      <c r="I231">
        <v>-9</v>
      </c>
      <c r="J231" t="s">
        <v>18</v>
      </c>
      <c r="K231" t="s">
        <v>19</v>
      </c>
      <c r="L231">
        <v>1942</v>
      </c>
      <c r="M231">
        <v>-7</v>
      </c>
      <c r="N231" t="s">
        <v>1672</v>
      </c>
      <c r="O231" t="s">
        <v>1667</v>
      </c>
      <c r="P231">
        <v>1</v>
      </c>
      <c r="Q231" t="s">
        <v>1660</v>
      </c>
    </row>
    <row r="232" spans="1:18" x14ac:dyDescent="0.35">
      <c r="A232" t="s">
        <v>503</v>
      </c>
      <c r="B232" s="19">
        <v>45976</v>
      </c>
      <c r="C232" t="s">
        <v>504</v>
      </c>
      <c r="D232" t="s">
        <v>79</v>
      </c>
      <c r="E232" t="s">
        <v>197</v>
      </c>
      <c r="F232" t="s">
        <v>38</v>
      </c>
      <c r="G232">
        <v>0.33333333333333331</v>
      </c>
      <c r="H232">
        <v>0.33958333333333329</v>
      </c>
      <c r="I232">
        <v>1</v>
      </c>
      <c r="J232" t="s">
        <v>18</v>
      </c>
      <c r="K232" t="s">
        <v>19</v>
      </c>
      <c r="L232">
        <v>759</v>
      </c>
      <c r="M232">
        <v>9</v>
      </c>
      <c r="N232" t="s">
        <v>1672</v>
      </c>
      <c r="O232" t="s">
        <v>1667</v>
      </c>
      <c r="P232">
        <v>1</v>
      </c>
      <c r="Q232" t="s">
        <v>1660</v>
      </c>
    </row>
    <row r="233" spans="1:18" x14ac:dyDescent="0.35">
      <c r="A233" t="s">
        <v>505</v>
      </c>
      <c r="B233" s="19">
        <v>45976</v>
      </c>
      <c r="C233" t="s">
        <v>506</v>
      </c>
      <c r="D233" t="s">
        <v>226</v>
      </c>
      <c r="E233" t="s">
        <v>1171</v>
      </c>
      <c r="F233" t="s">
        <v>17</v>
      </c>
      <c r="G233">
        <v>0.36458333333333331</v>
      </c>
      <c r="H233">
        <v>0.37083333333333329</v>
      </c>
      <c r="I233">
        <v>12</v>
      </c>
      <c r="J233" t="s">
        <v>18</v>
      </c>
      <c r="K233" t="s">
        <v>19</v>
      </c>
      <c r="L233">
        <v>602</v>
      </c>
      <c r="M233">
        <v>9</v>
      </c>
      <c r="N233" t="s">
        <v>1672</v>
      </c>
      <c r="O233" t="s">
        <v>1667</v>
      </c>
      <c r="P233">
        <v>1</v>
      </c>
      <c r="Q233" t="s">
        <v>1660</v>
      </c>
    </row>
    <row r="234" spans="1:18" x14ac:dyDescent="0.35">
      <c r="A234" t="s">
        <v>507</v>
      </c>
      <c r="B234" s="19">
        <v>45976</v>
      </c>
      <c r="C234" t="s">
        <v>508</v>
      </c>
      <c r="D234" t="s">
        <v>84</v>
      </c>
      <c r="E234" t="s">
        <v>1549</v>
      </c>
      <c r="F234" t="s">
        <v>38</v>
      </c>
      <c r="G234">
        <v>0.59375</v>
      </c>
      <c r="H234">
        <v>0.59583333333333333</v>
      </c>
      <c r="I234">
        <v>-3</v>
      </c>
      <c r="J234" t="s">
        <v>18</v>
      </c>
      <c r="K234" t="s">
        <v>19</v>
      </c>
      <c r="L234">
        <v>2489</v>
      </c>
      <c r="M234">
        <v>3</v>
      </c>
      <c r="N234" t="s">
        <v>1672</v>
      </c>
      <c r="O234" t="s">
        <v>1667</v>
      </c>
      <c r="P234">
        <v>1</v>
      </c>
      <c r="Q234" t="s">
        <v>1663</v>
      </c>
    </row>
    <row r="235" spans="1:18" x14ac:dyDescent="0.35">
      <c r="A235" t="s">
        <v>509</v>
      </c>
      <c r="B235" s="19">
        <v>45976</v>
      </c>
      <c r="C235" t="s">
        <v>510</v>
      </c>
      <c r="D235" t="s">
        <v>226</v>
      </c>
      <c r="E235" t="s">
        <v>197</v>
      </c>
      <c r="F235" t="s">
        <v>17</v>
      </c>
      <c r="G235">
        <v>0.62152777777777779</v>
      </c>
      <c r="H235">
        <v>0.62013888888888891</v>
      </c>
      <c r="J235" t="s">
        <v>18</v>
      </c>
      <c r="K235" t="s">
        <v>19</v>
      </c>
      <c r="L235">
        <v>1622</v>
      </c>
      <c r="M235">
        <v>-2</v>
      </c>
      <c r="N235" t="s">
        <v>1672</v>
      </c>
      <c r="O235" t="s">
        <v>1667</v>
      </c>
      <c r="Q235" t="s">
        <v>1663</v>
      </c>
    </row>
    <row r="236" spans="1:18" x14ac:dyDescent="0.35">
      <c r="A236" t="s">
        <v>511</v>
      </c>
      <c r="B236" s="19">
        <v>45977</v>
      </c>
      <c r="C236" t="s">
        <v>512</v>
      </c>
      <c r="D236" t="s">
        <v>202</v>
      </c>
      <c r="E236" t="s">
        <v>79</v>
      </c>
      <c r="F236" t="s">
        <v>24</v>
      </c>
      <c r="G236">
        <v>0.22916666666666671</v>
      </c>
      <c r="H236">
        <v>0.23472222222222219</v>
      </c>
      <c r="I236">
        <v>10</v>
      </c>
      <c r="J236" t="s">
        <v>18</v>
      </c>
      <c r="K236" t="s">
        <v>19</v>
      </c>
      <c r="L236">
        <v>596</v>
      </c>
      <c r="M236">
        <v>8</v>
      </c>
      <c r="N236" t="s">
        <v>1672</v>
      </c>
      <c r="O236" t="s">
        <v>1668</v>
      </c>
      <c r="P236">
        <v>1</v>
      </c>
      <c r="Q236" t="s">
        <v>1660</v>
      </c>
    </row>
    <row r="237" spans="1:18" x14ac:dyDescent="0.35">
      <c r="A237" t="s">
        <v>513</v>
      </c>
      <c r="B237" s="19">
        <v>45977</v>
      </c>
      <c r="C237" t="s">
        <v>426</v>
      </c>
      <c r="D237" t="s">
        <v>71</v>
      </c>
      <c r="E237" t="s">
        <v>79</v>
      </c>
      <c r="F237" t="s">
        <v>17</v>
      </c>
      <c r="G237">
        <v>0.47569444444444442</v>
      </c>
      <c r="H237">
        <v>0.47638888888888892</v>
      </c>
      <c r="I237">
        <v>-9</v>
      </c>
      <c r="J237" t="s">
        <v>18</v>
      </c>
      <c r="K237" t="s">
        <v>19</v>
      </c>
      <c r="L237">
        <v>606</v>
      </c>
      <c r="M237">
        <v>1</v>
      </c>
      <c r="N237" t="s">
        <v>1672</v>
      </c>
      <c r="O237" t="s">
        <v>1668</v>
      </c>
      <c r="P237">
        <v>1</v>
      </c>
      <c r="Q237" t="s">
        <v>1660</v>
      </c>
    </row>
    <row r="238" spans="1:18" x14ac:dyDescent="0.35">
      <c r="A238" t="s">
        <v>514</v>
      </c>
      <c r="B238" s="19">
        <v>45977</v>
      </c>
      <c r="C238" t="s">
        <v>312</v>
      </c>
      <c r="D238" t="s">
        <v>226</v>
      </c>
      <c r="E238" t="s">
        <v>1295</v>
      </c>
      <c r="F238" t="s">
        <v>24</v>
      </c>
      <c r="G238">
        <v>0.50694444444444442</v>
      </c>
      <c r="H238">
        <v>0.50555555555555554</v>
      </c>
      <c r="I238">
        <v>-11</v>
      </c>
      <c r="J238" t="s">
        <v>18</v>
      </c>
      <c r="K238" t="s">
        <v>19</v>
      </c>
      <c r="L238">
        <v>965</v>
      </c>
      <c r="M238">
        <v>-2</v>
      </c>
      <c r="N238" t="s">
        <v>1672</v>
      </c>
      <c r="O238" t="s">
        <v>1668</v>
      </c>
      <c r="P238">
        <v>1</v>
      </c>
      <c r="Q238" t="s">
        <v>1663</v>
      </c>
    </row>
    <row r="239" spans="1:18" x14ac:dyDescent="0.35">
      <c r="A239" t="s">
        <v>515</v>
      </c>
      <c r="B239" s="19">
        <v>45977</v>
      </c>
      <c r="C239" t="s">
        <v>190</v>
      </c>
      <c r="D239" t="s">
        <v>79</v>
      </c>
      <c r="E239" t="s">
        <v>197</v>
      </c>
      <c r="F239" t="s">
        <v>24</v>
      </c>
      <c r="G239">
        <v>0.65625</v>
      </c>
      <c r="H239">
        <v>0.66249999999999998</v>
      </c>
      <c r="I239">
        <v>16</v>
      </c>
      <c r="J239" t="s">
        <v>18</v>
      </c>
      <c r="K239" t="s">
        <v>19</v>
      </c>
      <c r="L239">
        <v>759</v>
      </c>
      <c r="M239">
        <v>9</v>
      </c>
      <c r="N239" t="s">
        <v>1672</v>
      </c>
      <c r="O239" t="s">
        <v>1668</v>
      </c>
      <c r="P239">
        <v>0</v>
      </c>
      <c r="Q239" t="s">
        <v>1663</v>
      </c>
    </row>
    <row r="240" spans="1:18" x14ac:dyDescent="0.35">
      <c r="A240" t="s">
        <v>516</v>
      </c>
      <c r="B240" s="19">
        <v>45977</v>
      </c>
      <c r="C240" t="s">
        <v>517</v>
      </c>
      <c r="D240" t="s">
        <v>197</v>
      </c>
      <c r="E240" t="s">
        <v>71</v>
      </c>
      <c r="F240" t="s">
        <v>38</v>
      </c>
      <c r="G240">
        <v>0.71180555555555558</v>
      </c>
      <c r="H240">
        <v>0.7368055555555556</v>
      </c>
      <c r="I240">
        <v>34</v>
      </c>
      <c r="J240" t="s">
        <v>54</v>
      </c>
      <c r="K240" t="s">
        <v>19</v>
      </c>
      <c r="L240">
        <v>738</v>
      </c>
      <c r="M240">
        <v>36</v>
      </c>
      <c r="N240" t="s">
        <v>1672</v>
      </c>
      <c r="O240" t="s">
        <v>1668</v>
      </c>
      <c r="P240">
        <v>0</v>
      </c>
      <c r="Q240" t="s">
        <v>1665</v>
      </c>
      <c r="R240" t="s">
        <v>1657</v>
      </c>
    </row>
    <row r="241" spans="1:18" x14ac:dyDescent="0.35">
      <c r="A241" t="s">
        <v>518</v>
      </c>
      <c r="B241" s="19">
        <v>45977</v>
      </c>
      <c r="C241" t="s">
        <v>519</v>
      </c>
      <c r="D241" t="s">
        <v>546</v>
      </c>
      <c r="E241" t="s">
        <v>588</v>
      </c>
      <c r="F241" t="s">
        <v>38</v>
      </c>
      <c r="G241">
        <v>0.75694444444444442</v>
      </c>
      <c r="H241">
        <v>0.79583333333333328</v>
      </c>
      <c r="I241">
        <v>60</v>
      </c>
      <c r="J241" t="s">
        <v>54</v>
      </c>
      <c r="K241" t="s">
        <v>19</v>
      </c>
      <c r="L241">
        <v>1053</v>
      </c>
      <c r="M241">
        <v>56</v>
      </c>
      <c r="N241" t="s">
        <v>1672</v>
      </c>
      <c r="O241" t="s">
        <v>1668</v>
      </c>
      <c r="P241">
        <v>0</v>
      </c>
      <c r="Q241" t="s">
        <v>1665</v>
      </c>
      <c r="R241" t="s">
        <v>1657</v>
      </c>
    </row>
    <row r="242" spans="1:18" x14ac:dyDescent="0.35">
      <c r="A242" t="s">
        <v>520</v>
      </c>
      <c r="B242" s="19">
        <v>45978</v>
      </c>
      <c r="C242" t="s">
        <v>521</v>
      </c>
      <c r="D242" t="s">
        <v>71</v>
      </c>
      <c r="E242" t="s">
        <v>79</v>
      </c>
      <c r="F242" t="s">
        <v>38</v>
      </c>
      <c r="G242">
        <v>0.41319444444444442</v>
      </c>
      <c r="H242">
        <v>0.4152777777777778</v>
      </c>
      <c r="I242">
        <v>11</v>
      </c>
      <c r="J242" t="s">
        <v>18</v>
      </c>
      <c r="K242" t="s">
        <v>19</v>
      </c>
      <c r="L242">
        <v>606</v>
      </c>
      <c r="M242">
        <v>3</v>
      </c>
      <c r="N242" t="s">
        <v>1672</v>
      </c>
      <c r="O242" t="s">
        <v>1659</v>
      </c>
      <c r="P242">
        <v>1</v>
      </c>
      <c r="Q242" t="s">
        <v>1660</v>
      </c>
    </row>
    <row r="243" spans="1:18" x14ac:dyDescent="0.35">
      <c r="A243" t="s">
        <v>522</v>
      </c>
      <c r="B243" s="19">
        <v>45978</v>
      </c>
      <c r="C243" t="s">
        <v>46</v>
      </c>
      <c r="D243" t="s">
        <v>588</v>
      </c>
      <c r="E243" t="s">
        <v>226</v>
      </c>
      <c r="F243" t="s">
        <v>38</v>
      </c>
      <c r="G243">
        <v>0.51388888888888884</v>
      </c>
      <c r="H243">
        <v>0.52013888888888893</v>
      </c>
      <c r="I243">
        <v>0</v>
      </c>
      <c r="J243" t="s">
        <v>18</v>
      </c>
      <c r="K243" t="s">
        <v>19</v>
      </c>
      <c r="L243">
        <v>641</v>
      </c>
      <c r="M243">
        <v>9</v>
      </c>
      <c r="N243" t="s">
        <v>1672</v>
      </c>
      <c r="O243" t="s">
        <v>1659</v>
      </c>
      <c r="P243">
        <v>1</v>
      </c>
      <c r="Q243" t="s">
        <v>1663</v>
      </c>
    </row>
    <row r="244" spans="1:18" x14ac:dyDescent="0.35">
      <c r="A244" t="s">
        <v>523</v>
      </c>
      <c r="B244" s="19">
        <v>45978</v>
      </c>
      <c r="C244" t="s">
        <v>524</v>
      </c>
      <c r="D244" t="s">
        <v>202</v>
      </c>
      <c r="E244" t="s">
        <v>588</v>
      </c>
      <c r="F244" t="s">
        <v>17</v>
      </c>
      <c r="G244">
        <v>0.67708333333333337</v>
      </c>
      <c r="H244">
        <v>0.67986111111111114</v>
      </c>
      <c r="I244">
        <v>9</v>
      </c>
      <c r="J244" t="s">
        <v>18</v>
      </c>
      <c r="K244" t="s">
        <v>19</v>
      </c>
      <c r="L244">
        <v>1120</v>
      </c>
      <c r="M244">
        <v>4</v>
      </c>
      <c r="N244" t="s">
        <v>1672</v>
      </c>
      <c r="O244" t="s">
        <v>1659</v>
      </c>
      <c r="P244">
        <v>1</v>
      </c>
      <c r="Q244" t="s">
        <v>1663</v>
      </c>
    </row>
    <row r="245" spans="1:18" x14ac:dyDescent="0.35">
      <c r="A245" t="s">
        <v>525</v>
      </c>
      <c r="B245" s="19">
        <v>45978</v>
      </c>
      <c r="C245" t="s">
        <v>526</v>
      </c>
      <c r="D245" t="s">
        <v>202</v>
      </c>
      <c r="E245" t="s">
        <v>79</v>
      </c>
      <c r="F245" t="s">
        <v>24</v>
      </c>
      <c r="G245">
        <v>0.73263888888888884</v>
      </c>
      <c r="H245">
        <v>0.73541666666666672</v>
      </c>
      <c r="I245">
        <v>-4</v>
      </c>
      <c r="J245" t="s">
        <v>18</v>
      </c>
      <c r="K245" t="s">
        <v>19</v>
      </c>
      <c r="L245">
        <v>596</v>
      </c>
      <c r="M245">
        <v>4</v>
      </c>
      <c r="N245" t="s">
        <v>1672</v>
      </c>
      <c r="O245" t="s">
        <v>1659</v>
      </c>
      <c r="P245">
        <v>1</v>
      </c>
      <c r="Q245" t="s">
        <v>1665</v>
      </c>
    </row>
    <row r="246" spans="1:18" x14ac:dyDescent="0.35">
      <c r="A246" t="s">
        <v>527</v>
      </c>
      <c r="B246" s="19">
        <v>45978</v>
      </c>
      <c r="C246" t="s">
        <v>528</v>
      </c>
      <c r="D246" t="s">
        <v>71</v>
      </c>
      <c r="E246" t="s">
        <v>588</v>
      </c>
      <c r="F246" t="s">
        <v>17</v>
      </c>
      <c r="G246">
        <v>0.80555555555555558</v>
      </c>
      <c r="H246">
        <v>0.80763888888888891</v>
      </c>
      <c r="I246">
        <v>5</v>
      </c>
      <c r="J246" t="s">
        <v>18</v>
      </c>
      <c r="K246" t="s">
        <v>19</v>
      </c>
      <c r="L246">
        <v>802</v>
      </c>
      <c r="M246">
        <v>3</v>
      </c>
      <c r="N246" t="s">
        <v>1672</v>
      </c>
      <c r="O246" t="s">
        <v>1659</v>
      </c>
      <c r="P246">
        <v>1</v>
      </c>
      <c r="Q246" t="s">
        <v>1665</v>
      </c>
    </row>
    <row r="247" spans="1:18" x14ac:dyDescent="0.35">
      <c r="A247" t="s">
        <v>529</v>
      </c>
      <c r="B247" s="19">
        <v>45979</v>
      </c>
      <c r="C247" t="s">
        <v>530</v>
      </c>
      <c r="D247" t="s">
        <v>79</v>
      </c>
      <c r="E247" t="s">
        <v>1549</v>
      </c>
      <c r="F247" t="s">
        <v>24</v>
      </c>
      <c r="G247">
        <v>0.3263888888888889</v>
      </c>
      <c r="H247">
        <v>0.32708333333333328</v>
      </c>
      <c r="I247">
        <v>4</v>
      </c>
      <c r="J247" t="s">
        <v>18</v>
      </c>
      <c r="K247" t="s">
        <v>19</v>
      </c>
      <c r="L247">
        <v>945</v>
      </c>
      <c r="M247">
        <v>1</v>
      </c>
      <c r="N247" t="s">
        <v>1672</v>
      </c>
      <c r="O247" t="s">
        <v>1661</v>
      </c>
      <c r="P247">
        <v>1</v>
      </c>
      <c r="Q247" t="s">
        <v>1660</v>
      </c>
    </row>
    <row r="248" spans="1:18" x14ac:dyDescent="0.35">
      <c r="A248" t="s">
        <v>531</v>
      </c>
      <c r="B248" s="19">
        <v>45979</v>
      </c>
      <c r="C248" t="s">
        <v>532</v>
      </c>
      <c r="D248" t="s">
        <v>588</v>
      </c>
      <c r="E248" t="s">
        <v>226</v>
      </c>
      <c r="F248" t="s">
        <v>17</v>
      </c>
      <c r="G248">
        <v>0.69097222222222221</v>
      </c>
      <c r="H248">
        <v>0.71875</v>
      </c>
      <c r="I248">
        <v>32</v>
      </c>
      <c r="J248" t="s">
        <v>60</v>
      </c>
      <c r="K248" t="s">
        <v>19</v>
      </c>
      <c r="L248">
        <v>641</v>
      </c>
      <c r="M248">
        <v>40</v>
      </c>
      <c r="N248" t="s">
        <v>1672</v>
      </c>
      <c r="O248" t="s">
        <v>1661</v>
      </c>
      <c r="P248">
        <v>0</v>
      </c>
      <c r="Q248" t="s">
        <v>1663</v>
      </c>
      <c r="R248" t="s">
        <v>1657</v>
      </c>
    </row>
    <row r="249" spans="1:18" x14ac:dyDescent="0.35">
      <c r="A249" t="s">
        <v>533</v>
      </c>
      <c r="B249" s="19">
        <v>45979</v>
      </c>
      <c r="C249" t="s">
        <v>26</v>
      </c>
      <c r="D249" t="s">
        <v>226</v>
      </c>
      <c r="E249" t="s">
        <v>197</v>
      </c>
      <c r="F249" t="s">
        <v>28</v>
      </c>
      <c r="G249">
        <v>0.78125</v>
      </c>
      <c r="H249">
        <v>0.77777777777777779</v>
      </c>
      <c r="I249">
        <v>4</v>
      </c>
      <c r="J249" t="s">
        <v>18</v>
      </c>
      <c r="K249" t="s">
        <v>19</v>
      </c>
      <c r="L249">
        <v>1622</v>
      </c>
      <c r="M249">
        <v>-5</v>
      </c>
      <c r="N249" t="s">
        <v>1672</v>
      </c>
      <c r="O249" t="s">
        <v>1661</v>
      </c>
      <c r="P249">
        <v>1</v>
      </c>
      <c r="Q249" t="s">
        <v>1665</v>
      </c>
    </row>
    <row r="250" spans="1:18" x14ac:dyDescent="0.35">
      <c r="A250" t="s">
        <v>534</v>
      </c>
      <c r="B250" s="19">
        <v>45980</v>
      </c>
      <c r="C250" t="s">
        <v>535</v>
      </c>
      <c r="D250" t="s">
        <v>1171</v>
      </c>
      <c r="E250" t="s">
        <v>226</v>
      </c>
      <c r="F250" t="s">
        <v>24</v>
      </c>
      <c r="G250">
        <v>0.34375</v>
      </c>
      <c r="H250">
        <v>0.34236111111111112</v>
      </c>
      <c r="I250">
        <v>-13</v>
      </c>
      <c r="J250" t="s">
        <v>18</v>
      </c>
      <c r="K250" t="s">
        <v>19</v>
      </c>
      <c r="L250">
        <v>602</v>
      </c>
      <c r="M250">
        <v>-2</v>
      </c>
      <c r="N250" t="s">
        <v>1672</v>
      </c>
      <c r="O250" t="s">
        <v>1662</v>
      </c>
      <c r="P250">
        <v>1</v>
      </c>
      <c r="Q250" t="s">
        <v>1660</v>
      </c>
    </row>
    <row r="251" spans="1:18" x14ac:dyDescent="0.35">
      <c r="A251" t="s">
        <v>536</v>
      </c>
      <c r="B251" s="19">
        <v>45980</v>
      </c>
      <c r="C251" t="s">
        <v>532</v>
      </c>
      <c r="D251" t="s">
        <v>79</v>
      </c>
      <c r="E251" t="s">
        <v>202</v>
      </c>
      <c r="F251" t="s">
        <v>24</v>
      </c>
      <c r="G251">
        <v>0.39583333333333331</v>
      </c>
      <c r="H251">
        <v>0.42291666666666672</v>
      </c>
      <c r="I251">
        <v>42</v>
      </c>
      <c r="J251" t="s">
        <v>477</v>
      </c>
      <c r="K251" t="s">
        <v>19</v>
      </c>
      <c r="L251">
        <v>596</v>
      </c>
      <c r="M251">
        <v>39</v>
      </c>
      <c r="N251" t="s">
        <v>1672</v>
      </c>
      <c r="O251" t="s">
        <v>1662</v>
      </c>
      <c r="P251">
        <v>0</v>
      </c>
      <c r="Q251" t="s">
        <v>1660</v>
      </c>
      <c r="R251" t="s">
        <v>1670</v>
      </c>
    </row>
    <row r="252" spans="1:18" x14ac:dyDescent="0.35">
      <c r="A252" t="s">
        <v>537</v>
      </c>
      <c r="B252" s="19">
        <v>45980</v>
      </c>
      <c r="C252" t="s">
        <v>363</v>
      </c>
      <c r="D252" t="s">
        <v>413</v>
      </c>
      <c r="E252" t="s">
        <v>588</v>
      </c>
      <c r="F252" t="s">
        <v>28</v>
      </c>
      <c r="G252">
        <v>0.4861111111111111</v>
      </c>
      <c r="H252">
        <v>0.48472222222222222</v>
      </c>
      <c r="I252">
        <v>-1</v>
      </c>
      <c r="J252" t="s">
        <v>18</v>
      </c>
      <c r="K252" t="s">
        <v>19</v>
      </c>
      <c r="L252">
        <v>1232</v>
      </c>
      <c r="M252">
        <v>-2</v>
      </c>
      <c r="N252" t="s">
        <v>1672</v>
      </c>
      <c r="O252" t="s">
        <v>1662</v>
      </c>
      <c r="P252">
        <v>1</v>
      </c>
      <c r="Q252" t="s">
        <v>1660</v>
      </c>
    </row>
    <row r="253" spans="1:18" x14ac:dyDescent="0.35">
      <c r="A253" t="s">
        <v>538</v>
      </c>
      <c r="B253" s="19">
        <v>45980</v>
      </c>
      <c r="C253" t="s">
        <v>539</v>
      </c>
      <c r="D253" t="s">
        <v>79</v>
      </c>
      <c r="E253" t="s">
        <v>1549</v>
      </c>
      <c r="F253" t="s">
        <v>28</v>
      </c>
      <c r="G253">
        <v>0.74652777777777779</v>
      </c>
      <c r="H253">
        <v>0.75208333333333333</v>
      </c>
      <c r="I253">
        <v>16</v>
      </c>
      <c r="J253" t="s">
        <v>18</v>
      </c>
      <c r="K253" t="s">
        <v>19</v>
      </c>
      <c r="L253">
        <v>945</v>
      </c>
      <c r="M253">
        <v>8</v>
      </c>
      <c r="N253" t="s">
        <v>1672</v>
      </c>
      <c r="O253" t="s">
        <v>1662</v>
      </c>
      <c r="P253">
        <v>0</v>
      </c>
      <c r="Q253" t="s">
        <v>1665</v>
      </c>
    </row>
    <row r="254" spans="1:18" x14ac:dyDescent="0.35">
      <c r="A254" t="s">
        <v>540</v>
      </c>
      <c r="B254" s="19">
        <v>45980</v>
      </c>
      <c r="C254" t="s">
        <v>541</v>
      </c>
      <c r="D254" t="s">
        <v>588</v>
      </c>
      <c r="E254" t="s">
        <v>197</v>
      </c>
      <c r="F254" t="s">
        <v>24</v>
      </c>
      <c r="G254">
        <v>0.78125</v>
      </c>
      <c r="H254">
        <v>0.79236111111111107</v>
      </c>
      <c r="I254">
        <v>11</v>
      </c>
      <c r="J254" t="s">
        <v>129</v>
      </c>
      <c r="K254" t="s">
        <v>19</v>
      </c>
      <c r="L254">
        <v>1389</v>
      </c>
      <c r="M254">
        <v>16</v>
      </c>
      <c r="N254" t="s">
        <v>1672</v>
      </c>
      <c r="O254" t="s">
        <v>1662</v>
      </c>
      <c r="P254">
        <v>1</v>
      </c>
      <c r="Q254" t="s">
        <v>1665</v>
      </c>
      <c r="R254" t="s">
        <v>1670</v>
      </c>
    </row>
    <row r="255" spans="1:18" x14ac:dyDescent="0.35">
      <c r="A255" t="s">
        <v>542</v>
      </c>
      <c r="B255" s="19">
        <v>45981</v>
      </c>
      <c r="C255" t="s">
        <v>543</v>
      </c>
      <c r="D255" t="s">
        <v>197</v>
      </c>
      <c r="E255" t="s">
        <v>1295</v>
      </c>
      <c r="F255" t="s">
        <v>24</v>
      </c>
      <c r="G255">
        <v>0.33333333333333331</v>
      </c>
      <c r="H255">
        <v>0.36666666666666659</v>
      </c>
      <c r="I255">
        <v>37</v>
      </c>
      <c r="J255" t="s">
        <v>129</v>
      </c>
      <c r="K255" t="s">
        <v>19</v>
      </c>
      <c r="L255">
        <v>2580</v>
      </c>
      <c r="M255">
        <v>48</v>
      </c>
      <c r="N255" t="s">
        <v>1672</v>
      </c>
      <c r="O255" t="s">
        <v>1664</v>
      </c>
      <c r="P255">
        <v>0</v>
      </c>
      <c r="Q255" t="s">
        <v>1660</v>
      </c>
      <c r="R255" t="s">
        <v>1670</v>
      </c>
    </row>
    <row r="256" spans="1:18" x14ac:dyDescent="0.35">
      <c r="A256" t="s">
        <v>544</v>
      </c>
      <c r="B256" s="19">
        <v>45981</v>
      </c>
      <c r="C256" t="s">
        <v>307</v>
      </c>
      <c r="D256" t="s">
        <v>84</v>
      </c>
      <c r="E256" t="s">
        <v>71</v>
      </c>
      <c r="F256" t="s">
        <v>17</v>
      </c>
      <c r="G256">
        <v>0.36805555555555558</v>
      </c>
      <c r="H256">
        <v>0.39861111111111108</v>
      </c>
      <c r="I256">
        <v>38</v>
      </c>
      <c r="J256" t="s">
        <v>319</v>
      </c>
      <c r="K256" t="s">
        <v>19</v>
      </c>
      <c r="L256">
        <v>1717</v>
      </c>
      <c r="M256">
        <v>44</v>
      </c>
      <c r="N256" t="s">
        <v>1672</v>
      </c>
      <c r="O256" t="s">
        <v>1664</v>
      </c>
      <c r="P256">
        <v>0</v>
      </c>
      <c r="Q256" t="s">
        <v>1660</v>
      </c>
      <c r="R256" t="s">
        <v>1670</v>
      </c>
    </row>
    <row r="257" spans="1:18" x14ac:dyDescent="0.35">
      <c r="A257" t="s">
        <v>545</v>
      </c>
      <c r="B257" s="19">
        <v>45981</v>
      </c>
      <c r="C257" t="s">
        <v>70</v>
      </c>
      <c r="D257" t="s">
        <v>1549</v>
      </c>
      <c r="E257" t="s">
        <v>546</v>
      </c>
      <c r="F257" t="s">
        <v>17</v>
      </c>
      <c r="G257">
        <v>0.6875</v>
      </c>
      <c r="H257">
        <v>0.68194444444444446</v>
      </c>
      <c r="I257">
        <v>-18</v>
      </c>
      <c r="J257" t="s">
        <v>18</v>
      </c>
      <c r="K257" t="s">
        <v>19</v>
      </c>
      <c r="L257">
        <v>2375</v>
      </c>
      <c r="M257">
        <v>-8</v>
      </c>
      <c r="N257" t="s">
        <v>1672</v>
      </c>
      <c r="O257" t="s">
        <v>1664</v>
      </c>
      <c r="P257">
        <v>1</v>
      </c>
      <c r="Q257" t="s">
        <v>1663</v>
      </c>
    </row>
    <row r="258" spans="1:18" x14ac:dyDescent="0.35">
      <c r="A258" t="s">
        <v>547</v>
      </c>
      <c r="B258" s="19">
        <v>45981</v>
      </c>
      <c r="C258" t="s">
        <v>548</v>
      </c>
      <c r="D258" t="s">
        <v>588</v>
      </c>
      <c r="E258" t="s">
        <v>413</v>
      </c>
      <c r="F258" t="s">
        <v>38</v>
      </c>
      <c r="G258">
        <v>0.90277777777777779</v>
      </c>
      <c r="H258">
        <v>0.90763888888888888</v>
      </c>
      <c r="I258">
        <v>11</v>
      </c>
      <c r="J258" t="s">
        <v>18</v>
      </c>
      <c r="K258" t="s">
        <v>19</v>
      </c>
      <c r="L258">
        <v>1232</v>
      </c>
      <c r="M258">
        <v>7</v>
      </c>
      <c r="N258" t="s">
        <v>1672</v>
      </c>
      <c r="O258" t="s">
        <v>1664</v>
      </c>
      <c r="P258">
        <v>1</v>
      </c>
      <c r="Q258" t="s">
        <v>1669</v>
      </c>
    </row>
    <row r="259" spans="1:18" x14ac:dyDescent="0.35">
      <c r="A259" t="s">
        <v>549</v>
      </c>
      <c r="B259" s="19">
        <v>45982</v>
      </c>
      <c r="C259" t="s">
        <v>56</v>
      </c>
      <c r="D259" t="s">
        <v>197</v>
      </c>
      <c r="E259" t="s">
        <v>71</v>
      </c>
      <c r="F259" t="s">
        <v>17</v>
      </c>
      <c r="G259">
        <v>0.40972222222222221</v>
      </c>
      <c r="H259">
        <v>0.40902777777777782</v>
      </c>
      <c r="I259">
        <v>3</v>
      </c>
      <c r="J259" t="s">
        <v>18</v>
      </c>
      <c r="K259" t="s">
        <v>19</v>
      </c>
      <c r="L259">
        <v>738</v>
      </c>
      <c r="M259">
        <v>-1</v>
      </c>
      <c r="N259" t="s">
        <v>1672</v>
      </c>
      <c r="O259" t="s">
        <v>1666</v>
      </c>
      <c r="P259">
        <v>1</v>
      </c>
      <c r="Q259" t="s">
        <v>1660</v>
      </c>
    </row>
    <row r="260" spans="1:18" x14ac:dyDescent="0.35">
      <c r="A260" t="s">
        <v>550</v>
      </c>
      <c r="B260" s="19">
        <v>45982</v>
      </c>
      <c r="C260" t="s">
        <v>286</v>
      </c>
      <c r="D260" t="s">
        <v>79</v>
      </c>
      <c r="E260" t="s">
        <v>588</v>
      </c>
      <c r="F260" t="s">
        <v>24</v>
      </c>
      <c r="G260">
        <v>0.73263888888888884</v>
      </c>
      <c r="H260">
        <v>0.73124999999999996</v>
      </c>
      <c r="I260">
        <v>-5</v>
      </c>
      <c r="J260" t="s">
        <v>18</v>
      </c>
      <c r="K260" t="s">
        <v>19</v>
      </c>
      <c r="L260">
        <v>730</v>
      </c>
      <c r="M260">
        <v>-2</v>
      </c>
      <c r="N260" t="s">
        <v>1672</v>
      </c>
      <c r="O260" t="s">
        <v>1666</v>
      </c>
      <c r="P260">
        <v>1</v>
      </c>
      <c r="Q260" t="s">
        <v>1665</v>
      </c>
    </row>
    <row r="261" spans="1:18" x14ac:dyDescent="0.35">
      <c r="A261" t="s">
        <v>551</v>
      </c>
      <c r="B261" s="19">
        <v>45983</v>
      </c>
      <c r="C261" t="s">
        <v>552</v>
      </c>
      <c r="D261" t="s">
        <v>1549</v>
      </c>
      <c r="E261" t="s">
        <v>226</v>
      </c>
      <c r="F261" t="s">
        <v>24</v>
      </c>
      <c r="G261">
        <v>0.46875</v>
      </c>
      <c r="H261">
        <v>0.47152777777777782</v>
      </c>
      <c r="I261">
        <v>-1</v>
      </c>
      <c r="J261" t="s">
        <v>18</v>
      </c>
      <c r="K261" t="s">
        <v>19</v>
      </c>
      <c r="L261">
        <v>1749</v>
      </c>
      <c r="M261">
        <v>4</v>
      </c>
      <c r="N261" t="s">
        <v>1672</v>
      </c>
      <c r="O261" t="s">
        <v>1667</v>
      </c>
      <c r="P261">
        <v>1</v>
      </c>
      <c r="Q261" t="s">
        <v>1660</v>
      </c>
    </row>
    <row r="262" spans="1:18" x14ac:dyDescent="0.35">
      <c r="A262" t="s">
        <v>553</v>
      </c>
      <c r="B262" s="19">
        <v>45983</v>
      </c>
      <c r="C262" t="s">
        <v>554</v>
      </c>
      <c r="D262" t="s">
        <v>79</v>
      </c>
      <c r="E262" t="s">
        <v>71</v>
      </c>
      <c r="F262" t="s">
        <v>24</v>
      </c>
      <c r="G262">
        <v>0.72916666666666663</v>
      </c>
      <c r="H262">
        <v>0.7270833333333333</v>
      </c>
      <c r="I262">
        <v>-9</v>
      </c>
      <c r="J262" t="s">
        <v>18</v>
      </c>
      <c r="K262" t="s">
        <v>19</v>
      </c>
      <c r="L262">
        <v>606</v>
      </c>
      <c r="M262">
        <v>-3</v>
      </c>
      <c r="N262" t="s">
        <v>1672</v>
      </c>
      <c r="O262" t="s">
        <v>1667</v>
      </c>
      <c r="P262">
        <v>1</v>
      </c>
      <c r="Q262" t="s">
        <v>1665</v>
      </c>
    </row>
    <row r="263" spans="1:18" x14ac:dyDescent="0.35">
      <c r="A263" t="s">
        <v>556</v>
      </c>
      <c r="B263" s="19">
        <v>45984</v>
      </c>
      <c r="C263" t="s">
        <v>557</v>
      </c>
      <c r="D263" t="s">
        <v>546</v>
      </c>
      <c r="E263" t="s">
        <v>197</v>
      </c>
      <c r="F263" t="s">
        <v>24</v>
      </c>
      <c r="G263">
        <v>0.84375</v>
      </c>
      <c r="H263">
        <v>0.84236111111111112</v>
      </c>
      <c r="I263">
        <v>-7</v>
      </c>
      <c r="J263" t="s">
        <v>18</v>
      </c>
      <c r="K263" t="s">
        <v>19</v>
      </c>
      <c r="L263">
        <v>2243</v>
      </c>
      <c r="M263">
        <v>-2</v>
      </c>
      <c r="N263" t="s">
        <v>1672</v>
      </c>
      <c r="O263" t="s">
        <v>1668</v>
      </c>
      <c r="P263">
        <v>1</v>
      </c>
      <c r="Q263" t="s">
        <v>1665</v>
      </c>
    </row>
    <row r="264" spans="1:18" x14ac:dyDescent="0.35">
      <c r="A264" t="s">
        <v>558</v>
      </c>
      <c r="B264" s="19">
        <v>45985</v>
      </c>
      <c r="C264" t="s">
        <v>559</v>
      </c>
      <c r="D264" t="s">
        <v>226</v>
      </c>
      <c r="E264" t="s">
        <v>588</v>
      </c>
      <c r="F264" t="s">
        <v>24</v>
      </c>
      <c r="G264">
        <v>0.64236111111111116</v>
      </c>
      <c r="H264">
        <v>0.64027777777777772</v>
      </c>
      <c r="I264">
        <v>5</v>
      </c>
      <c r="J264" t="s">
        <v>18</v>
      </c>
      <c r="K264" t="s">
        <v>19</v>
      </c>
      <c r="L264">
        <v>641</v>
      </c>
      <c r="M264">
        <v>-3</v>
      </c>
      <c r="N264" t="s">
        <v>1672</v>
      </c>
      <c r="O264" t="s">
        <v>1659</v>
      </c>
      <c r="P264">
        <v>1</v>
      </c>
      <c r="Q264" t="s">
        <v>1663</v>
      </c>
    </row>
    <row r="265" spans="1:18" x14ac:dyDescent="0.35">
      <c r="A265" t="s">
        <v>560</v>
      </c>
      <c r="B265" s="19">
        <v>45985</v>
      </c>
      <c r="C265" t="s">
        <v>506</v>
      </c>
      <c r="D265" t="s">
        <v>71</v>
      </c>
      <c r="E265" t="s">
        <v>79</v>
      </c>
      <c r="F265" t="s">
        <v>24</v>
      </c>
      <c r="G265">
        <v>0.70138888888888884</v>
      </c>
      <c r="H265">
        <v>0.70763888888888893</v>
      </c>
      <c r="I265">
        <v>12</v>
      </c>
      <c r="J265" t="s">
        <v>18</v>
      </c>
      <c r="K265" t="s">
        <v>19</v>
      </c>
      <c r="L265">
        <v>606</v>
      </c>
      <c r="M265">
        <v>9</v>
      </c>
      <c r="N265" t="s">
        <v>1672</v>
      </c>
      <c r="O265" t="s">
        <v>1659</v>
      </c>
      <c r="P265">
        <v>1</v>
      </c>
      <c r="Q265" t="s">
        <v>1663</v>
      </c>
    </row>
    <row r="266" spans="1:18" x14ac:dyDescent="0.35">
      <c r="A266" t="s">
        <v>561</v>
      </c>
      <c r="B266" s="19">
        <v>45986</v>
      </c>
      <c r="C266" t="s">
        <v>562</v>
      </c>
      <c r="D266" t="s">
        <v>202</v>
      </c>
      <c r="E266" t="s">
        <v>1549</v>
      </c>
      <c r="F266" t="s">
        <v>17</v>
      </c>
      <c r="G266">
        <v>0.25</v>
      </c>
      <c r="H266">
        <v>0.25347222222222221</v>
      </c>
      <c r="I266">
        <v>3</v>
      </c>
      <c r="J266" t="s">
        <v>18</v>
      </c>
      <c r="K266" t="s">
        <v>19</v>
      </c>
      <c r="L266">
        <v>1260</v>
      </c>
      <c r="M266">
        <v>5</v>
      </c>
      <c r="N266" t="s">
        <v>1672</v>
      </c>
      <c r="O266" t="s">
        <v>1661</v>
      </c>
      <c r="P266">
        <v>1</v>
      </c>
      <c r="Q266" t="s">
        <v>1660</v>
      </c>
    </row>
    <row r="267" spans="1:18" x14ac:dyDescent="0.35">
      <c r="A267" t="s">
        <v>563</v>
      </c>
      <c r="B267" s="19">
        <v>45986</v>
      </c>
      <c r="C267" t="s">
        <v>167</v>
      </c>
      <c r="D267" t="s">
        <v>79</v>
      </c>
      <c r="E267" t="s">
        <v>588</v>
      </c>
      <c r="F267" t="s">
        <v>17</v>
      </c>
      <c r="G267">
        <v>0.28819444444444442</v>
      </c>
      <c r="H267">
        <v>0.29375000000000001</v>
      </c>
      <c r="I267">
        <v>18</v>
      </c>
      <c r="J267" t="s">
        <v>18</v>
      </c>
      <c r="K267" t="s">
        <v>19</v>
      </c>
      <c r="L267">
        <v>730</v>
      </c>
      <c r="M267">
        <v>8</v>
      </c>
      <c r="N267" t="s">
        <v>1672</v>
      </c>
      <c r="O267" t="s">
        <v>1661</v>
      </c>
      <c r="P267">
        <v>0</v>
      </c>
      <c r="Q267" t="s">
        <v>1660</v>
      </c>
    </row>
    <row r="268" spans="1:18" x14ac:dyDescent="0.35">
      <c r="A268" t="s">
        <v>564</v>
      </c>
      <c r="B268" s="19">
        <v>45986</v>
      </c>
      <c r="C268" t="s">
        <v>565</v>
      </c>
      <c r="D268" t="s">
        <v>1295</v>
      </c>
      <c r="E268" t="s">
        <v>71</v>
      </c>
      <c r="F268" t="s">
        <v>17</v>
      </c>
      <c r="G268">
        <v>0.37847222222222221</v>
      </c>
      <c r="H268">
        <v>0.38263888888888892</v>
      </c>
      <c r="I268">
        <v>9</v>
      </c>
      <c r="J268" t="s">
        <v>18</v>
      </c>
      <c r="K268" t="s">
        <v>19</v>
      </c>
      <c r="L268">
        <v>1842</v>
      </c>
      <c r="M268">
        <v>6</v>
      </c>
      <c r="N268" t="s">
        <v>1672</v>
      </c>
      <c r="O268" t="s">
        <v>1661</v>
      </c>
      <c r="P268">
        <v>1</v>
      </c>
      <c r="Q268" t="s">
        <v>1660</v>
      </c>
    </row>
    <row r="269" spans="1:18" x14ac:dyDescent="0.35">
      <c r="A269" t="s">
        <v>566</v>
      </c>
      <c r="B269" s="19">
        <v>45986</v>
      </c>
      <c r="C269" t="s">
        <v>567</v>
      </c>
      <c r="D269" t="s">
        <v>197</v>
      </c>
      <c r="E269" t="s">
        <v>84</v>
      </c>
      <c r="F269" t="s">
        <v>28</v>
      </c>
      <c r="G269">
        <v>0.4861111111111111</v>
      </c>
      <c r="H269">
        <v>0.48819444444444438</v>
      </c>
      <c r="I269">
        <v>-1</v>
      </c>
      <c r="J269" t="s">
        <v>18</v>
      </c>
      <c r="K269" t="s">
        <v>19</v>
      </c>
      <c r="L269">
        <v>2415</v>
      </c>
      <c r="M269">
        <v>3</v>
      </c>
      <c r="N269" t="s">
        <v>1672</v>
      </c>
      <c r="O269" t="s">
        <v>1661</v>
      </c>
      <c r="P269">
        <v>1</v>
      </c>
      <c r="Q269" t="s">
        <v>1660</v>
      </c>
    </row>
    <row r="270" spans="1:18" x14ac:dyDescent="0.35">
      <c r="A270" t="s">
        <v>568</v>
      </c>
      <c r="B270" s="19">
        <v>45987</v>
      </c>
      <c r="C270" t="s">
        <v>334</v>
      </c>
      <c r="D270" t="s">
        <v>79</v>
      </c>
      <c r="E270" t="s">
        <v>588</v>
      </c>
      <c r="F270" t="s">
        <v>38</v>
      </c>
      <c r="G270">
        <v>0.25347222222222221</v>
      </c>
      <c r="H270">
        <v>0.2479166666666667</v>
      </c>
      <c r="I270">
        <v>-13</v>
      </c>
      <c r="J270" t="s">
        <v>18</v>
      </c>
      <c r="K270" t="s">
        <v>19</v>
      </c>
      <c r="L270">
        <v>730</v>
      </c>
      <c r="M270">
        <v>-8</v>
      </c>
      <c r="N270" t="s">
        <v>1672</v>
      </c>
      <c r="O270" t="s">
        <v>1662</v>
      </c>
      <c r="P270">
        <v>1</v>
      </c>
      <c r="Q270" t="s">
        <v>1660</v>
      </c>
    </row>
    <row r="271" spans="1:18" x14ac:dyDescent="0.35">
      <c r="A271" t="s">
        <v>569</v>
      </c>
      <c r="B271" s="19">
        <v>45987</v>
      </c>
      <c r="C271" t="s">
        <v>570</v>
      </c>
      <c r="D271" t="s">
        <v>79</v>
      </c>
      <c r="E271" t="s">
        <v>413</v>
      </c>
      <c r="F271" t="s">
        <v>38</v>
      </c>
      <c r="G271">
        <v>0.54166666666666663</v>
      </c>
      <c r="H271">
        <v>0.55902777777777779</v>
      </c>
      <c r="I271">
        <v>23</v>
      </c>
      <c r="J271" t="s">
        <v>54</v>
      </c>
      <c r="K271" t="s">
        <v>19</v>
      </c>
      <c r="L271">
        <v>1942</v>
      </c>
      <c r="M271">
        <v>25</v>
      </c>
      <c r="N271" t="s">
        <v>1672</v>
      </c>
      <c r="O271" t="s">
        <v>1662</v>
      </c>
      <c r="P271">
        <v>0</v>
      </c>
      <c r="Q271" t="s">
        <v>1663</v>
      </c>
      <c r="R271" t="s">
        <v>1657</v>
      </c>
    </row>
    <row r="272" spans="1:18" x14ac:dyDescent="0.35">
      <c r="A272" t="s">
        <v>571</v>
      </c>
      <c r="B272" s="19">
        <v>45988</v>
      </c>
      <c r="C272" t="s">
        <v>186</v>
      </c>
      <c r="D272" t="s">
        <v>226</v>
      </c>
      <c r="E272" t="s">
        <v>197</v>
      </c>
      <c r="F272" t="s">
        <v>28</v>
      </c>
      <c r="G272">
        <v>0.54861111111111116</v>
      </c>
      <c r="H272">
        <v>0.5541666666666667</v>
      </c>
      <c r="I272">
        <v>15</v>
      </c>
      <c r="J272" t="s">
        <v>18</v>
      </c>
      <c r="K272" t="s">
        <v>19</v>
      </c>
      <c r="L272">
        <v>1622</v>
      </c>
      <c r="M272">
        <v>8</v>
      </c>
      <c r="N272" t="s">
        <v>1672</v>
      </c>
      <c r="O272" t="s">
        <v>1664</v>
      </c>
      <c r="P272">
        <v>1</v>
      </c>
      <c r="Q272" t="s">
        <v>1663</v>
      </c>
    </row>
    <row r="273" spans="1:18" x14ac:dyDescent="0.35">
      <c r="A273" t="s">
        <v>572</v>
      </c>
      <c r="B273" s="19">
        <v>45988</v>
      </c>
      <c r="C273" t="s">
        <v>573</v>
      </c>
      <c r="D273" t="s">
        <v>79</v>
      </c>
      <c r="E273" t="s">
        <v>197</v>
      </c>
      <c r="F273" t="s">
        <v>17</v>
      </c>
      <c r="G273">
        <v>0.5625</v>
      </c>
      <c r="H273">
        <v>0.56944444444444442</v>
      </c>
      <c r="I273">
        <v>19</v>
      </c>
      <c r="J273" t="s">
        <v>18</v>
      </c>
      <c r="K273" t="s">
        <v>19</v>
      </c>
      <c r="L273">
        <v>759</v>
      </c>
      <c r="M273">
        <v>10</v>
      </c>
      <c r="N273" t="s">
        <v>1672</v>
      </c>
      <c r="O273" t="s">
        <v>1664</v>
      </c>
      <c r="P273">
        <v>0</v>
      </c>
      <c r="Q273" t="s">
        <v>1663</v>
      </c>
    </row>
    <row r="274" spans="1:18" x14ac:dyDescent="0.35">
      <c r="A274" t="s">
        <v>574</v>
      </c>
      <c r="B274" s="19">
        <v>45989</v>
      </c>
      <c r="C274" t="s">
        <v>575</v>
      </c>
      <c r="D274" t="s">
        <v>197</v>
      </c>
      <c r="E274" t="s">
        <v>588</v>
      </c>
      <c r="F274" t="s">
        <v>38</v>
      </c>
      <c r="G274">
        <v>0.33333333333333331</v>
      </c>
      <c r="H274">
        <v>0.33124999999999999</v>
      </c>
      <c r="I274">
        <v>-12</v>
      </c>
      <c r="J274" t="s">
        <v>18</v>
      </c>
      <c r="K274" t="s">
        <v>19</v>
      </c>
      <c r="L274">
        <v>1389</v>
      </c>
      <c r="M274">
        <v>-3</v>
      </c>
      <c r="N274" t="s">
        <v>1672</v>
      </c>
      <c r="O274" t="s">
        <v>1666</v>
      </c>
      <c r="P274">
        <v>1</v>
      </c>
      <c r="Q274" t="s">
        <v>1660</v>
      </c>
    </row>
    <row r="275" spans="1:18" x14ac:dyDescent="0.35">
      <c r="A275" t="s">
        <v>576</v>
      </c>
      <c r="B275" s="19">
        <v>45989</v>
      </c>
      <c r="C275" t="s">
        <v>577</v>
      </c>
      <c r="D275" t="s">
        <v>588</v>
      </c>
      <c r="E275" t="s">
        <v>71</v>
      </c>
      <c r="F275" t="s">
        <v>28</v>
      </c>
      <c r="G275">
        <v>0.70833333333333337</v>
      </c>
      <c r="H275">
        <v>0.71527777777777779</v>
      </c>
      <c r="I275">
        <v>3</v>
      </c>
      <c r="J275" t="s">
        <v>18</v>
      </c>
      <c r="K275" t="s">
        <v>19</v>
      </c>
      <c r="L275">
        <v>802</v>
      </c>
      <c r="M275">
        <v>10</v>
      </c>
      <c r="N275" t="s">
        <v>1672</v>
      </c>
      <c r="O275" t="s">
        <v>1666</v>
      </c>
      <c r="P275">
        <v>1</v>
      </c>
      <c r="Q275" t="s">
        <v>1665</v>
      </c>
    </row>
    <row r="276" spans="1:18" x14ac:dyDescent="0.35">
      <c r="A276" t="s">
        <v>578</v>
      </c>
      <c r="B276" s="19">
        <v>45990</v>
      </c>
      <c r="C276" t="s">
        <v>579</v>
      </c>
      <c r="D276" t="s">
        <v>79</v>
      </c>
      <c r="E276" t="s">
        <v>1549</v>
      </c>
      <c r="F276" t="s">
        <v>28</v>
      </c>
      <c r="G276">
        <v>0.31944444444444442</v>
      </c>
      <c r="H276">
        <v>0.31527777777777782</v>
      </c>
      <c r="I276">
        <v>3</v>
      </c>
      <c r="J276" t="s">
        <v>18</v>
      </c>
      <c r="K276" t="s">
        <v>19</v>
      </c>
      <c r="L276">
        <v>945</v>
      </c>
      <c r="M276">
        <v>-6</v>
      </c>
      <c r="N276" t="s">
        <v>1672</v>
      </c>
      <c r="O276" t="s">
        <v>1667</v>
      </c>
      <c r="P276">
        <v>1</v>
      </c>
      <c r="Q276" t="s">
        <v>1660</v>
      </c>
    </row>
    <row r="277" spans="1:18" x14ac:dyDescent="0.35">
      <c r="A277" t="s">
        <v>580</v>
      </c>
      <c r="B277" s="19">
        <v>45990</v>
      </c>
      <c r="C277" t="s">
        <v>581</v>
      </c>
      <c r="D277" t="s">
        <v>202</v>
      </c>
      <c r="E277" t="s">
        <v>71</v>
      </c>
      <c r="F277" t="s">
        <v>24</v>
      </c>
      <c r="G277">
        <v>0.63194444444444442</v>
      </c>
      <c r="H277">
        <v>0.62777777777777777</v>
      </c>
      <c r="I277">
        <v>-10</v>
      </c>
      <c r="J277" t="s">
        <v>18</v>
      </c>
      <c r="K277" t="s">
        <v>19</v>
      </c>
      <c r="L277">
        <v>1199</v>
      </c>
      <c r="M277">
        <v>-6</v>
      </c>
      <c r="N277" t="s">
        <v>1672</v>
      </c>
      <c r="O277" t="s">
        <v>1667</v>
      </c>
      <c r="P277">
        <v>1</v>
      </c>
      <c r="Q277" t="s">
        <v>1663</v>
      </c>
    </row>
    <row r="278" spans="1:18" x14ac:dyDescent="0.35">
      <c r="A278" t="s">
        <v>582</v>
      </c>
      <c r="B278" s="19">
        <v>45991</v>
      </c>
      <c r="C278" t="s">
        <v>583</v>
      </c>
      <c r="D278" t="s">
        <v>1295</v>
      </c>
      <c r="E278" t="s">
        <v>71</v>
      </c>
      <c r="F278" t="s">
        <v>17</v>
      </c>
      <c r="G278">
        <v>0.4861111111111111</v>
      </c>
      <c r="H278">
        <v>0.48888888888888887</v>
      </c>
      <c r="I278">
        <v>-6</v>
      </c>
      <c r="J278" t="s">
        <v>18</v>
      </c>
      <c r="K278" t="s">
        <v>19</v>
      </c>
      <c r="L278">
        <v>1842</v>
      </c>
      <c r="M278">
        <v>4</v>
      </c>
      <c r="N278" t="s">
        <v>1672</v>
      </c>
      <c r="O278" t="s">
        <v>1668</v>
      </c>
      <c r="P278">
        <v>1</v>
      </c>
      <c r="Q278" t="s">
        <v>1660</v>
      </c>
    </row>
    <row r="279" spans="1:18" x14ac:dyDescent="0.35">
      <c r="A279" t="s">
        <v>584</v>
      </c>
      <c r="B279" s="19">
        <v>45991</v>
      </c>
      <c r="C279" t="s">
        <v>585</v>
      </c>
      <c r="D279" t="s">
        <v>79</v>
      </c>
      <c r="E279" t="s">
        <v>413</v>
      </c>
      <c r="F279" t="s">
        <v>24</v>
      </c>
      <c r="G279">
        <v>0.61458333333333337</v>
      </c>
      <c r="H279">
        <v>0.61111111111111116</v>
      </c>
      <c r="I279">
        <v>4</v>
      </c>
      <c r="J279" t="s">
        <v>18</v>
      </c>
      <c r="K279" t="s">
        <v>19</v>
      </c>
      <c r="L279">
        <v>1942</v>
      </c>
      <c r="M279">
        <v>-5</v>
      </c>
      <c r="N279" t="s">
        <v>1672</v>
      </c>
      <c r="O279" t="s">
        <v>1668</v>
      </c>
      <c r="P279">
        <v>1</v>
      </c>
      <c r="Q279" t="s">
        <v>1663</v>
      </c>
    </row>
    <row r="280" spans="1:18" x14ac:dyDescent="0.35">
      <c r="A280" t="s">
        <v>586</v>
      </c>
      <c r="B280" s="19">
        <v>45991</v>
      </c>
      <c r="C280" t="s">
        <v>587</v>
      </c>
      <c r="D280" t="s">
        <v>588</v>
      </c>
      <c r="E280" t="s">
        <v>546</v>
      </c>
      <c r="F280" t="s">
        <v>24</v>
      </c>
      <c r="G280">
        <v>0.8125</v>
      </c>
      <c r="H280">
        <v>0.81527777777777777</v>
      </c>
      <c r="I280">
        <v>6</v>
      </c>
      <c r="J280" t="s">
        <v>18</v>
      </c>
      <c r="K280" t="s">
        <v>19</v>
      </c>
      <c r="L280">
        <v>1053</v>
      </c>
      <c r="M280">
        <v>4</v>
      </c>
      <c r="N280" t="s">
        <v>1672</v>
      </c>
      <c r="O280" t="s">
        <v>1668</v>
      </c>
      <c r="P280">
        <v>1</v>
      </c>
      <c r="Q280" t="s">
        <v>1665</v>
      </c>
    </row>
    <row r="281" spans="1:18" x14ac:dyDescent="0.35">
      <c r="A281" t="s">
        <v>589</v>
      </c>
      <c r="B281" s="19">
        <v>45992</v>
      </c>
      <c r="C281" t="s">
        <v>501</v>
      </c>
      <c r="D281" t="s">
        <v>79</v>
      </c>
      <c r="E281" t="s">
        <v>71</v>
      </c>
      <c r="F281" t="s">
        <v>38</v>
      </c>
      <c r="G281">
        <v>0.30555555555555558</v>
      </c>
      <c r="H281">
        <v>0.31805555555555548</v>
      </c>
      <c r="I281">
        <v>14</v>
      </c>
      <c r="J281" t="s">
        <v>129</v>
      </c>
      <c r="K281" t="s">
        <v>19</v>
      </c>
      <c r="L281">
        <v>606</v>
      </c>
      <c r="M281">
        <v>18</v>
      </c>
      <c r="N281" t="s">
        <v>1673</v>
      </c>
      <c r="O281" t="s">
        <v>1659</v>
      </c>
      <c r="P281">
        <v>1</v>
      </c>
      <c r="Q281" t="s">
        <v>1660</v>
      </c>
      <c r="R281" t="s">
        <v>1670</v>
      </c>
    </row>
    <row r="282" spans="1:18" x14ac:dyDescent="0.35">
      <c r="A282" t="s">
        <v>590</v>
      </c>
      <c r="B282" s="19">
        <v>45992</v>
      </c>
      <c r="C282" t="s">
        <v>180</v>
      </c>
      <c r="D282" t="s">
        <v>588</v>
      </c>
      <c r="E282" t="s">
        <v>79</v>
      </c>
      <c r="F282" t="s">
        <v>28</v>
      </c>
      <c r="G282">
        <v>0.36805555555555558</v>
      </c>
      <c r="H282">
        <v>0.38611111111111113</v>
      </c>
      <c r="I282">
        <v>29</v>
      </c>
      <c r="J282" t="s">
        <v>129</v>
      </c>
      <c r="K282" t="s">
        <v>19</v>
      </c>
      <c r="L282">
        <v>730</v>
      </c>
      <c r="M282">
        <v>26</v>
      </c>
      <c r="N282" t="s">
        <v>1673</v>
      </c>
      <c r="O282" t="s">
        <v>1659</v>
      </c>
      <c r="P282">
        <v>0</v>
      </c>
      <c r="Q282" t="s">
        <v>1660</v>
      </c>
      <c r="R282" t="s">
        <v>1670</v>
      </c>
    </row>
    <row r="283" spans="1:18" x14ac:dyDescent="0.35">
      <c r="A283" t="s">
        <v>592</v>
      </c>
      <c r="B283" s="19">
        <v>45993</v>
      </c>
      <c r="C283" t="s">
        <v>169</v>
      </c>
      <c r="D283" t="s">
        <v>79</v>
      </c>
      <c r="E283" t="s">
        <v>413</v>
      </c>
      <c r="F283" t="s">
        <v>24</v>
      </c>
      <c r="G283">
        <v>0.34375</v>
      </c>
      <c r="H283">
        <v>0.34722222222222221</v>
      </c>
      <c r="I283">
        <v>11</v>
      </c>
      <c r="J283" t="s">
        <v>18</v>
      </c>
      <c r="K283" t="s">
        <v>19</v>
      </c>
      <c r="L283">
        <v>1942</v>
      </c>
      <c r="M283">
        <v>5</v>
      </c>
      <c r="N283" t="s">
        <v>1673</v>
      </c>
      <c r="O283" t="s">
        <v>1661</v>
      </c>
      <c r="P283">
        <v>1</v>
      </c>
      <c r="Q283" t="s">
        <v>1660</v>
      </c>
    </row>
    <row r="284" spans="1:18" x14ac:dyDescent="0.35">
      <c r="A284" t="s">
        <v>593</v>
      </c>
      <c r="B284" s="19">
        <v>45993</v>
      </c>
      <c r="C284" t="s">
        <v>594</v>
      </c>
      <c r="D284" t="s">
        <v>71</v>
      </c>
      <c r="E284" t="s">
        <v>79</v>
      </c>
      <c r="F284" t="s">
        <v>17</v>
      </c>
      <c r="G284">
        <v>0.59375</v>
      </c>
      <c r="H284">
        <v>0.59722222222222221</v>
      </c>
      <c r="I284">
        <v>-6</v>
      </c>
      <c r="J284" t="s">
        <v>18</v>
      </c>
      <c r="K284" t="s">
        <v>19</v>
      </c>
      <c r="L284">
        <v>606</v>
      </c>
      <c r="M284">
        <v>5</v>
      </c>
      <c r="N284" t="s">
        <v>1673</v>
      </c>
      <c r="O284" t="s">
        <v>1661</v>
      </c>
      <c r="P284">
        <v>1</v>
      </c>
      <c r="Q284" t="s">
        <v>1663</v>
      </c>
    </row>
    <row r="285" spans="1:18" x14ac:dyDescent="0.35">
      <c r="A285" t="s">
        <v>595</v>
      </c>
      <c r="B285" s="19">
        <v>45993</v>
      </c>
      <c r="C285" t="s">
        <v>596</v>
      </c>
      <c r="D285" t="s">
        <v>1295</v>
      </c>
      <c r="E285" t="s">
        <v>79</v>
      </c>
      <c r="F285" t="s">
        <v>24</v>
      </c>
      <c r="G285">
        <v>0.66319444444444442</v>
      </c>
      <c r="H285">
        <v>0.67083333333333328</v>
      </c>
      <c r="I285">
        <v>12</v>
      </c>
      <c r="J285" t="s">
        <v>18</v>
      </c>
      <c r="K285" t="s">
        <v>19</v>
      </c>
      <c r="L285">
        <v>2134</v>
      </c>
      <c r="M285">
        <v>11</v>
      </c>
      <c r="N285" t="s">
        <v>1673</v>
      </c>
      <c r="O285" t="s">
        <v>1661</v>
      </c>
      <c r="P285">
        <v>1</v>
      </c>
      <c r="Q285" t="s">
        <v>1663</v>
      </c>
    </row>
    <row r="286" spans="1:18" x14ac:dyDescent="0.35">
      <c r="A286" t="s">
        <v>597</v>
      </c>
      <c r="B286" s="19">
        <v>45993</v>
      </c>
      <c r="C286" t="s">
        <v>598</v>
      </c>
      <c r="D286" t="s">
        <v>79</v>
      </c>
      <c r="E286" t="s">
        <v>546</v>
      </c>
      <c r="F286" t="s">
        <v>17</v>
      </c>
      <c r="G286">
        <v>0.77430555555555558</v>
      </c>
      <c r="H286">
        <v>0.77083333333333337</v>
      </c>
      <c r="I286">
        <v>-12</v>
      </c>
      <c r="J286" t="s">
        <v>18</v>
      </c>
      <c r="K286" t="s">
        <v>19</v>
      </c>
      <c r="L286">
        <v>1743</v>
      </c>
      <c r="M286">
        <v>-5</v>
      </c>
      <c r="N286" t="s">
        <v>1673</v>
      </c>
      <c r="O286" t="s">
        <v>1661</v>
      </c>
      <c r="P286">
        <v>1</v>
      </c>
      <c r="Q286" t="s">
        <v>1665</v>
      </c>
    </row>
    <row r="287" spans="1:18" x14ac:dyDescent="0.35">
      <c r="A287" t="s">
        <v>599</v>
      </c>
      <c r="B287" s="19">
        <v>45993</v>
      </c>
      <c r="C287" t="s">
        <v>600</v>
      </c>
      <c r="D287" t="s">
        <v>588</v>
      </c>
      <c r="E287" t="s">
        <v>71</v>
      </c>
      <c r="F287" t="s">
        <v>24</v>
      </c>
      <c r="G287">
        <v>0.875</v>
      </c>
      <c r="H287">
        <v>0.9375</v>
      </c>
      <c r="I287">
        <v>95</v>
      </c>
      <c r="J287" t="s">
        <v>54</v>
      </c>
      <c r="K287" t="s">
        <v>19</v>
      </c>
      <c r="L287">
        <v>802</v>
      </c>
      <c r="M287">
        <v>90</v>
      </c>
      <c r="N287" t="s">
        <v>1673</v>
      </c>
      <c r="O287" t="s">
        <v>1661</v>
      </c>
      <c r="P287">
        <v>0</v>
      </c>
      <c r="Q287" t="s">
        <v>1669</v>
      </c>
      <c r="R287" t="s">
        <v>1657</v>
      </c>
    </row>
    <row r="288" spans="1:18" x14ac:dyDescent="0.35">
      <c r="A288" t="s">
        <v>601</v>
      </c>
      <c r="B288" s="19">
        <v>45994</v>
      </c>
      <c r="C288" t="s">
        <v>265</v>
      </c>
      <c r="D288" t="s">
        <v>71</v>
      </c>
      <c r="E288" t="s">
        <v>202</v>
      </c>
      <c r="F288" t="s">
        <v>28</v>
      </c>
      <c r="G288">
        <v>0.39930555555555558</v>
      </c>
      <c r="H288">
        <v>0.39444444444444438</v>
      </c>
      <c r="I288">
        <v>-2</v>
      </c>
      <c r="J288" t="s">
        <v>18</v>
      </c>
      <c r="K288" t="s">
        <v>19</v>
      </c>
      <c r="L288">
        <v>1199</v>
      </c>
      <c r="M288">
        <v>-7</v>
      </c>
      <c r="N288" t="s">
        <v>1673</v>
      </c>
      <c r="O288" t="s">
        <v>1662</v>
      </c>
      <c r="P288">
        <v>1</v>
      </c>
      <c r="Q288" t="s">
        <v>1660</v>
      </c>
    </row>
    <row r="289" spans="1:18" x14ac:dyDescent="0.35">
      <c r="A289" t="s">
        <v>602</v>
      </c>
      <c r="B289" s="19">
        <v>45994</v>
      </c>
      <c r="C289" t="s">
        <v>603</v>
      </c>
      <c r="D289" t="s">
        <v>79</v>
      </c>
      <c r="E289" t="s">
        <v>71</v>
      </c>
      <c r="F289" t="s">
        <v>38</v>
      </c>
      <c r="G289">
        <v>0.90277777777777779</v>
      </c>
      <c r="H289">
        <v>0.89722222222222225</v>
      </c>
      <c r="I289">
        <v>1</v>
      </c>
      <c r="J289" t="s">
        <v>18</v>
      </c>
      <c r="K289" t="s">
        <v>19</v>
      </c>
      <c r="L289">
        <v>606</v>
      </c>
      <c r="M289">
        <v>-8</v>
      </c>
      <c r="N289" t="s">
        <v>1673</v>
      </c>
      <c r="O289" t="s">
        <v>1662</v>
      </c>
      <c r="P289">
        <v>1</v>
      </c>
      <c r="Q289" t="s">
        <v>1669</v>
      </c>
    </row>
    <row r="290" spans="1:18" x14ac:dyDescent="0.35">
      <c r="A290" t="s">
        <v>604</v>
      </c>
      <c r="B290" s="19">
        <v>45995</v>
      </c>
      <c r="C290" t="s">
        <v>605</v>
      </c>
      <c r="D290" t="s">
        <v>226</v>
      </c>
      <c r="E290" t="s">
        <v>588</v>
      </c>
      <c r="F290" t="s">
        <v>28</v>
      </c>
      <c r="G290">
        <v>0.85416666666666663</v>
      </c>
      <c r="I290">
        <v>-5</v>
      </c>
      <c r="J290" t="s">
        <v>18</v>
      </c>
      <c r="K290" t="s">
        <v>19</v>
      </c>
      <c r="L290">
        <v>641</v>
      </c>
      <c r="M290">
        <v>4</v>
      </c>
      <c r="N290" t="s">
        <v>1673</v>
      </c>
      <c r="O290" t="s">
        <v>1664</v>
      </c>
      <c r="P290">
        <v>1</v>
      </c>
      <c r="Q290" t="s">
        <v>1665</v>
      </c>
    </row>
    <row r="291" spans="1:18" x14ac:dyDescent="0.35">
      <c r="A291" t="s">
        <v>606</v>
      </c>
      <c r="B291" s="19">
        <v>45996</v>
      </c>
      <c r="C291" t="s">
        <v>607</v>
      </c>
      <c r="D291" t="s">
        <v>84</v>
      </c>
      <c r="E291" t="s">
        <v>413</v>
      </c>
      <c r="F291" t="s">
        <v>17</v>
      </c>
      <c r="G291">
        <v>0.25347222222222221</v>
      </c>
      <c r="H291">
        <v>0.31666666666666671</v>
      </c>
      <c r="I291">
        <v>82</v>
      </c>
      <c r="J291" t="s">
        <v>129</v>
      </c>
      <c r="K291" t="s">
        <v>19</v>
      </c>
      <c r="L291">
        <v>955</v>
      </c>
      <c r="M291">
        <v>91</v>
      </c>
      <c r="N291" t="s">
        <v>1673</v>
      </c>
      <c r="O291" t="s">
        <v>1666</v>
      </c>
      <c r="P291">
        <v>0</v>
      </c>
      <c r="Q291" t="s">
        <v>1660</v>
      </c>
      <c r="R291" t="s">
        <v>1670</v>
      </c>
    </row>
    <row r="292" spans="1:18" x14ac:dyDescent="0.35">
      <c r="A292" t="s">
        <v>608</v>
      </c>
      <c r="B292" s="19">
        <v>45996</v>
      </c>
      <c r="C292" t="s">
        <v>609</v>
      </c>
      <c r="D292" t="s">
        <v>588</v>
      </c>
      <c r="E292" t="s">
        <v>1549</v>
      </c>
      <c r="F292" t="s">
        <v>17</v>
      </c>
      <c r="G292">
        <v>0.58680555555555558</v>
      </c>
      <c r="H292">
        <v>0.5854166666666667</v>
      </c>
      <c r="I292">
        <v>3</v>
      </c>
      <c r="J292" t="s">
        <v>18</v>
      </c>
      <c r="K292" t="s">
        <v>19</v>
      </c>
      <c r="L292">
        <v>1559</v>
      </c>
      <c r="M292">
        <v>-2</v>
      </c>
      <c r="N292" t="s">
        <v>1673</v>
      </c>
      <c r="O292" t="s">
        <v>1666</v>
      </c>
      <c r="P292">
        <v>1</v>
      </c>
      <c r="Q292" t="s">
        <v>1663</v>
      </c>
    </row>
    <row r="293" spans="1:18" x14ac:dyDescent="0.35">
      <c r="A293" t="s">
        <v>610</v>
      </c>
      <c r="B293" s="19">
        <v>45996</v>
      </c>
      <c r="C293" t="s">
        <v>611</v>
      </c>
      <c r="D293" t="s">
        <v>202</v>
      </c>
      <c r="E293" t="s">
        <v>71</v>
      </c>
      <c r="F293" t="s">
        <v>17</v>
      </c>
      <c r="G293">
        <v>0.74652777777777779</v>
      </c>
      <c r="H293">
        <v>0.80208333333333337</v>
      </c>
      <c r="I293">
        <v>78</v>
      </c>
      <c r="J293" t="s">
        <v>129</v>
      </c>
      <c r="K293" t="s">
        <v>19</v>
      </c>
      <c r="L293">
        <v>1199</v>
      </c>
      <c r="M293">
        <v>80</v>
      </c>
      <c r="N293" t="s">
        <v>1673</v>
      </c>
      <c r="O293" t="s">
        <v>1666</v>
      </c>
      <c r="P293">
        <v>0</v>
      </c>
      <c r="Q293" t="s">
        <v>1665</v>
      </c>
      <c r="R293" t="s">
        <v>1670</v>
      </c>
    </row>
    <row r="294" spans="1:18" x14ac:dyDescent="0.35">
      <c r="A294" t="s">
        <v>612</v>
      </c>
      <c r="B294" s="19">
        <v>45997</v>
      </c>
      <c r="C294" t="s">
        <v>613</v>
      </c>
      <c r="D294" t="s">
        <v>71</v>
      </c>
      <c r="E294" t="s">
        <v>588</v>
      </c>
      <c r="F294" t="s">
        <v>17</v>
      </c>
      <c r="G294">
        <v>0.51736111111111116</v>
      </c>
      <c r="H294">
        <v>0.51527777777777772</v>
      </c>
      <c r="I294">
        <v>-2</v>
      </c>
      <c r="J294" t="s">
        <v>18</v>
      </c>
      <c r="K294" t="s">
        <v>19</v>
      </c>
      <c r="L294">
        <v>802</v>
      </c>
      <c r="M294">
        <v>-3</v>
      </c>
      <c r="N294" t="s">
        <v>1673</v>
      </c>
      <c r="O294" t="s">
        <v>1667</v>
      </c>
      <c r="P294">
        <v>1</v>
      </c>
      <c r="Q294" t="s">
        <v>1663</v>
      </c>
    </row>
    <row r="295" spans="1:18" x14ac:dyDescent="0.35">
      <c r="A295" t="s">
        <v>614</v>
      </c>
      <c r="B295" s="19">
        <v>45998</v>
      </c>
      <c r="C295" t="s">
        <v>353</v>
      </c>
      <c r="D295" t="s">
        <v>588</v>
      </c>
      <c r="E295" t="s">
        <v>71</v>
      </c>
      <c r="F295" t="s">
        <v>24</v>
      </c>
      <c r="G295">
        <v>0.2673611111111111</v>
      </c>
      <c r="H295">
        <v>0.27291666666666659</v>
      </c>
      <c r="I295">
        <v>-3</v>
      </c>
      <c r="J295" t="s">
        <v>18</v>
      </c>
      <c r="K295" t="s">
        <v>19</v>
      </c>
      <c r="L295">
        <v>802</v>
      </c>
      <c r="M295">
        <v>8</v>
      </c>
      <c r="N295" t="s">
        <v>1673</v>
      </c>
      <c r="O295" t="s">
        <v>1668</v>
      </c>
      <c r="P295">
        <v>1</v>
      </c>
      <c r="Q295" t="s">
        <v>1660</v>
      </c>
    </row>
    <row r="296" spans="1:18" x14ac:dyDescent="0.35">
      <c r="A296" t="s">
        <v>615</v>
      </c>
      <c r="B296" s="19">
        <v>45998</v>
      </c>
      <c r="C296" t="s">
        <v>616</v>
      </c>
      <c r="D296" t="s">
        <v>79</v>
      </c>
      <c r="E296" t="s">
        <v>1295</v>
      </c>
      <c r="F296" t="s">
        <v>38</v>
      </c>
      <c r="G296">
        <v>0.60069444444444442</v>
      </c>
      <c r="H296">
        <v>0.65416666666666667</v>
      </c>
      <c r="I296">
        <v>75</v>
      </c>
      <c r="J296" t="s">
        <v>60</v>
      </c>
      <c r="K296" t="s">
        <v>19</v>
      </c>
      <c r="L296">
        <v>2134</v>
      </c>
      <c r="M296">
        <v>77</v>
      </c>
      <c r="N296" t="s">
        <v>1673</v>
      </c>
      <c r="O296" t="s">
        <v>1668</v>
      </c>
      <c r="P296">
        <v>0</v>
      </c>
      <c r="Q296" t="s">
        <v>1663</v>
      </c>
      <c r="R296" t="s">
        <v>1657</v>
      </c>
    </row>
    <row r="297" spans="1:18" x14ac:dyDescent="0.35">
      <c r="A297" t="s">
        <v>618</v>
      </c>
      <c r="B297" s="19">
        <v>45999</v>
      </c>
      <c r="C297" t="s">
        <v>619</v>
      </c>
      <c r="D297" t="s">
        <v>226</v>
      </c>
      <c r="E297" t="s">
        <v>588</v>
      </c>
      <c r="F297" t="s">
        <v>17</v>
      </c>
      <c r="G297">
        <v>0.40972222222222221</v>
      </c>
      <c r="H297">
        <v>0.4152777777777778</v>
      </c>
      <c r="I297">
        <v>-2</v>
      </c>
      <c r="J297" t="s">
        <v>18</v>
      </c>
      <c r="K297" t="s">
        <v>19</v>
      </c>
      <c r="L297">
        <v>641</v>
      </c>
      <c r="M297">
        <v>8</v>
      </c>
      <c r="N297" t="s">
        <v>1673</v>
      </c>
      <c r="O297" t="s">
        <v>1659</v>
      </c>
      <c r="P297">
        <v>1</v>
      </c>
      <c r="Q297" t="s">
        <v>1660</v>
      </c>
    </row>
    <row r="298" spans="1:18" x14ac:dyDescent="0.35">
      <c r="A298" t="s">
        <v>620</v>
      </c>
      <c r="B298" s="19">
        <v>45999</v>
      </c>
      <c r="C298" t="s">
        <v>621</v>
      </c>
      <c r="D298" t="s">
        <v>413</v>
      </c>
      <c r="E298" t="s">
        <v>84</v>
      </c>
      <c r="F298" t="s">
        <v>38</v>
      </c>
      <c r="G298">
        <v>0.50694444444444442</v>
      </c>
      <c r="H298">
        <v>0.5131944444444444</v>
      </c>
      <c r="I298">
        <v>14</v>
      </c>
      <c r="J298" t="s">
        <v>18</v>
      </c>
      <c r="K298" t="s">
        <v>19</v>
      </c>
      <c r="L298">
        <v>955</v>
      </c>
      <c r="M298">
        <v>9</v>
      </c>
      <c r="N298" t="s">
        <v>1673</v>
      </c>
      <c r="O298" t="s">
        <v>1659</v>
      </c>
      <c r="P298">
        <v>1</v>
      </c>
      <c r="Q298" t="s">
        <v>1663</v>
      </c>
    </row>
    <row r="299" spans="1:18" x14ac:dyDescent="0.35">
      <c r="A299" t="s">
        <v>622</v>
      </c>
      <c r="B299" s="19">
        <v>45999</v>
      </c>
      <c r="C299" t="s">
        <v>468</v>
      </c>
      <c r="D299" t="s">
        <v>1295</v>
      </c>
      <c r="E299" t="s">
        <v>546</v>
      </c>
      <c r="F299" t="s">
        <v>17</v>
      </c>
      <c r="G299">
        <v>0.51041666666666663</v>
      </c>
      <c r="H299">
        <v>0.51180555555555551</v>
      </c>
      <c r="I299">
        <v>3</v>
      </c>
      <c r="J299" t="s">
        <v>18</v>
      </c>
      <c r="K299" t="s">
        <v>19</v>
      </c>
      <c r="L299">
        <v>414</v>
      </c>
      <c r="M299">
        <v>2</v>
      </c>
      <c r="N299" t="s">
        <v>1673</v>
      </c>
      <c r="O299" t="s">
        <v>1659</v>
      </c>
      <c r="P299">
        <v>1</v>
      </c>
      <c r="Q299" t="s">
        <v>1663</v>
      </c>
    </row>
    <row r="300" spans="1:18" x14ac:dyDescent="0.35">
      <c r="A300" t="s">
        <v>623</v>
      </c>
      <c r="B300" s="19">
        <v>45999</v>
      </c>
      <c r="C300" t="s">
        <v>442</v>
      </c>
      <c r="D300" t="s">
        <v>79</v>
      </c>
      <c r="E300" t="s">
        <v>226</v>
      </c>
      <c r="F300" t="s">
        <v>17</v>
      </c>
      <c r="G300">
        <v>0.61805555555555558</v>
      </c>
      <c r="H300">
        <v>0.62291666666666667</v>
      </c>
      <c r="I300">
        <v>12</v>
      </c>
      <c r="J300" t="s">
        <v>18</v>
      </c>
      <c r="K300" t="s">
        <v>19</v>
      </c>
      <c r="L300">
        <v>1197</v>
      </c>
      <c r="M300">
        <v>7</v>
      </c>
      <c r="N300" t="s">
        <v>1673</v>
      </c>
      <c r="O300" t="s">
        <v>1659</v>
      </c>
      <c r="P300">
        <v>1</v>
      </c>
      <c r="Q300" t="s">
        <v>1663</v>
      </c>
    </row>
    <row r="301" spans="1:18" x14ac:dyDescent="0.35">
      <c r="A301" t="s">
        <v>624</v>
      </c>
      <c r="B301" s="19">
        <v>45999</v>
      </c>
      <c r="C301" t="s">
        <v>559</v>
      </c>
      <c r="D301" t="s">
        <v>588</v>
      </c>
      <c r="E301" t="s">
        <v>1295</v>
      </c>
      <c r="F301" t="s">
        <v>38</v>
      </c>
      <c r="G301">
        <v>0.73958333333333337</v>
      </c>
      <c r="H301">
        <v>0.7416666666666667</v>
      </c>
      <c r="I301">
        <v>7</v>
      </c>
      <c r="J301" t="s">
        <v>18</v>
      </c>
      <c r="K301" t="s">
        <v>19</v>
      </c>
      <c r="L301">
        <v>1462</v>
      </c>
      <c r="M301">
        <v>3</v>
      </c>
      <c r="N301" t="s">
        <v>1673</v>
      </c>
      <c r="O301" t="s">
        <v>1659</v>
      </c>
      <c r="P301">
        <v>1</v>
      </c>
      <c r="Q301" t="s">
        <v>1665</v>
      </c>
    </row>
    <row r="302" spans="1:18" x14ac:dyDescent="0.35">
      <c r="A302" t="s">
        <v>625</v>
      </c>
      <c r="B302" s="19">
        <v>45999</v>
      </c>
      <c r="C302" t="s">
        <v>626</v>
      </c>
      <c r="D302" t="s">
        <v>413</v>
      </c>
      <c r="E302" t="s">
        <v>79</v>
      </c>
      <c r="F302" t="s">
        <v>28</v>
      </c>
      <c r="G302">
        <v>0.94097222222222221</v>
      </c>
      <c r="H302">
        <v>0.94930555555555551</v>
      </c>
      <c r="I302">
        <v>16</v>
      </c>
      <c r="J302" t="s">
        <v>18</v>
      </c>
      <c r="K302" t="s">
        <v>19</v>
      </c>
      <c r="L302">
        <v>1942</v>
      </c>
      <c r="M302">
        <v>12</v>
      </c>
      <c r="N302" t="s">
        <v>1673</v>
      </c>
      <c r="O302" t="s">
        <v>1659</v>
      </c>
      <c r="P302">
        <v>0</v>
      </c>
      <c r="Q302" t="s">
        <v>1669</v>
      </c>
    </row>
    <row r="303" spans="1:18" x14ac:dyDescent="0.35">
      <c r="A303" t="s">
        <v>627</v>
      </c>
      <c r="B303" s="19">
        <v>46000</v>
      </c>
      <c r="C303" t="s">
        <v>628</v>
      </c>
      <c r="D303" t="s">
        <v>1295</v>
      </c>
      <c r="E303" t="s">
        <v>1171</v>
      </c>
      <c r="F303" t="s">
        <v>24</v>
      </c>
      <c r="G303">
        <v>0.37152777777777779</v>
      </c>
      <c r="H303">
        <v>0.37847222222222221</v>
      </c>
      <c r="I303">
        <v>10</v>
      </c>
      <c r="J303" t="s">
        <v>18</v>
      </c>
      <c r="K303" t="s">
        <v>19</v>
      </c>
      <c r="L303">
        <v>651</v>
      </c>
      <c r="M303">
        <v>10</v>
      </c>
      <c r="N303" t="s">
        <v>1673</v>
      </c>
      <c r="O303" t="s">
        <v>1661</v>
      </c>
      <c r="P303">
        <v>1</v>
      </c>
      <c r="Q303" t="s">
        <v>1660</v>
      </c>
    </row>
    <row r="304" spans="1:18" x14ac:dyDescent="0.35">
      <c r="A304" t="s">
        <v>630</v>
      </c>
      <c r="B304" s="19">
        <v>46000</v>
      </c>
      <c r="C304" t="s">
        <v>631</v>
      </c>
      <c r="D304" t="s">
        <v>71</v>
      </c>
      <c r="E304" t="s">
        <v>226</v>
      </c>
      <c r="F304" t="s">
        <v>17</v>
      </c>
      <c r="G304">
        <v>0.625</v>
      </c>
      <c r="H304">
        <v>0.67152777777777772</v>
      </c>
      <c r="I304">
        <v>60</v>
      </c>
      <c r="J304" t="s">
        <v>54</v>
      </c>
      <c r="K304" t="s">
        <v>19</v>
      </c>
      <c r="L304">
        <v>886</v>
      </c>
      <c r="M304">
        <v>67</v>
      </c>
      <c r="N304" t="s">
        <v>1673</v>
      </c>
      <c r="O304" t="s">
        <v>1661</v>
      </c>
      <c r="P304">
        <v>0</v>
      </c>
      <c r="Q304" t="s">
        <v>1663</v>
      </c>
      <c r="R304" t="s">
        <v>1657</v>
      </c>
    </row>
    <row r="305" spans="1:18" x14ac:dyDescent="0.35">
      <c r="A305" t="s">
        <v>632</v>
      </c>
      <c r="B305" s="19">
        <v>46000</v>
      </c>
      <c r="C305" t="s">
        <v>633</v>
      </c>
      <c r="D305" t="s">
        <v>202</v>
      </c>
      <c r="E305" t="s">
        <v>84</v>
      </c>
      <c r="F305" t="s">
        <v>28</v>
      </c>
      <c r="G305">
        <v>0.68055555555555558</v>
      </c>
      <c r="H305">
        <v>0.67777777777777781</v>
      </c>
      <c r="I305">
        <v>-13</v>
      </c>
      <c r="J305" t="s">
        <v>18</v>
      </c>
      <c r="K305" t="s">
        <v>19</v>
      </c>
      <c r="L305">
        <v>2722</v>
      </c>
      <c r="M305">
        <v>-4</v>
      </c>
      <c r="N305" t="s">
        <v>1673</v>
      </c>
      <c r="O305" t="s">
        <v>1661</v>
      </c>
      <c r="P305">
        <v>1</v>
      </c>
      <c r="Q305" t="s">
        <v>1663</v>
      </c>
    </row>
    <row r="306" spans="1:18" x14ac:dyDescent="0.35">
      <c r="A306" t="s">
        <v>634</v>
      </c>
      <c r="B306" s="19">
        <v>46001</v>
      </c>
      <c r="C306" t="s">
        <v>452</v>
      </c>
      <c r="D306" t="s">
        <v>413</v>
      </c>
      <c r="E306" t="s">
        <v>71</v>
      </c>
      <c r="F306" t="s">
        <v>24</v>
      </c>
      <c r="G306">
        <v>0.34722222222222221</v>
      </c>
      <c r="H306">
        <v>0.35208333333333341</v>
      </c>
      <c r="I306">
        <v>16</v>
      </c>
      <c r="J306" t="s">
        <v>18</v>
      </c>
      <c r="K306" t="s">
        <v>19</v>
      </c>
      <c r="L306">
        <v>1742</v>
      </c>
      <c r="M306">
        <v>7</v>
      </c>
      <c r="N306" t="s">
        <v>1673</v>
      </c>
      <c r="O306" t="s">
        <v>1662</v>
      </c>
      <c r="P306">
        <v>0</v>
      </c>
      <c r="Q306" t="s">
        <v>1660</v>
      </c>
    </row>
    <row r="307" spans="1:18" x14ac:dyDescent="0.35">
      <c r="A307" t="s">
        <v>635</v>
      </c>
      <c r="B307" s="19">
        <v>46001</v>
      </c>
      <c r="C307" t="s">
        <v>468</v>
      </c>
      <c r="D307" t="s">
        <v>588</v>
      </c>
      <c r="E307" t="s">
        <v>79</v>
      </c>
      <c r="F307" t="s">
        <v>17</v>
      </c>
      <c r="G307">
        <v>0.92361111111111116</v>
      </c>
      <c r="H307">
        <v>0.92986111111111114</v>
      </c>
      <c r="I307">
        <v>18</v>
      </c>
      <c r="J307" t="s">
        <v>18</v>
      </c>
      <c r="K307" t="s">
        <v>19</v>
      </c>
      <c r="L307">
        <v>730</v>
      </c>
      <c r="M307">
        <v>9</v>
      </c>
      <c r="N307" t="s">
        <v>1673</v>
      </c>
      <c r="O307" t="s">
        <v>1662</v>
      </c>
      <c r="P307">
        <v>0</v>
      </c>
      <c r="Q307" t="s">
        <v>1669</v>
      </c>
    </row>
    <row r="308" spans="1:18" x14ac:dyDescent="0.35">
      <c r="A308" t="s">
        <v>636</v>
      </c>
      <c r="B308" s="19">
        <v>46002</v>
      </c>
      <c r="C308" t="s">
        <v>637</v>
      </c>
      <c r="D308" t="s">
        <v>413</v>
      </c>
      <c r="E308" t="s">
        <v>1295</v>
      </c>
      <c r="F308" t="s">
        <v>17</v>
      </c>
      <c r="G308">
        <v>0.2638888888888889</v>
      </c>
      <c r="H308">
        <v>0.37777777777777782</v>
      </c>
      <c r="I308">
        <v>149</v>
      </c>
      <c r="J308" t="s">
        <v>477</v>
      </c>
      <c r="K308" t="s">
        <v>19</v>
      </c>
      <c r="L308">
        <v>338</v>
      </c>
      <c r="M308">
        <v>164</v>
      </c>
      <c r="N308" t="s">
        <v>1673</v>
      </c>
      <c r="O308" t="s">
        <v>1664</v>
      </c>
      <c r="P308">
        <v>0</v>
      </c>
      <c r="Q308" t="s">
        <v>1660</v>
      </c>
      <c r="R308" t="s">
        <v>1670</v>
      </c>
    </row>
    <row r="309" spans="1:18" x14ac:dyDescent="0.35">
      <c r="A309" t="s">
        <v>638</v>
      </c>
      <c r="B309" s="19">
        <v>46003</v>
      </c>
      <c r="C309" t="s">
        <v>603</v>
      </c>
      <c r="D309" t="s">
        <v>546</v>
      </c>
      <c r="E309" t="s">
        <v>588</v>
      </c>
      <c r="F309" t="s">
        <v>17</v>
      </c>
      <c r="G309">
        <v>0.44097222222222221</v>
      </c>
      <c r="H309">
        <v>0.45833333333333331</v>
      </c>
      <c r="I309">
        <v>26</v>
      </c>
      <c r="J309" t="s">
        <v>54</v>
      </c>
      <c r="K309" t="s">
        <v>19</v>
      </c>
      <c r="L309">
        <v>1053</v>
      </c>
      <c r="M309">
        <v>25</v>
      </c>
      <c r="N309" t="s">
        <v>1673</v>
      </c>
      <c r="O309" t="s">
        <v>1666</v>
      </c>
      <c r="P309">
        <v>0</v>
      </c>
      <c r="Q309" t="s">
        <v>1660</v>
      </c>
      <c r="R309" t="s">
        <v>1657</v>
      </c>
    </row>
    <row r="310" spans="1:18" x14ac:dyDescent="0.35">
      <c r="A310" t="s">
        <v>639</v>
      </c>
      <c r="B310" s="19">
        <v>46003</v>
      </c>
      <c r="C310" t="s">
        <v>628</v>
      </c>
      <c r="D310" t="s">
        <v>71</v>
      </c>
      <c r="E310" t="s">
        <v>202</v>
      </c>
      <c r="F310" t="s">
        <v>17</v>
      </c>
      <c r="G310">
        <v>0.47569444444444442</v>
      </c>
      <c r="H310">
        <v>0.47083333333333333</v>
      </c>
      <c r="I310">
        <v>-11</v>
      </c>
      <c r="J310" t="s">
        <v>18</v>
      </c>
      <c r="K310" t="s">
        <v>19</v>
      </c>
      <c r="L310">
        <v>1199</v>
      </c>
      <c r="M310">
        <v>-7</v>
      </c>
      <c r="N310" t="s">
        <v>1673</v>
      </c>
      <c r="O310" t="s">
        <v>1666</v>
      </c>
      <c r="P310">
        <v>1</v>
      </c>
      <c r="Q310" t="s">
        <v>1660</v>
      </c>
    </row>
    <row r="311" spans="1:18" x14ac:dyDescent="0.35">
      <c r="A311" t="s">
        <v>640</v>
      </c>
      <c r="B311" s="19">
        <v>46003</v>
      </c>
      <c r="C311" t="s">
        <v>641</v>
      </c>
      <c r="D311" t="s">
        <v>202</v>
      </c>
      <c r="E311" t="s">
        <v>413</v>
      </c>
      <c r="F311" t="s">
        <v>24</v>
      </c>
      <c r="G311">
        <v>0.78125</v>
      </c>
      <c r="H311">
        <v>0.80625000000000002</v>
      </c>
      <c r="I311">
        <v>33</v>
      </c>
      <c r="J311" t="s">
        <v>60</v>
      </c>
      <c r="K311" t="s">
        <v>19</v>
      </c>
      <c r="L311">
        <v>2338</v>
      </c>
      <c r="M311">
        <v>36</v>
      </c>
      <c r="N311" t="s">
        <v>1673</v>
      </c>
      <c r="O311" t="s">
        <v>1666</v>
      </c>
      <c r="P311">
        <v>0</v>
      </c>
      <c r="Q311" t="s">
        <v>1665</v>
      </c>
      <c r="R311" t="s">
        <v>1657</v>
      </c>
    </row>
    <row r="312" spans="1:18" x14ac:dyDescent="0.35">
      <c r="A312" t="s">
        <v>642</v>
      </c>
      <c r="B312" s="19">
        <v>46004</v>
      </c>
      <c r="C312" t="s">
        <v>643</v>
      </c>
      <c r="D312" t="s">
        <v>71</v>
      </c>
      <c r="E312" t="s">
        <v>79</v>
      </c>
      <c r="F312" t="s">
        <v>38</v>
      </c>
      <c r="G312">
        <v>0.2673611111111111</v>
      </c>
      <c r="H312">
        <v>0.26944444444444438</v>
      </c>
      <c r="I312">
        <v>7</v>
      </c>
      <c r="J312" t="s">
        <v>18</v>
      </c>
      <c r="K312" t="s">
        <v>19</v>
      </c>
      <c r="L312">
        <v>606</v>
      </c>
      <c r="M312">
        <v>3</v>
      </c>
      <c r="N312" t="s">
        <v>1673</v>
      </c>
      <c r="O312" t="s">
        <v>1667</v>
      </c>
      <c r="P312">
        <v>1</v>
      </c>
      <c r="Q312" t="s">
        <v>1660</v>
      </c>
    </row>
    <row r="313" spans="1:18" x14ac:dyDescent="0.35">
      <c r="A313" t="s">
        <v>644</v>
      </c>
      <c r="B313" s="19">
        <v>46004</v>
      </c>
      <c r="C313" t="s">
        <v>645</v>
      </c>
      <c r="D313" t="s">
        <v>197</v>
      </c>
      <c r="E313" t="s">
        <v>79</v>
      </c>
      <c r="F313" t="s">
        <v>17</v>
      </c>
      <c r="G313">
        <v>0.31944444444444442</v>
      </c>
      <c r="H313">
        <v>0.32361111111111113</v>
      </c>
      <c r="I313">
        <v>4</v>
      </c>
      <c r="J313" t="s">
        <v>18</v>
      </c>
      <c r="K313" t="s">
        <v>19</v>
      </c>
      <c r="L313">
        <v>759</v>
      </c>
      <c r="M313">
        <v>6</v>
      </c>
      <c r="N313" t="s">
        <v>1673</v>
      </c>
      <c r="O313" t="s">
        <v>1667</v>
      </c>
      <c r="P313">
        <v>1</v>
      </c>
      <c r="Q313" t="s">
        <v>1660</v>
      </c>
    </row>
    <row r="314" spans="1:18" x14ac:dyDescent="0.35">
      <c r="A314" t="s">
        <v>646</v>
      </c>
      <c r="B314" s="19">
        <v>46004</v>
      </c>
      <c r="C314" t="s">
        <v>647</v>
      </c>
      <c r="D314" t="s">
        <v>79</v>
      </c>
      <c r="E314" t="s">
        <v>1549</v>
      </c>
      <c r="F314" t="s">
        <v>24</v>
      </c>
      <c r="G314">
        <v>0.33333333333333331</v>
      </c>
      <c r="H314">
        <v>0.34444444444444439</v>
      </c>
      <c r="I314">
        <v>15</v>
      </c>
      <c r="J314" t="s">
        <v>129</v>
      </c>
      <c r="K314" t="s">
        <v>19</v>
      </c>
      <c r="L314">
        <v>945</v>
      </c>
      <c r="M314">
        <v>16</v>
      </c>
      <c r="N314" t="s">
        <v>1673</v>
      </c>
      <c r="O314" t="s">
        <v>1667</v>
      </c>
      <c r="P314">
        <v>1</v>
      </c>
      <c r="Q314" t="s">
        <v>1660</v>
      </c>
      <c r="R314" t="s">
        <v>1670</v>
      </c>
    </row>
    <row r="315" spans="1:18" x14ac:dyDescent="0.35">
      <c r="A315" t="s">
        <v>648</v>
      </c>
      <c r="B315" s="19">
        <v>46004</v>
      </c>
      <c r="C315" t="s">
        <v>649</v>
      </c>
      <c r="D315" t="s">
        <v>197</v>
      </c>
      <c r="E315" t="s">
        <v>588</v>
      </c>
      <c r="F315" t="s">
        <v>17</v>
      </c>
      <c r="G315">
        <v>0.69791666666666663</v>
      </c>
      <c r="H315">
        <v>0.69513888888888886</v>
      </c>
      <c r="I315">
        <v>-14</v>
      </c>
      <c r="J315" t="s">
        <v>18</v>
      </c>
      <c r="K315" t="s">
        <v>19</v>
      </c>
      <c r="L315">
        <v>1389</v>
      </c>
      <c r="M315">
        <v>-4</v>
      </c>
      <c r="N315" t="s">
        <v>1673</v>
      </c>
      <c r="O315" t="s">
        <v>1667</v>
      </c>
      <c r="P315">
        <v>1</v>
      </c>
      <c r="Q315" t="s">
        <v>1663</v>
      </c>
    </row>
    <row r="316" spans="1:18" x14ac:dyDescent="0.35">
      <c r="A316" t="s">
        <v>650</v>
      </c>
      <c r="B316" s="19">
        <v>46006</v>
      </c>
      <c r="C316" t="s">
        <v>651</v>
      </c>
      <c r="D316" t="s">
        <v>1171</v>
      </c>
      <c r="E316" t="s">
        <v>226</v>
      </c>
      <c r="F316" t="s">
        <v>17</v>
      </c>
      <c r="G316">
        <v>0.25347222222222221</v>
      </c>
      <c r="H316">
        <v>0.25624999999999998</v>
      </c>
      <c r="I316">
        <v>0</v>
      </c>
      <c r="J316" t="s">
        <v>18</v>
      </c>
      <c r="K316" t="s">
        <v>19</v>
      </c>
      <c r="L316">
        <v>602</v>
      </c>
      <c r="M316">
        <v>4</v>
      </c>
      <c r="N316" t="s">
        <v>1673</v>
      </c>
      <c r="O316" t="s">
        <v>1659</v>
      </c>
      <c r="P316">
        <v>1</v>
      </c>
      <c r="Q316" t="s">
        <v>1660</v>
      </c>
    </row>
    <row r="317" spans="1:18" x14ac:dyDescent="0.35">
      <c r="A317" t="s">
        <v>652</v>
      </c>
      <c r="B317" s="19">
        <v>46006</v>
      </c>
      <c r="C317" t="s">
        <v>596</v>
      </c>
      <c r="D317" t="s">
        <v>71</v>
      </c>
      <c r="E317" t="s">
        <v>202</v>
      </c>
      <c r="F317" t="s">
        <v>24</v>
      </c>
      <c r="G317">
        <v>0.70833333333333337</v>
      </c>
      <c r="H317">
        <v>0.75416666666666665</v>
      </c>
      <c r="I317">
        <v>64</v>
      </c>
      <c r="J317" t="s">
        <v>54</v>
      </c>
      <c r="K317" t="s">
        <v>19</v>
      </c>
      <c r="L317">
        <v>1199</v>
      </c>
      <c r="M317">
        <v>66</v>
      </c>
      <c r="N317" t="s">
        <v>1673</v>
      </c>
      <c r="O317" t="s">
        <v>1659</v>
      </c>
      <c r="P317">
        <v>0</v>
      </c>
      <c r="Q317" t="s">
        <v>1665</v>
      </c>
      <c r="R317" t="s">
        <v>1657</v>
      </c>
    </row>
    <row r="318" spans="1:18" x14ac:dyDescent="0.35">
      <c r="A318" t="s">
        <v>653</v>
      </c>
      <c r="B318" s="19">
        <v>46008</v>
      </c>
      <c r="C318" t="s">
        <v>654</v>
      </c>
      <c r="D318" t="s">
        <v>588</v>
      </c>
      <c r="E318" t="s">
        <v>413</v>
      </c>
      <c r="F318" t="s">
        <v>38</v>
      </c>
      <c r="G318">
        <v>0.35416666666666669</v>
      </c>
      <c r="H318">
        <v>0.35902777777777778</v>
      </c>
      <c r="I318">
        <v>3</v>
      </c>
      <c r="J318" t="s">
        <v>18</v>
      </c>
      <c r="K318" t="s">
        <v>19</v>
      </c>
      <c r="L318">
        <v>1232</v>
      </c>
      <c r="M318">
        <v>7</v>
      </c>
      <c r="N318" t="s">
        <v>1673</v>
      </c>
      <c r="O318" t="s">
        <v>1662</v>
      </c>
      <c r="P318">
        <v>1</v>
      </c>
      <c r="Q318" t="s">
        <v>1660</v>
      </c>
    </row>
    <row r="319" spans="1:18" x14ac:dyDescent="0.35">
      <c r="A319" t="s">
        <v>655</v>
      </c>
      <c r="B319" s="19">
        <v>46008</v>
      </c>
      <c r="C319" t="s">
        <v>656</v>
      </c>
      <c r="D319" t="s">
        <v>79</v>
      </c>
      <c r="E319" t="s">
        <v>1549</v>
      </c>
      <c r="F319" t="s">
        <v>17</v>
      </c>
      <c r="G319">
        <v>0.48958333333333331</v>
      </c>
      <c r="H319">
        <v>0.4861111111111111</v>
      </c>
      <c r="I319">
        <v>-9</v>
      </c>
      <c r="J319" t="s">
        <v>18</v>
      </c>
      <c r="K319" t="s">
        <v>19</v>
      </c>
      <c r="L319">
        <v>945</v>
      </c>
      <c r="M319">
        <v>-5</v>
      </c>
      <c r="N319" t="s">
        <v>1673</v>
      </c>
      <c r="O319" t="s">
        <v>1662</v>
      </c>
      <c r="P319">
        <v>1</v>
      </c>
      <c r="Q319" t="s">
        <v>1660</v>
      </c>
    </row>
    <row r="320" spans="1:18" x14ac:dyDescent="0.35">
      <c r="A320" t="s">
        <v>657</v>
      </c>
      <c r="B320" s="19">
        <v>46008</v>
      </c>
      <c r="C320" t="s">
        <v>658</v>
      </c>
      <c r="D320" t="s">
        <v>588</v>
      </c>
      <c r="E320" t="s">
        <v>226</v>
      </c>
      <c r="F320" t="s">
        <v>28</v>
      </c>
      <c r="G320">
        <v>0.61111111111111116</v>
      </c>
      <c r="H320">
        <v>0.61736111111111114</v>
      </c>
      <c r="I320">
        <v>9</v>
      </c>
      <c r="J320" t="s">
        <v>18</v>
      </c>
      <c r="K320" t="s">
        <v>19</v>
      </c>
      <c r="L320">
        <v>641</v>
      </c>
      <c r="M320">
        <v>9</v>
      </c>
      <c r="N320" t="s">
        <v>1673</v>
      </c>
      <c r="O320" t="s">
        <v>1662</v>
      </c>
      <c r="P320">
        <v>1</v>
      </c>
      <c r="Q320" t="s">
        <v>1663</v>
      </c>
    </row>
    <row r="321" spans="1:18" x14ac:dyDescent="0.35">
      <c r="A321" t="s">
        <v>659</v>
      </c>
      <c r="B321" s="19">
        <v>46009</v>
      </c>
      <c r="C321" t="s">
        <v>342</v>
      </c>
      <c r="D321" t="s">
        <v>588</v>
      </c>
      <c r="E321" t="s">
        <v>84</v>
      </c>
      <c r="F321" t="s">
        <v>24</v>
      </c>
      <c r="G321">
        <v>0.35069444444444442</v>
      </c>
      <c r="I321">
        <v>0</v>
      </c>
      <c r="J321" t="s">
        <v>18</v>
      </c>
      <c r="K321" t="s">
        <v>19</v>
      </c>
      <c r="L321">
        <v>1658</v>
      </c>
      <c r="M321">
        <v>0</v>
      </c>
      <c r="N321" t="s">
        <v>1673</v>
      </c>
      <c r="O321" t="s">
        <v>1664</v>
      </c>
      <c r="P321">
        <v>1</v>
      </c>
      <c r="Q321" t="s">
        <v>1660</v>
      </c>
    </row>
    <row r="322" spans="1:18" x14ac:dyDescent="0.35">
      <c r="A322" t="s">
        <v>660</v>
      </c>
      <c r="B322" s="19">
        <v>46009</v>
      </c>
      <c r="C322" t="s">
        <v>641</v>
      </c>
      <c r="D322" t="s">
        <v>202</v>
      </c>
      <c r="E322" t="s">
        <v>197</v>
      </c>
      <c r="F322" t="s">
        <v>17</v>
      </c>
      <c r="G322">
        <v>0.48958333333333331</v>
      </c>
      <c r="H322">
        <v>0.49027777777777781</v>
      </c>
      <c r="I322">
        <v>-8</v>
      </c>
      <c r="J322" t="s">
        <v>18</v>
      </c>
      <c r="K322" t="s">
        <v>19</v>
      </c>
      <c r="L322">
        <v>1092</v>
      </c>
      <c r="M322">
        <v>1</v>
      </c>
      <c r="N322" t="s">
        <v>1673</v>
      </c>
      <c r="O322" t="s">
        <v>1664</v>
      </c>
      <c r="P322">
        <v>1</v>
      </c>
      <c r="Q322" t="s">
        <v>1660</v>
      </c>
    </row>
    <row r="323" spans="1:18" x14ac:dyDescent="0.35">
      <c r="A323" t="s">
        <v>661</v>
      </c>
      <c r="B323" s="19">
        <v>46009</v>
      </c>
      <c r="C323" t="s">
        <v>575</v>
      </c>
      <c r="D323" t="s">
        <v>1171</v>
      </c>
      <c r="E323" t="s">
        <v>71</v>
      </c>
      <c r="F323" t="s">
        <v>17</v>
      </c>
      <c r="G323">
        <v>0.59027777777777779</v>
      </c>
      <c r="H323">
        <v>0.58888888888888891</v>
      </c>
      <c r="I323">
        <v>-3</v>
      </c>
      <c r="J323" t="s">
        <v>18</v>
      </c>
      <c r="K323" t="s">
        <v>19</v>
      </c>
      <c r="L323">
        <v>1438</v>
      </c>
      <c r="M323">
        <v>-2</v>
      </c>
      <c r="N323" t="s">
        <v>1673</v>
      </c>
      <c r="O323" t="s">
        <v>1664</v>
      </c>
      <c r="P323">
        <v>1</v>
      </c>
      <c r="Q323" t="s">
        <v>1663</v>
      </c>
    </row>
    <row r="324" spans="1:18" x14ac:dyDescent="0.35">
      <c r="A324" t="s">
        <v>662</v>
      </c>
      <c r="B324" s="19">
        <v>46009</v>
      </c>
      <c r="C324" t="s">
        <v>663</v>
      </c>
      <c r="D324" t="s">
        <v>588</v>
      </c>
      <c r="E324" t="s">
        <v>79</v>
      </c>
      <c r="F324" t="s">
        <v>38</v>
      </c>
      <c r="G324">
        <v>0.72222222222222221</v>
      </c>
      <c r="H324">
        <v>0.72777777777777775</v>
      </c>
      <c r="I324">
        <v>7</v>
      </c>
      <c r="J324" t="s">
        <v>18</v>
      </c>
      <c r="K324" t="s">
        <v>19</v>
      </c>
      <c r="L324">
        <v>730</v>
      </c>
      <c r="M324">
        <v>8</v>
      </c>
      <c r="N324" t="s">
        <v>1673</v>
      </c>
      <c r="O324" t="s">
        <v>1664</v>
      </c>
      <c r="P324">
        <v>1</v>
      </c>
      <c r="Q324" t="s">
        <v>1665</v>
      </c>
    </row>
    <row r="325" spans="1:18" x14ac:dyDescent="0.35">
      <c r="A325" t="s">
        <v>664</v>
      </c>
      <c r="B325" s="19">
        <v>46009</v>
      </c>
      <c r="C325" t="s">
        <v>665</v>
      </c>
      <c r="D325" t="s">
        <v>1549</v>
      </c>
      <c r="E325" t="s">
        <v>84</v>
      </c>
      <c r="F325" t="s">
        <v>24</v>
      </c>
      <c r="G325">
        <v>0.80208333333333337</v>
      </c>
      <c r="H325">
        <v>0.80208333333333337</v>
      </c>
      <c r="I325">
        <v>10</v>
      </c>
      <c r="J325" t="s">
        <v>18</v>
      </c>
      <c r="K325" t="s">
        <v>19</v>
      </c>
      <c r="L325">
        <v>2489</v>
      </c>
      <c r="M325">
        <v>0</v>
      </c>
      <c r="N325" t="s">
        <v>1673</v>
      </c>
      <c r="O325" t="s">
        <v>1664</v>
      </c>
      <c r="P325">
        <v>1</v>
      </c>
      <c r="Q325" t="s">
        <v>1665</v>
      </c>
    </row>
    <row r="326" spans="1:18" x14ac:dyDescent="0.35">
      <c r="A326" t="s">
        <v>667</v>
      </c>
      <c r="B326" s="19">
        <v>46010</v>
      </c>
      <c r="C326" t="s">
        <v>668</v>
      </c>
      <c r="D326" t="s">
        <v>226</v>
      </c>
      <c r="E326" t="s">
        <v>197</v>
      </c>
      <c r="F326" t="s">
        <v>24</v>
      </c>
      <c r="G326">
        <v>0.53472222222222221</v>
      </c>
      <c r="H326">
        <v>0.53472222222222221</v>
      </c>
      <c r="I326">
        <v>3</v>
      </c>
      <c r="J326" t="s">
        <v>18</v>
      </c>
      <c r="K326" t="s">
        <v>19</v>
      </c>
      <c r="L326">
        <v>1622</v>
      </c>
      <c r="M326">
        <v>0</v>
      </c>
      <c r="N326" t="s">
        <v>1673</v>
      </c>
      <c r="O326" t="s">
        <v>1666</v>
      </c>
      <c r="P326">
        <v>1</v>
      </c>
      <c r="Q326" t="s">
        <v>1663</v>
      </c>
    </row>
    <row r="327" spans="1:18" x14ac:dyDescent="0.35">
      <c r="A327" t="s">
        <v>669</v>
      </c>
      <c r="B327" s="19">
        <v>46010</v>
      </c>
      <c r="C327" t="s">
        <v>670</v>
      </c>
      <c r="D327" t="s">
        <v>79</v>
      </c>
      <c r="E327" t="s">
        <v>202</v>
      </c>
      <c r="F327" t="s">
        <v>38</v>
      </c>
      <c r="G327">
        <v>0.61805555555555558</v>
      </c>
      <c r="H327">
        <v>0.61875000000000002</v>
      </c>
      <c r="I327">
        <v>-2</v>
      </c>
      <c r="J327" t="s">
        <v>18</v>
      </c>
      <c r="K327" t="s">
        <v>19</v>
      </c>
      <c r="L327">
        <v>596</v>
      </c>
      <c r="M327">
        <v>1</v>
      </c>
      <c r="N327" t="s">
        <v>1673</v>
      </c>
      <c r="O327" t="s">
        <v>1666</v>
      </c>
      <c r="P327">
        <v>1</v>
      </c>
      <c r="Q327" t="s">
        <v>1663</v>
      </c>
    </row>
    <row r="328" spans="1:18" x14ac:dyDescent="0.35">
      <c r="A328" t="s">
        <v>671</v>
      </c>
      <c r="B328" s="19">
        <v>46010</v>
      </c>
      <c r="C328" t="s">
        <v>672</v>
      </c>
      <c r="D328" t="s">
        <v>226</v>
      </c>
      <c r="E328" t="s">
        <v>71</v>
      </c>
      <c r="F328" t="s">
        <v>24</v>
      </c>
      <c r="G328">
        <v>0.75</v>
      </c>
      <c r="H328">
        <v>0.74513888888888891</v>
      </c>
      <c r="I328">
        <v>-14</v>
      </c>
      <c r="J328" t="s">
        <v>18</v>
      </c>
      <c r="K328" t="s">
        <v>19</v>
      </c>
      <c r="L328">
        <v>886</v>
      </c>
      <c r="M328">
        <v>-7</v>
      </c>
      <c r="N328" t="s">
        <v>1673</v>
      </c>
      <c r="O328" t="s">
        <v>1666</v>
      </c>
      <c r="P328">
        <v>1</v>
      </c>
      <c r="Q328" t="s">
        <v>1665</v>
      </c>
    </row>
    <row r="329" spans="1:18" x14ac:dyDescent="0.35">
      <c r="A329" t="s">
        <v>673</v>
      </c>
      <c r="B329" s="19">
        <v>46010</v>
      </c>
      <c r="C329" t="s">
        <v>196</v>
      </c>
      <c r="D329" t="s">
        <v>588</v>
      </c>
      <c r="E329" t="s">
        <v>226</v>
      </c>
      <c r="F329" t="s">
        <v>17</v>
      </c>
      <c r="G329">
        <v>0.83333333333333337</v>
      </c>
      <c r="H329">
        <v>0.83888888888888891</v>
      </c>
      <c r="I329">
        <v>10</v>
      </c>
      <c r="J329" t="s">
        <v>18</v>
      </c>
      <c r="K329" t="s">
        <v>19</v>
      </c>
      <c r="M329">
        <v>8</v>
      </c>
      <c r="N329" t="s">
        <v>1673</v>
      </c>
      <c r="O329" t="s">
        <v>1666</v>
      </c>
      <c r="P329">
        <v>1</v>
      </c>
      <c r="Q329" t="s">
        <v>1665</v>
      </c>
    </row>
    <row r="330" spans="1:18" x14ac:dyDescent="0.35">
      <c r="A330" t="s">
        <v>674</v>
      </c>
      <c r="B330" s="19">
        <v>46011</v>
      </c>
      <c r="C330" t="s">
        <v>675</v>
      </c>
      <c r="D330" t="s">
        <v>202</v>
      </c>
      <c r="E330" t="s">
        <v>197</v>
      </c>
      <c r="F330" t="s">
        <v>17</v>
      </c>
      <c r="G330">
        <v>0.63541666666666663</v>
      </c>
      <c r="H330">
        <v>0.63263888888888886</v>
      </c>
      <c r="I330">
        <v>6</v>
      </c>
      <c r="J330" t="s">
        <v>18</v>
      </c>
      <c r="K330" t="s">
        <v>19</v>
      </c>
      <c r="L330">
        <v>1092</v>
      </c>
      <c r="M330">
        <v>-4</v>
      </c>
      <c r="N330" t="s">
        <v>1673</v>
      </c>
      <c r="O330" t="s">
        <v>1667</v>
      </c>
      <c r="P330">
        <v>1</v>
      </c>
      <c r="Q330" t="s">
        <v>1663</v>
      </c>
    </row>
    <row r="331" spans="1:18" x14ac:dyDescent="0.35">
      <c r="A331" t="s">
        <v>676</v>
      </c>
      <c r="B331" s="19">
        <v>46011</v>
      </c>
      <c r="C331" t="s">
        <v>677</v>
      </c>
      <c r="D331" t="s">
        <v>71</v>
      </c>
      <c r="E331" t="s">
        <v>1171</v>
      </c>
      <c r="F331" t="s">
        <v>24</v>
      </c>
      <c r="G331">
        <v>0.63541666666666663</v>
      </c>
      <c r="H331">
        <v>0.64236111111111116</v>
      </c>
      <c r="I331">
        <v>-1</v>
      </c>
      <c r="J331" t="s">
        <v>18</v>
      </c>
      <c r="K331" t="s">
        <v>19</v>
      </c>
      <c r="L331">
        <v>1438</v>
      </c>
      <c r="M331">
        <v>10</v>
      </c>
      <c r="N331" t="s">
        <v>1673</v>
      </c>
      <c r="O331" t="s">
        <v>1667</v>
      </c>
      <c r="P331">
        <v>1</v>
      </c>
      <c r="Q331" t="s">
        <v>1663</v>
      </c>
    </row>
    <row r="332" spans="1:18" x14ac:dyDescent="0.35">
      <c r="A332" t="s">
        <v>678</v>
      </c>
      <c r="B332" s="19">
        <v>46012</v>
      </c>
      <c r="C332" t="s">
        <v>369</v>
      </c>
      <c r="D332" t="s">
        <v>1171</v>
      </c>
      <c r="E332" t="s">
        <v>202</v>
      </c>
      <c r="F332" t="s">
        <v>24</v>
      </c>
      <c r="G332">
        <v>0.52083333333333337</v>
      </c>
      <c r="H332">
        <v>0.54305555555555551</v>
      </c>
      <c r="I332">
        <v>21</v>
      </c>
      <c r="J332" t="s">
        <v>54</v>
      </c>
      <c r="K332" t="s">
        <v>19</v>
      </c>
      <c r="L332">
        <v>1969</v>
      </c>
      <c r="M332">
        <v>32</v>
      </c>
      <c r="N332" t="s">
        <v>1673</v>
      </c>
      <c r="O332" t="s">
        <v>1668</v>
      </c>
      <c r="P332">
        <v>0</v>
      </c>
      <c r="Q332" t="s">
        <v>1663</v>
      </c>
      <c r="R332" t="s">
        <v>1657</v>
      </c>
    </row>
    <row r="333" spans="1:18" x14ac:dyDescent="0.35">
      <c r="A333" t="s">
        <v>679</v>
      </c>
      <c r="B333" s="19">
        <v>46012</v>
      </c>
      <c r="C333" t="s">
        <v>637</v>
      </c>
      <c r="D333" t="s">
        <v>71</v>
      </c>
      <c r="E333" t="s">
        <v>202</v>
      </c>
      <c r="F333" t="s">
        <v>24</v>
      </c>
      <c r="G333">
        <v>0.76736111111111116</v>
      </c>
      <c r="H333">
        <v>0.77222222222222225</v>
      </c>
      <c r="J333" t="s">
        <v>18</v>
      </c>
      <c r="K333" t="s">
        <v>19</v>
      </c>
      <c r="L333">
        <v>1199</v>
      </c>
      <c r="M333">
        <v>7</v>
      </c>
      <c r="N333" t="s">
        <v>1673</v>
      </c>
      <c r="O333" t="s">
        <v>1668</v>
      </c>
      <c r="Q333" t="s">
        <v>1665</v>
      </c>
    </row>
    <row r="334" spans="1:18" x14ac:dyDescent="0.35">
      <c r="A334" t="s">
        <v>680</v>
      </c>
      <c r="B334" s="19">
        <v>46012</v>
      </c>
      <c r="C334" t="s">
        <v>415</v>
      </c>
      <c r="D334" t="s">
        <v>71</v>
      </c>
      <c r="E334" t="s">
        <v>226</v>
      </c>
      <c r="F334" t="s">
        <v>38</v>
      </c>
      <c r="G334">
        <v>0.77083333333333337</v>
      </c>
      <c r="H334">
        <v>0.76944444444444449</v>
      </c>
      <c r="I334">
        <v>-1</v>
      </c>
      <c r="J334" t="s">
        <v>18</v>
      </c>
      <c r="K334" t="s">
        <v>19</v>
      </c>
      <c r="L334">
        <v>886</v>
      </c>
      <c r="M334">
        <v>-2</v>
      </c>
      <c r="N334" t="s">
        <v>1673</v>
      </c>
      <c r="O334" t="s">
        <v>1668</v>
      </c>
      <c r="P334">
        <v>1</v>
      </c>
      <c r="Q334" t="s">
        <v>1665</v>
      </c>
    </row>
    <row r="335" spans="1:18" x14ac:dyDescent="0.35">
      <c r="A335" t="s">
        <v>681</v>
      </c>
      <c r="B335" s="19">
        <v>46013</v>
      </c>
      <c r="C335" t="s">
        <v>682</v>
      </c>
      <c r="D335" t="s">
        <v>197</v>
      </c>
      <c r="E335" t="s">
        <v>79</v>
      </c>
      <c r="F335" t="s">
        <v>24</v>
      </c>
      <c r="G335">
        <v>0.5625</v>
      </c>
      <c r="H335">
        <v>0.57499999999999996</v>
      </c>
      <c r="I335">
        <v>10</v>
      </c>
      <c r="J335" t="s">
        <v>477</v>
      </c>
      <c r="K335" t="s">
        <v>19</v>
      </c>
      <c r="L335">
        <v>759</v>
      </c>
      <c r="M335">
        <v>18</v>
      </c>
      <c r="N335" t="s">
        <v>1673</v>
      </c>
      <c r="O335" t="s">
        <v>1659</v>
      </c>
      <c r="P335">
        <v>1</v>
      </c>
      <c r="Q335" t="s">
        <v>1663</v>
      </c>
      <c r="R335" t="s">
        <v>1670</v>
      </c>
    </row>
    <row r="336" spans="1:18" x14ac:dyDescent="0.35">
      <c r="A336" t="s">
        <v>683</v>
      </c>
      <c r="B336" s="19">
        <v>46013</v>
      </c>
      <c r="C336" t="s">
        <v>684</v>
      </c>
      <c r="D336" t="s">
        <v>84</v>
      </c>
      <c r="E336" t="s">
        <v>588</v>
      </c>
      <c r="F336" t="s">
        <v>17</v>
      </c>
      <c r="G336">
        <v>0.61805555555555558</v>
      </c>
      <c r="H336">
        <v>0.65902777777777777</v>
      </c>
      <c r="I336">
        <v>49</v>
      </c>
      <c r="J336" t="s">
        <v>129</v>
      </c>
      <c r="K336" t="s">
        <v>19</v>
      </c>
      <c r="L336">
        <v>1658</v>
      </c>
      <c r="M336">
        <v>59</v>
      </c>
      <c r="N336" t="s">
        <v>1673</v>
      </c>
      <c r="O336" t="s">
        <v>1659</v>
      </c>
      <c r="P336">
        <v>0</v>
      </c>
      <c r="Q336" t="s">
        <v>1663</v>
      </c>
      <c r="R336" t="s">
        <v>1670</v>
      </c>
    </row>
    <row r="337" spans="1:18" x14ac:dyDescent="0.35">
      <c r="A337" t="s">
        <v>685</v>
      </c>
      <c r="B337" s="19">
        <v>46013</v>
      </c>
      <c r="C337" t="s">
        <v>686</v>
      </c>
      <c r="D337" t="s">
        <v>71</v>
      </c>
      <c r="E337" t="s">
        <v>226</v>
      </c>
      <c r="F337" t="s">
        <v>24</v>
      </c>
      <c r="G337">
        <v>0.68402777777777779</v>
      </c>
      <c r="H337">
        <v>0.68333333333333335</v>
      </c>
      <c r="I337">
        <v>-11</v>
      </c>
      <c r="J337" t="s">
        <v>18</v>
      </c>
      <c r="K337" t="s">
        <v>19</v>
      </c>
      <c r="L337">
        <v>886</v>
      </c>
      <c r="M337">
        <v>-1</v>
      </c>
      <c r="N337" t="s">
        <v>1673</v>
      </c>
      <c r="O337" t="s">
        <v>1659</v>
      </c>
      <c r="P337">
        <v>1</v>
      </c>
      <c r="Q337" t="s">
        <v>1663</v>
      </c>
    </row>
    <row r="338" spans="1:18" x14ac:dyDescent="0.35">
      <c r="A338" t="s">
        <v>687</v>
      </c>
      <c r="B338" s="19">
        <v>46013</v>
      </c>
      <c r="C338" t="s">
        <v>688</v>
      </c>
      <c r="D338" t="s">
        <v>79</v>
      </c>
      <c r="E338" t="s">
        <v>588</v>
      </c>
      <c r="F338" t="s">
        <v>17</v>
      </c>
      <c r="G338">
        <v>0.69444444444444442</v>
      </c>
      <c r="H338">
        <v>0.68888888888888888</v>
      </c>
      <c r="I338">
        <v>-4</v>
      </c>
      <c r="J338" t="s">
        <v>18</v>
      </c>
      <c r="K338" t="s">
        <v>19</v>
      </c>
      <c r="L338">
        <v>730</v>
      </c>
      <c r="M338">
        <v>-8</v>
      </c>
      <c r="N338" t="s">
        <v>1673</v>
      </c>
      <c r="O338" t="s">
        <v>1659</v>
      </c>
      <c r="P338">
        <v>1</v>
      </c>
      <c r="Q338" t="s">
        <v>1663</v>
      </c>
    </row>
    <row r="339" spans="1:18" x14ac:dyDescent="0.35">
      <c r="A339" t="s">
        <v>689</v>
      </c>
      <c r="B339" s="19">
        <v>46014</v>
      </c>
      <c r="C339" t="s">
        <v>559</v>
      </c>
      <c r="D339" t="s">
        <v>79</v>
      </c>
      <c r="E339" t="s">
        <v>413</v>
      </c>
      <c r="F339" t="s">
        <v>17</v>
      </c>
      <c r="G339">
        <v>0.27777777777777779</v>
      </c>
      <c r="H339">
        <v>0.28402777777777782</v>
      </c>
      <c r="I339">
        <v>4</v>
      </c>
      <c r="J339" t="s">
        <v>18</v>
      </c>
      <c r="K339" t="s">
        <v>19</v>
      </c>
      <c r="L339">
        <v>1942</v>
      </c>
      <c r="M339">
        <v>9</v>
      </c>
      <c r="N339" t="s">
        <v>1673</v>
      </c>
      <c r="O339" t="s">
        <v>1661</v>
      </c>
      <c r="P339">
        <v>1</v>
      </c>
      <c r="Q339" t="s">
        <v>1660</v>
      </c>
    </row>
    <row r="340" spans="1:18" x14ac:dyDescent="0.35">
      <c r="A340" t="s">
        <v>690</v>
      </c>
      <c r="B340" s="19">
        <v>46014</v>
      </c>
      <c r="C340" t="s">
        <v>476</v>
      </c>
      <c r="D340" t="s">
        <v>71</v>
      </c>
      <c r="E340" t="s">
        <v>197</v>
      </c>
      <c r="F340" t="s">
        <v>24</v>
      </c>
      <c r="G340">
        <v>0.44444444444444442</v>
      </c>
      <c r="H340">
        <v>0.47222222222222221</v>
      </c>
      <c r="I340">
        <v>29</v>
      </c>
      <c r="J340" t="s">
        <v>60</v>
      </c>
      <c r="K340" t="s">
        <v>19</v>
      </c>
      <c r="L340">
        <v>738</v>
      </c>
      <c r="M340">
        <v>40</v>
      </c>
      <c r="N340" t="s">
        <v>1673</v>
      </c>
      <c r="O340" t="s">
        <v>1661</v>
      </c>
      <c r="P340">
        <v>0</v>
      </c>
      <c r="Q340" t="s">
        <v>1660</v>
      </c>
      <c r="R340" t="s">
        <v>1657</v>
      </c>
    </row>
    <row r="341" spans="1:18" x14ac:dyDescent="0.35">
      <c r="A341" t="s">
        <v>691</v>
      </c>
      <c r="B341" s="19">
        <v>46014</v>
      </c>
      <c r="C341" t="s">
        <v>692</v>
      </c>
      <c r="D341" t="s">
        <v>226</v>
      </c>
      <c r="E341" t="s">
        <v>1549</v>
      </c>
      <c r="F341" t="s">
        <v>24</v>
      </c>
      <c r="G341">
        <v>0.79861111111111116</v>
      </c>
      <c r="H341">
        <v>0.82152777777777775</v>
      </c>
      <c r="I341">
        <v>19</v>
      </c>
      <c r="J341" t="s">
        <v>319</v>
      </c>
      <c r="K341" t="s">
        <v>19</v>
      </c>
      <c r="L341">
        <v>1749</v>
      </c>
      <c r="M341">
        <v>33</v>
      </c>
      <c r="N341" t="s">
        <v>1673</v>
      </c>
      <c r="O341" t="s">
        <v>1661</v>
      </c>
      <c r="P341">
        <v>0</v>
      </c>
      <c r="Q341" t="s">
        <v>1665</v>
      </c>
      <c r="R341" t="s">
        <v>1670</v>
      </c>
    </row>
    <row r="342" spans="1:18" x14ac:dyDescent="0.35">
      <c r="A342" t="s">
        <v>693</v>
      </c>
      <c r="B342" s="19">
        <v>46015</v>
      </c>
      <c r="C342" t="s">
        <v>694</v>
      </c>
      <c r="D342" t="s">
        <v>84</v>
      </c>
      <c r="E342" t="s">
        <v>202</v>
      </c>
      <c r="F342" t="s">
        <v>17</v>
      </c>
      <c r="G342">
        <v>0.75</v>
      </c>
      <c r="H342">
        <v>0.75138888888888888</v>
      </c>
      <c r="I342">
        <v>1</v>
      </c>
      <c r="J342" t="s">
        <v>18</v>
      </c>
      <c r="K342" t="s">
        <v>19</v>
      </c>
      <c r="L342">
        <v>2722</v>
      </c>
      <c r="M342">
        <v>2</v>
      </c>
      <c r="N342" t="s">
        <v>1673</v>
      </c>
      <c r="O342" t="s">
        <v>1662</v>
      </c>
      <c r="P342">
        <v>1</v>
      </c>
      <c r="Q342" t="s">
        <v>1665</v>
      </c>
    </row>
    <row r="343" spans="1:18" x14ac:dyDescent="0.35">
      <c r="A343" t="s">
        <v>696</v>
      </c>
      <c r="B343" s="19">
        <v>46016</v>
      </c>
      <c r="C343" t="s">
        <v>697</v>
      </c>
      <c r="D343" t="s">
        <v>588</v>
      </c>
      <c r="E343" t="s">
        <v>71</v>
      </c>
      <c r="F343" t="s">
        <v>17</v>
      </c>
      <c r="G343">
        <v>0.76388888888888884</v>
      </c>
      <c r="H343">
        <v>0.75902777777777775</v>
      </c>
      <c r="J343" t="s">
        <v>18</v>
      </c>
      <c r="K343" t="s">
        <v>19</v>
      </c>
      <c r="L343">
        <v>802</v>
      </c>
      <c r="M343">
        <v>-7</v>
      </c>
      <c r="N343" t="s">
        <v>1673</v>
      </c>
      <c r="O343" t="s">
        <v>1664</v>
      </c>
      <c r="Q343" t="s">
        <v>1665</v>
      </c>
    </row>
    <row r="344" spans="1:18" x14ac:dyDescent="0.35">
      <c r="A344" t="s">
        <v>698</v>
      </c>
      <c r="B344" s="19">
        <v>46016</v>
      </c>
      <c r="C344" t="s">
        <v>699</v>
      </c>
      <c r="D344" t="s">
        <v>84</v>
      </c>
      <c r="E344" t="s">
        <v>202</v>
      </c>
      <c r="F344" t="s">
        <v>38</v>
      </c>
      <c r="G344">
        <v>0.79513888888888884</v>
      </c>
      <c r="H344">
        <v>0.7993055555555556</v>
      </c>
      <c r="I344">
        <v>-4</v>
      </c>
      <c r="J344" t="s">
        <v>18</v>
      </c>
      <c r="K344" t="s">
        <v>19</v>
      </c>
      <c r="L344">
        <v>2722</v>
      </c>
      <c r="M344">
        <v>6</v>
      </c>
      <c r="N344" t="s">
        <v>1673</v>
      </c>
      <c r="O344" t="s">
        <v>1664</v>
      </c>
      <c r="P344">
        <v>1</v>
      </c>
      <c r="Q344" t="s">
        <v>1665</v>
      </c>
    </row>
    <row r="345" spans="1:18" x14ac:dyDescent="0.35">
      <c r="A345" t="s">
        <v>700</v>
      </c>
      <c r="B345" s="19">
        <v>46017</v>
      </c>
      <c r="C345" t="s">
        <v>454</v>
      </c>
      <c r="D345" t="s">
        <v>71</v>
      </c>
      <c r="E345" t="s">
        <v>1295</v>
      </c>
      <c r="F345" t="s">
        <v>28</v>
      </c>
      <c r="G345">
        <v>0.25</v>
      </c>
      <c r="H345">
        <v>0.25555555555555548</v>
      </c>
      <c r="I345">
        <v>6</v>
      </c>
      <c r="J345" t="s">
        <v>18</v>
      </c>
      <c r="K345" t="s">
        <v>19</v>
      </c>
      <c r="L345">
        <v>1842</v>
      </c>
      <c r="M345">
        <v>8</v>
      </c>
      <c r="N345" t="s">
        <v>1673</v>
      </c>
      <c r="O345" t="s">
        <v>1666</v>
      </c>
      <c r="P345">
        <v>1</v>
      </c>
      <c r="Q345" t="s">
        <v>1660</v>
      </c>
    </row>
    <row r="346" spans="1:18" x14ac:dyDescent="0.35">
      <c r="A346" t="s">
        <v>701</v>
      </c>
      <c r="B346" s="19">
        <v>46017</v>
      </c>
      <c r="C346" t="s">
        <v>702</v>
      </c>
      <c r="D346" t="s">
        <v>588</v>
      </c>
      <c r="E346" t="s">
        <v>202</v>
      </c>
      <c r="F346" t="s">
        <v>17</v>
      </c>
      <c r="G346">
        <v>0.50347222222222221</v>
      </c>
      <c r="H346">
        <v>0.50069444444444444</v>
      </c>
      <c r="I346">
        <v>0</v>
      </c>
      <c r="J346" t="s">
        <v>18</v>
      </c>
      <c r="K346" t="s">
        <v>19</v>
      </c>
      <c r="L346">
        <v>1120</v>
      </c>
      <c r="M346">
        <v>-4</v>
      </c>
      <c r="N346" t="s">
        <v>1673</v>
      </c>
      <c r="O346" t="s">
        <v>1666</v>
      </c>
      <c r="P346">
        <v>1</v>
      </c>
      <c r="Q346" t="s">
        <v>1663</v>
      </c>
    </row>
    <row r="347" spans="1:18" x14ac:dyDescent="0.35">
      <c r="A347" t="s">
        <v>703</v>
      </c>
      <c r="B347" s="19">
        <v>46017</v>
      </c>
      <c r="C347" t="s">
        <v>404</v>
      </c>
      <c r="D347" t="s">
        <v>413</v>
      </c>
      <c r="E347" t="s">
        <v>1549</v>
      </c>
      <c r="F347" t="s">
        <v>17</v>
      </c>
      <c r="G347">
        <v>0.55555555555555558</v>
      </c>
      <c r="H347">
        <v>0.5625</v>
      </c>
      <c r="I347">
        <v>4</v>
      </c>
      <c r="J347" t="s">
        <v>18</v>
      </c>
      <c r="K347" t="s">
        <v>19</v>
      </c>
      <c r="L347">
        <v>2606</v>
      </c>
      <c r="M347">
        <v>10</v>
      </c>
      <c r="N347" t="s">
        <v>1673</v>
      </c>
      <c r="O347" t="s">
        <v>1666</v>
      </c>
      <c r="P347">
        <v>1</v>
      </c>
      <c r="Q347" t="s">
        <v>1663</v>
      </c>
    </row>
    <row r="348" spans="1:18" x14ac:dyDescent="0.35">
      <c r="A348" t="s">
        <v>704</v>
      </c>
      <c r="B348" s="19">
        <v>46017</v>
      </c>
      <c r="C348" t="s">
        <v>705</v>
      </c>
      <c r="D348" t="s">
        <v>413</v>
      </c>
      <c r="E348" t="s">
        <v>588</v>
      </c>
      <c r="F348" t="s">
        <v>17</v>
      </c>
      <c r="G348">
        <v>0.60069444444444442</v>
      </c>
      <c r="I348">
        <v>-2</v>
      </c>
      <c r="J348" t="s">
        <v>18</v>
      </c>
      <c r="K348" t="s">
        <v>19</v>
      </c>
      <c r="L348">
        <v>1232</v>
      </c>
      <c r="M348">
        <v>5</v>
      </c>
      <c r="N348" t="s">
        <v>1673</v>
      </c>
      <c r="O348" t="s">
        <v>1666</v>
      </c>
      <c r="P348">
        <v>1</v>
      </c>
      <c r="Q348" t="s">
        <v>1663</v>
      </c>
    </row>
    <row r="349" spans="1:18" x14ac:dyDescent="0.35">
      <c r="A349" t="s">
        <v>706</v>
      </c>
      <c r="B349" s="19">
        <v>46018</v>
      </c>
      <c r="C349" t="s">
        <v>388</v>
      </c>
      <c r="D349" t="s">
        <v>413</v>
      </c>
      <c r="E349" t="s">
        <v>79</v>
      </c>
      <c r="F349" t="s">
        <v>24</v>
      </c>
      <c r="G349">
        <v>0.60416666666666663</v>
      </c>
      <c r="H349">
        <v>0.60277777777777775</v>
      </c>
      <c r="I349">
        <v>2</v>
      </c>
      <c r="J349" t="s">
        <v>18</v>
      </c>
      <c r="K349" t="s">
        <v>19</v>
      </c>
      <c r="L349">
        <v>1942</v>
      </c>
      <c r="M349">
        <v>-2</v>
      </c>
      <c r="N349" t="s">
        <v>1673</v>
      </c>
      <c r="O349" t="s">
        <v>1667</v>
      </c>
      <c r="P349">
        <v>1</v>
      </c>
      <c r="Q349" t="s">
        <v>1663</v>
      </c>
    </row>
    <row r="350" spans="1:18" x14ac:dyDescent="0.35">
      <c r="A350" t="s">
        <v>707</v>
      </c>
      <c r="B350" s="19">
        <v>46019</v>
      </c>
      <c r="C350" t="s">
        <v>155</v>
      </c>
      <c r="D350" t="s">
        <v>79</v>
      </c>
      <c r="E350" t="s">
        <v>588</v>
      </c>
      <c r="F350" t="s">
        <v>24</v>
      </c>
      <c r="G350">
        <v>0.44097222222222221</v>
      </c>
      <c r="H350">
        <v>0.44444444444444442</v>
      </c>
      <c r="I350">
        <v>15</v>
      </c>
      <c r="J350" t="s">
        <v>18</v>
      </c>
      <c r="K350" t="s">
        <v>19</v>
      </c>
      <c r="L350">
        <v>730</v>
      </c>
      <c r="M350">
        <v>5</v>
      </c>
      <c r="N350" t="s">
        <v>1673</v>
      </c>
      <c r="O350" t="s">
        <v>1668</v>
      </c>
      <c r="P350">
        <v>1</v>
      </c>
      <c r="Q350" t="s">
        <v>1660</v>
      </c>
    </row>
    <row r="351" spans="1:18" x14ac:dyDescent="0.35">
      <c r="A351" t="s">
        <v>708</v>
      </c>
      <c r="B351" s="19">
        <v>46020</v>
      </c>
      <c r="C351" t="s">
        <v>241</v>
      </c>
      <c r="D351" t="s">
        <v>202</v>
      </c>
      <c r="E351" t="s">
        <v>84</v>
      </c>
      <c r="F351" t="s">
        <v>28</v>
      </c>
      <c r="G351">
        <v>0.3888888888888889</v>
      </c>
      <c r="H351">
        <v>0.38333333333333341</v>
      </c>
      <c r="I351">
        <v>-9</v>
      </c>
      <c r="J351" t="s">
        <v>18</v>
      </c>
      <c r="K351" t="s">
        <v>19</v>
      </c>
      <c r="L351">
        <v>2722</v>
      </c>
      <c r="M351">
        <v>-8</v>
      </c>
      <c r="N351" t="s">
        <v>1673</v>
      </c>
      <c r="O351" t="s">
        <v>1659</v>
      </c>
      <c r="P351">
        <v>1</v>
      </c>
      <c r="Q351" t="s">
        <v>1660</v>
      </c>
    </row>
    <row r="352" spans="1:18" x14ac:dyDescent="0.35">
      <c r="A352" t="s">
        <v>709</v>
      </c>
      <c r="B352" s="19">
        <v>46020</v>
      </c>
      <c r="C352" t="s">
        <v>710</v>
      </c>
      <c r="D352" t="s">
        <v>202</v>
      </c>
      <c r="E352" t="s">
        <v>226</v>
      </c>
      <c r="F352" t="s">
        <v>38</v>
      </c>
      <c r="G352">
        <v>0.61458333333333337</v>
      </c>
      <c r="H352">
        <v>0.60902777777777772</v>
      </c>
      <c r="I352">
        <v>-11</v>
      </c>
      <c r="J352" t="s">
        <v>18</v>
      </c>
      <c r="K352" t="s">
        <v>19</v>
      </c>
      <c r="L352">
        <v>1708</v>
      </c>
      <c r="M352">
        <v>-8</v>
      </c>
      <c r="N352" t="s">
        <v>1673</v>
      </c>
      <c r="O352" t="s">
        <v>1659</v>
      </c>
      <c r="P352">
        <v>1</v>
      </c>
      <c r="Q352" t="s">
        <v>1663</v>
      </c>
    </row>
    <row r="353" spans="1:18" x14ac:dyDescent="0.35">
      <c r="A353" t="s">
        <v>711</v>
      </c>
      <c r="B353" s="19">
        <v>46020</v>
      </c>
      <c r="C353" t="s">
        <v>712</v>
      </c>
      <c r="D353" t="s">
        <v>413</v>
      </c>
      <c r="E353" t="s">
        <v>588</v>
      </c>
      <c r="F353" t="s">
        <v>28</v>
      </c>
      <c r="G353">
        <v>0.71875</v>
      </c>
      <c r="H353">
        <v>0.72083333333333333</v>
      </c>
      <c r="I353">
        <v>-3</v>
      </c>
      <c r="J353" t="s">
        <v>18</v>
      </c>
      <c r="K353" t="s">
        <v>19</v>
      </c>
      <c r="L353">
        <v>1232</v>
      </c>
      <c r="M353">
        <v>3</v>
      </c>
      <c r="N353" t="s">
        <v>1673</v>
      </c>
      <c r="O353" t="s">
        <v>1659</v>
      </c>
      <c r="P353">
        <v>1</v>
      </c>
      <c r="Q353" t="s">
        <v>1665</v>
      </c>
    </row>
    <row r="354" spans="1:18" x14ac:dyDescent="0.35">
      <c r="A354" t="s">
        <v>713</v>
      </c>
      <c r="B354" s="19">
        <v>46020</v>
      </c>
      <c r="C354" t="s">
        <v>714</v>
      </c>
      <c r="D354" t="s">
        <v>588</v>
      </c>
      <c r="E354" t="s">
        <v>1549</v>
      </c>
      <c r="F354" t="s">
        <v>28</v>
      </c>
      <c r="G354">
        <v>0.82638888888888884</v>
      </c>
      <c r="H354">
        <v>0.82986111111111116</v>
      </c>
      <c r="I354">
        <v>8</v>
      </c>
      <c r="J354" t="s">
        <v>18</v>
      </c>
      <c r="K354" t="s">
        <v>19</v>
      </c>
      <c r="L354">
        <v>1559</v>
      </c>
      <c r="M354">
        <v>5</v>
      </c>
      <c r="N354" t="s">
        <v>1673</v>
      </c>
      <c r="O354" t="s">
        <v>1659</v>
      </c>
      <c r="P354">
        <v>1</v>
      </c>
      <c r="Q354" t="s">
        <v>1665</v>
      </c>
    </row>
    <row r="355" spans="1:18" x14ac:dyDescent="0.35">
      <c r="A355" t="s">
        <v>715</v>
      </c>
      <c r="B355" s="19">
        <v>46021</v>
      </c>
      <c r="C355" t="s">
        <v>716</v>
      </c>
      <c r="D355" t="s">
        <v>197</v>
      </c>
      <c r="E355" t="s">
        <v>588</v>
      </c>
      <c r="F355" t="s">
        <v>28</v>
      </c>
      <c r="G355">
        <v>0.76736111111111116</v>
      </c>
      <c r="H355">
        <v>0.76180555555555551</v>
      </c>
      <c r="I355">
        <v>-1</v>
      </c>
      <c r="J355" t="s">
        <v>18</v>
      </c>
      <c r="K355" t="s">
        <v>19</v>
      </c>
      <c r="L355">
        <v>1389</v>
      </c>
      <c r="M355">
        <v>-8</v>
      </c>
      <c r="N355" t="s">
        <v>1673</v>
      </c>
      <c r="O355" t="s">
        <v>1661</v>
      </c>
      <c r="P355">
        <v>1</v>
      </c>
      <c r="Q355" t="s">
        <v>1665</v>
      </c>
    </row>
    <row r="356" spans="1:18" x14ac:dyDescent="0.35">
      <c r="A356" t="s">
        <v>717</v>
      </c>
      <c r="B356" s="19">
        <v>46021</v>
      </c>
      <c r="C356" t="s">
        <v>243</v>
      </c>
      <c r="D356" t="s">
        <v>588</v>
      </c>
      <c r="E356" t="s">
        <v>413</v>
      </c>
      <c r="F356" t="s">
        <v>17</v>
      </c>
      <c r="G356">
        <v>0.93402777777777779</v>
      </c>
      <c r="H356">
        <v>0.93888888888888888</v>
      </c>
      <c r="I356">
        <v>0</v>
      </c>
      <c r="J356" t="s">
        <v>18</v>
      </c>
      <c r="K356" t="s">
        <v>19</v>
      </c>
      <c r="L356">
        <v>1232</v>
      </c>
      <c r="M356">
        <v>7</v>
      </c>
      <c r="N356" t="s">
        <v>1673</v>
      </c>
      <c r="O356" t="s">
        <v>1661</v>
      </c>
      <c r="P356">
        <v>1</v>
      </c>
      <c r="Q356" t="s">
        <v>1669</v>
      </c>
    </row>
    <row r="357" spans="1:18" x14ac:dyDescent="0.35">
      <c r="A357" t="s">
        <v>718</v>
      </c>
      <c r="B357" s="19">
        <v>46022</v>
      </c>
      <c r="C357" t="s">
        <v>719</v>
      </c>
      <c r="D357" t="s">
        <v>1549</v>
      </c>
      <c r="E357" t="s">
        <v>71</v>
      </c>
      <c r="F357" t="s">
        <v>17</v>
      </c>
      <c r="G357">
        <v>0.39930555555555558</v>
      </c>
      <c r="H357">
        <v>0.40069444444444452</v>
      </c>
      <c r="I357">
        <v>-3</v>
      </c>
      <c r="J357" t="s">
        <v>18</v>
      </c>
      <c r="K357" t="s">
        <v>19</v>
      </c>
      <c r="L357">
        <v>864</v>
      </c>
      <c r="M357">
        <v>2</v>
      </c>
      <c r="N357" t="s">
        <v>1673</v>
      </c>
      <c r="O357" t="s">
        <v>1662</v>
      </c>
      <c r="P357">
        <v>1</v>
      </c>
      <c r="Q357" t="s">
        <v>1660</v>
      </c>
    </row>
    <row r="358" spans="1:18" x14ac:dyDescent="0.35">
      <c r="A358" t="s">
        <v>720</v>
      </c>
      <c r="B358" s="19">
        <v>46022</v>
      </c>
      <c r="C358" t="s">
        <v>721</v>
      </c>
      <c r="D358" t="s">
        <v>226</v>
      </c>
      <c r="E358" t="s">
        <v>588</v>
      </c>
      <c r="F358" t="s">
        <v>38</v>
      </c>
      <c r="G358">
        <v>0.53472222222222221</v>
      </c>
      <c r="H358">
        <v>0.54166666666666663</v>
      </c>
      <c r="I358">
        <v>2</v>
      </c>
      <c r="J358" t="s">
        <v>18</v>
      </c>
      <c r="K358" t="s">
        <v>19</v>
      </c>
      <c r="L358">
        <v>641</v>
      </c>
      <c r="M358">
        <v>10</v>
      </c>
      <c r="N358" t="s">
        <v>1673</v>
      </c>
      <c r="O358" t="s">
        <v>1662</v>
      </c>
      <c r="P358">
        <v>1</v>
      </c>
      <c r="Q358" t="s">
        <v>1663</v>
      </c>
    </row>
    <row r="359" spans="1:18" x14ac:dyDescent="0.35">
      <c r="A359" t="s">
        <v>722</v>
      </c>
      <c r="B359" s="19">
        <v>46023</v>
      </c>
      <c r="C359" t="s">
        <v>723</v>
      </c>
      <c r="D359" t="s">
        <v>588</v>
      </c>
      <c r="E359" t="s">
        <v>71</v>
      </c>
      <c r="F359" t="s">
        <v>17</v>
      </c>
      <c r="G359">
        <v>0.3923611111111111</v>
      </c>
      <c r="H359">
        <v>0.3888888888888889</v>
      </c>
      <c r="I359">
        <v>0</v>
      </c>
      <c r="J359" t="s">
        <v>18</v>
      </c>
      <c r="K359" t="s">
        <v>19</v>
      </c>
      <c r="L359">
        <v>802</v>
      </c>
      <c r="M359">
        <v>-5</v>
      </c>
      <c r="N359" t="s">
        <v>1674</v>
      </c>
      <c r="O359" t="s">
        <v>1664</v>
      </c>
      <c r="P359">
        <v>1</v>
      </c>
      <c r="Q359" t="s">
        <v>1660</v>
      </c>
    </row>
    <row r="360" spans="1:18" x14ac:dyDescent="0.35">
      <c r="A360" t="s">
        <v>724</v>
      </c>
      <c r="B360" s="19">
        <v>46023</v>
      </c>
      <c r="C360" t="s">
        <v>397</v>
      </c>
      <c r="D360" t="s">
        <v>84</v>
      </c>
      <c r="E360" t="s">
        <v>202</v>
      </c>
      <c r="F360" t="s">
        <v>38</v>
      </c>
      <c r="G360">
        <v>0.59375</v>
      </c>
      <c r="H360">
        <v>0.59166666666666667</v>
      </c>
      <c r="I360">
        <v>-6</v>
      </c>
      <c r="J360" t="s">
        <v>18</v>
      </c>
      <c r="K360" t="s">
        <v>19</v>
      </c>
      <c r="L360">
        <v>2722</v>
      </c>
      <c r="M360">
        <v>-3</v>
      </c>
      <c r="N360" t="s">
        <v>1674</v>
      </c>
      <c r="O360" t="s">
        <v>1664</v>
      </c>
      <c r="P360">
        <v>1</v>
      </c>
      <c r="Q360" t="s">
        <v>1663</v>
      </c>
    </row>
    <row r="361" spans="1:18" x14ac:dyDescent="0.35">
      <c r="A361" t="s">
        <v>725</v>
      </c>
      <c r="B361" s="19">
        <v>46024</v>
      </c>
      <c r="C361" t="s">
        <v>726</v>
      </c>
      <c r="D361" t="s">
        <v>413</v>
      </c>
      <c r="E361" t="s">
        <v>1171</v>
      </c>
      <c r="F361" t="s">
        <v>38</v>
      </c>
      <c r="G361">
        <v>0.46875</v>
      </c>
      <c r="H361">
        <v>0.47222222222222221</v>
      </c>
      <c r="I361">
        <v>-6</v>
      </c>
      <c r="J361" t="s">
        <v>18</v>
      </c>
      <c r="K361" t="s">
        <v>19</v>
      </c>
      <c r="L361">
        <v>370</v>
      </c>
      <c r="M361">
        <v>5</v>
      </c>
      <c r="N361" t="s">
        <v>1674</v>
      </c>
      <c r="O361" t="s">
        <v>1666</v>
      </c>
      <c r="P361">
        <v>1</v>
      </c>
      <c r="Q361" t="s">
        <v>1660</v>
      </c>
    </row>
    <row r="362" spans="1:18" x14ac:dyDescent="0.35">
      <c r="A362" t="s">
        <v>727</v>
      </c>
      <c r="B362" s="19">
        <v>46024</v>
      </c>
      <c r="C362" t="s">
        <v>728</v>
      </c>
      <c r="D362" t="s">
        <v>1549</v>
      </c>
      <c r="E362" t="s">
        <v>71</v>
      </c>
      <c r="F362" t="s">
        <v>17</v>
      </c>
      <c r="G362">
        <v>0.50694444444444442</v>
      </c>
      <c r="H362">
        <v>0.50972222222222219</v>
      </c>
      <c r="I362">
        <v>7</v>
      </c>
      <c r="J362" t="s">
        <v>18</v>
      </c>
      <c r="K362" t="s">
        <v>19</v>
      </c>
      <c r="L362">
        <v>864</v>
      </c>
      <c r="M362">
        <v>4</v>
      </c>
      <c r="N362" t="s">
        <v>1674</v>
      </c>
      <c r="O362" t="s">
        <v>1666</v>
      </c>
      <c r="P362">
        <v>1</v>
      </c>
      <c r="Q362" t="s">
        <v>1663</v>
      </c>
    </row>
    <row r="363" spans="1:18" x14ac:dyDescent="0.35">
      <c r="A363" t="s">
        <v>729</v>
      </c>
      <c r="B363" s="19">
        <v>46024</v>
      </c>
      <c r="C363" t="s">
        <v>616</v>
      </c>
      <c r="D363" t="s">
        <v>588</v>
      </c>
      <c r="E363" t="s">
        <v>1295</v>
      </c>
      <c r="F363" t="s">
        <v>38</v>
      </c>
      <c r="G363">
        <v>0.6875</v>
      </c>
      <c r="H363">
        <v>0.69027777777777777</v>
      </c>
      <c r="I363">
        <v>3</v>
      </c>
      <c r="J363" t="s">
        <v>18</v>
      </c>
      <c r="K363" t="s">
        <v>19</v>
      </c>
      <c r="L363">
        <v>1462</v>
      </c>
      <c r="M363">
        <v>4</v>
      </c>
      <c r="N363" t="s">
        <v>1674</v>
      </c>
      <c r="O363" t="s">
        <v>1666</v>
      </c>
      <c r="P363">
        <v>1</v>
      </c>
      <c r="Q363" t="s">
        <v>1663</v>
      </c>
    </row>
    <row r="364" spans="1:18" x14ac:dyDescent="0.35">
      <c r="A364" t="s">
        <v>730</v>
      </c>
      <c r="B364" s="19">
        <v>46024</v>
      </c>
      <c r="C364" t="s">
        <v>62</v>
      </c>
      <c r="D364" t="s">
        <v>413</v>
      </c>
      <c r="E364" t="s">
        <v>546</v>
      </c>
      <c r="F364" t="s">
        <v>38</v>
      </c>
      <c r="G364">
        <v>0.74305555555555558</v>
      </c>
      <c r="H364">
        <v>0.75</v>
      </c>
      <c r="I364">
        <v>10</v>
      </c>
      <c r="J364" t="s">
        <v>18</v>
      </c>
      <c r="K364" t="s">
        <v>19</v>
      </c>
      <c r="L364">
        <v>236</v>
      </c>
      <c r="M364">
        <v>10</v>
      </c>
      <c r="N364" t="s">
        <v>1674</v>
      </c>
      <c r="O364" t="s">
        <v>1666</v>
      </c>
      <c r="P364">
        <v>1</v>
      </c>
      <c r="Q364" t="s">
        <v>1665</v>
      </c>
    </row>
    <row r="365" spans="1:18" x14ac:dyDescent="0.35">
      <c r="A365" t="s">
        <v>731</v>
      </c>
      <c r="B365" s="19">
        <v>46024</v>
      </c>
      <c r="C365" t="s">
        <v>732</v>
      </c>
      <c r="D365" t="s">
        <v>197</v>
      </c>
      <c r="E365" t="s">
        <v>226</v>
      </c>
      <c r="F365" t="s">
        <v>28</v>
      </c>
      <c r="G365">
        <v>0.88541666666666663</v>
      </c>
      <c r="H365">
        <v>0.90208333333333335</v>
      </c>
      <c r="I365">
        <v>25</v>
      </c>
      <c r="J365" t="s">
        <v>54</v>
      </c>
      <c r="K365" t="s">
        <v>19</v>
      </c>
      <c r="L365">
        <v>1622</v>
      </c>
      <c r="M365">
        <v>24</v>
      </c>
      <c r="N365" t="s">
        <v>1674</v>
      </c>
      <c r="O365" t="s">
        <v>1666</v>
      </c>
      <c r="P365">
        <v>0</v>
      </c>
      <c r="Q365" t="s">
        <v>1669</v>
      </c>
      <c r="R365" t="s">
        <v>1657</v>
      </c>
    </row>
    <row r="366" spans="1:18" x14ac:dyDescent="0.35">
      <c r="A366" t="s">
        <v>733</v>
      </c>
      <c r="B366" s="19">
        <v>46025</v>
      </c>
      <c r="C366" t="s">
        <v>734</v>
      </c>
      <c r="D366" t="s">
        <v>413</v>
      </c>
      <c r="E366" t="s">
        <v>202</v>
      </c>
      <c r="F366" t="s">
        <v>28</v>
      </c>
      <c r="G366">
        <v>0.46875</v>
      </c>
      <c r="H366">
        <v>0.47291666666666671</v>
      </c>
      <c r="I366">
        <v>-1</v>
      </c>
      <c r="J366" t="s">
        <v>18</v>
      </c>
      <c r="K366" t="s">
        <v>19</v>
      </c>
      <c r="L366">
        <v>2338</v>
      </c>
      <c r="M366">
        <v>6</v>
      </c>
      <c r="N366" t="s">
        <v>1674</v>
      </c>
      <c r="O366" t="s">
        <v>1667</v>
      </c>
      <c r="P366">
        <v>1</v>
      </c>
      <c r="Q366" t="s">
        <v>1660</v>
      </c>
    </row>
    <row r="367" spans="1:18" x14ac:dyDescent="0.35">
      <c r="A367" t="s">
        <v>735</v>
      </c>
      <c r="B367" s="19">
        <v>46025</v>
      </c>
      <c r="C367" t="s">
        <v>275</v>
      </c>
      <c r="D367" t="s">
        <v>202</v>
      </c>
      <c r="E367" t="s">
        <v>71</v>
      </c>
      <c r="F367" t="s">
        <v>28</v>
      </c>
      <c r="G367">
        <v>0.65277777777777779</v>
      </c>
      <c r="H367">
        <v>0.66111111111111109</v>
      </c>
      <c r="I367">
        <v>20</v>
      </c>
      <c r="J367" t="s">
        <v>18</v>
      </c>
      <c r="K367" t="s">
        <v>19</v>
      </c>
      <c r="L367">
        <v>1199</v>
      </c>
      <c r="M367">
        <v>12</v>
      </c>
      <c r="N367" t="s">
        <v>1674</v>
      </c>
      <c r="O367" t="s">
        <v>1667</v>
      </c>
      <c r="P367">
        <v>0</v>
      </c>
      <c r="Q367" t="s">
        <v>1663</v>
      </c>
    </row>
    <row r="368" spans="1:18" x14ac:dyDescent="0.35">
      <c r="A368" t="s">
        <v>736</v>
      </c>
      <c r="B368" s="19">
        <v>46025</v>
      </c>
      <c r="C368" t="s">
        <v>737</v>
      </c>
      <c r="D368" t="s">
        <v>546</v>
      </c>
      <c r="E368" t="s">
        <v>79</v>
      </c>
      <c r="F368" t="s">
        <v>17</v>
      </c>
      <c r="G368">
        <v>0.86111111111111116</v>
      </c>
      <c r="H368">
        <v>0.86111111111111116</v>
      </c>
      <c r="I368">
        <v>-4</v>
      </c>
      <c r="J368" t="s">
        <v>18</v>
      </c>
      <c r="K368" t="s">
        <v>19</v>
      </c>
      <c r="L368">
        <v>1743</v>
      </c>
      <c r="M368">
        <v>0</v>
      </c>
      <c r="N368" t="s">
        <v>1674</v>
      </c>
      <c r="O368" t="s">
        <v>1667</v>
      </c>
      <c r="P368">
        <v>1</v>
      </c>
      <c r="Q368" t="s">
        <v>1665</v>
      </c>
    </row>
    <row r="369" spans="1:18" x14ac:dyDescent="0.35">
      <c r="A369" t="s">
        <v>738</v>
      </c>
      <c r="B369" s="19">
        <v>46026</v>
      </c>
      <c r="C369" t="s">
        <v>399</v>
      </c>
      <c r="D369" t="s">
        <v>202</v>
      </c>
      <c r="E369" t="s">
        <v>1295</v>
      </c>
      <c r="F369" t="s">
        <v>17</v>
      </c>
      <c r="G369">
        <v>0.2673611111111111</v>
      </c>
      <c r="H369">
        <v>0.26319444444444451</v>
      </c>
      <c r="I369">
        <v>-11</v>
      </c>
      <c r="J369" t="s">
        <v>18</v>
      </c>
      <c r="K369" t="s">
        <v>19</v>
      </c>
      <c r="L369">
        <v>2582</v>
      </c>
      <c r="M369">
        <v>-6</v>
      </c>
      <c r="N369" t="s">
        <v>1674</v>
      </c>
      <c r="O369" t="s">
        <v>1668</v>
      </c>
      <c r="P369">
        <v>1</v>
      </c>
      <c r="Q369" t="s">
        <v>1660</v>
      </c>
    </row>
    <row r="370" spans="1:18" x14ac:dyDescent="0.35">
      <c r="A370" t="s">
        <v>739</v>
      </c>
      <c r="B370" s="19">
        <v>46026</v>
      </c>
      <c r="C370" t="s">
        <v>740</v>
      </c>
      <c r="D370" t="s">
        <v>1295</v>
      </c>
      <c r="E370" t="s">
        <v>588</v>
      </c>
      <c r="F370" t="s">
        <v>28</v>
      </c>
      <c r="G370">
        <v>0.34375</v>
      </c>
      <c r="H370">
        <v>0.33888888888888891</v>
      </c>
      <c r="I370">
        <v>-1</v>
      </c>
      <c r="J370" t="s">
        <v>18</v>
      </c>
      <c r="K370" t="s">
        <v>19</v>
      </c>
      <c r="L370">
        <v>1462</v>
      </c>
      <c r="M370">
        <v>-7</v>
      </c>
      <c r="N370" t="s">
        <v>1674</v>
      </c>
      <c r="O370" t="s">
        <v>1668</v>
      </c>
      <c r="P370">
        <v>1</v>
      </c>
      <c r="Q370" t="s">
        <v>1660</v>
      </c>
    </row>
    <row r="371" spans="1:18" x14ac:dyDescent="0.35">
      <c r="A371" t="s">
        <v>741</v>
      </c>
      <c r="B371" s="19">
        <v>46026</v>
      </c>
      <c r="C371" t="s">
        <v>742</v>
      </c>
      <c r="D371" t="s">
        <v>413</v>
      </c>
      <c r="E371" t="s">
        <v>79</v>
      </c>
      <c r="F371" t="s">
        <v>28</v>
      </c>
      <c r="G371">
        <v>0.84375</v>
      </c>
      <c r="H371">
        <v>0.8520833333333333</v>
      </c>
      <c r="I371">
        <v>8</v>
      </c>
      <c r="J371" t="s">
        <v>18</v>
      </c>
      <c r="K371" t="s">
        <v>19</v>
      </c>
      <c r="L371">
        <v>1942</v>
      </c>
      <c r="M371">
        <v>12</v>
      </c>
      <c r="N371" t="s">
        <v>1674</v>
      </c>
      <c r="O371" t="s">
        <v>1668</v>
      </c>
      <c r="P371">
        <v>1</v>
      </c>
      <c r="Q371" t="s">
        <v>1665</v>
      </c>
    </row>
    <row r="372" spans="1:18" x14ac:dyDescent="0.35">
      <c r="A372" t="s">
        <v>743</v>
      </c>
      <c r="B372" s="19">
        <v>46027</v>
      </c>
      <c r="C372" t="s">
        <v>374</v>
      </c>
      <c r="D372" t="s">
        <v>202</v>
      </c>
      <c r="E372" t="s">
        <v>79</v>
      </c>
      <c r="F372" t="s">
        <v>24</v>
      </c>
      <c r="G372">
        <v>0.29166666666666669</v>
      </c>
      <c r="H372">
        <v>0.29583333333333328</v>
      </c>
      <c r="I372">
        <v>13</v>
      </c>
      <c r="J372" t="s">
        <v>18</v>
      </c>
      <c r="K372" t="s">
        <v>19</v>
      </c>
      <c r="L372">
        <v>596</v>
      </c>
      <c r="M372">
        <v>6</v>
      </c>
      <c r="N372" t="s">
        <v>1674</v>
      </c>
      <c r="O372" t="s">
        <v>1659</v>
      </c>
      <c r="P372">
        <v>1</v>
      </c>
      <c r="Q372" t="s">
        <v>1660</v>
      </c>
    </row>
    <row r="373" spans="1:18" x14ac:dyDescent="0.35">
      <c r="A373" t="s">
        <v>744</v>
      </c>
      <c r="B373" s="19">
        <v>46027</v>
      </c>
      <c r="C373" t="s">
        <v>619</v>
      </c>
      <c r="D373" t="s">
        <v>1171</v>
      </c>
      <c r="E373" t="s">
        <v>413</v>
      </c>
      <c r="F373" t="s">
        <v>17</v>
      </c>
      <c r="G373">
        <v>0.40972222222222221</v>
      </c>
      <c r="H373">
        <v>0.42638888888888887</v>
      </c>
      <c r="I373">
        <v>14</v>
      </c>
      <c r="J373" t="s">
        <v>54</v>
      </c>
      <c r="K373" t="s">
        <v>19</v>
      </c>
      <c r="L373">
        <v>370</v>
      </c>
      <c r="M373">
        <v>24</v>
      </c>
      <c r="N373" t="s">
        <v>1674</v>
      </c>
      <c r="O373" t="s">
        <v>1659</v>
      </c>
      <c r="P373">
        <v>1</v>
      </c>
      <c r="Q373" t="s">
        <v>1660</v>
      </c>
      <c r="R373" t="s">
        <v>1657</v>
      </c>
    </row>
    <row r="374" spans="1:18" x14ac:dyDescent="0.35">
      <c r="A374" t="s">
        <v>745</v>
      </c>
      <c r="B374" s="19">
        <v>46027</v>
      </c>
      <c r="C374" t="s">
        <v>746</v>
      </c>
      <c r="D374" t="s">
        <v>202</v>
      </c>
      <c r="E374" t="s">
        <v>197</v>
      </c>
      <c r="F374" t="s">
        <v>17</v>
      </c>
      <c r="G374">
        <v>0.44791666666666669</v>
      </c>
      <c r="H374">
        <v>0.47916666666666669</v>
      </c>
      <c r="I374">
        <v>53</v>
      </c>
      <c r="J374" t="s">
        <v>60</v>
      </c>
      <c r="K374" t="s">
        <v>19</v>
      </c>
      <c r="L374">
        <v>1092</v>
      </c>
      <c r="M374">
        <v>45</v>
      </c>
      <c r="N374" t="s">
        <v>1674</v>
      </c>
      <c r="O374" t="s">
        <v>1659</v>
      </c>
      <c r="P374">
        <v>0</v>
      </c>
      <c r="Q374" t="s">
        <v>1660</v>
      </c>
      <c r="R374" t="s">
        <v>1657</v>
      </c>
    </row>
    <row r="375" spans="1:18" x14ac:dyDescent="0.35">
      <c r="A375" t="s">
        <v>747</v>
      </c>
      <c r="B375" s="19">
        <v>46027</v>
      </c>
      <c r="C375" t="s">
        <v>748</v>
      </c>
      <c r="D375" t="s">
        <v>79</v>
      </c>
      <c r="E375" t="s">
        <v>546</v>
      </c>
      <c r="F375" t="s">
        <v>38</v>
      </c>
      <c r="G375">
        <v>0.63541666666666663</v>
      </c>
      <c r="H375">
        <v>0.63055555555555554</v>
      </c>
      <c r="I375">
        <v>-10</v>
      </c>
      <c r="J375" t="s">
        <v>18</v>
      </c>
      <c r="K375" t="s">
        <v>19</v>
      </c>
      <c r="L375">
        <v>1743</v>
      </c>
      <c r="M375">
        <v>-7</v>
      </c>
      <c r="N375" t="s">
        <v>1674</v>
      </c>
      <c r="O375" t="s">
        <v>1659</v>
      </c>
      <c r="P375">
        <v>1</v>
      </c>
      <c r="Q375" t="s">
        <v>1663</v>
      </c>
    </row>
    <row r="376" spans="1:18" x14ac:dyDescent="0.35">
      <c r="A376" t="s">
        <v>1649</v>
      </c>
      <c r="B376" s="19">
        <v>46264</v>
      </c>
      <c r="C376" t="s">
        <v>218</v>
      </c>
      <c r="D376" t="s">
        <v>588</v>
      </c>
      <c r="E376" t="s">
        <v>71</v>
      </c>
      <c r="F376" t="s">
        <v>28</v>
      </c>
      <c r="G376">
        <v>0.78125</v>
      </c>
      <c r="H376">
        <v>0.77986111111111112</v>
      </c>
      <c r="I376">
        <v>-4</v>
      </c>
      <c r="J376" t="s">
        <v>18</v>
      </c>
      <c r="K376" t="s">
        <v>19</v>
      </c>
      <c r="L376">
        <v>802</v>
      </c>
      <c r="M376">
        <v>-2</v>
      </c>
      <c r="N376" t="s">
        <v>1681</v>
      </c>
      <c r="O376" t="s">
        <v>1668</v>
      </c>
      <c r="P376">
        <v>1</v>
      </c>
      <c r="Q376" t="s">
        <v>1665</v>
      </c>
    </row>
    <row r="377" spans="1:18" x14ac:dyDescent="0.35">
      <c r="A377" t="s">
        <v>751</v>
      </c>
      <c r="B377" s="19">
        <v>46028</v>
      </c>
      <c r="C377" t="s">
        <v>752</v>
      </c>
      <c r="D377" t="s">
        <v>71</v>
      </c>
      <c r="E377" t="s">
        <v>202</v>
      </c>
      <c r="F377" t="s">
        <v>17</v>
      </c>
      <c r="G377">
        <v>0.50347222222222221</v>
      </c>
      <c r="H377">
        <v>0.51527777777777772</v>
      </c>
      <c r="I377">
        <v>14</v>
      </c>
      <c r="J377" t="s">
        <v>129</v>
      </c>
      <c r="K377" t="s">
        <v>19</v>
      </c>
      <c r="L377">
        <v>1199</v>
      </c>
      <c r="M377">
        <v>17</v>
      </c>
      <c r="N377" t="s">
        <v>1674</v>
      </c>
      <c r="O377" t="s">
        <v>1661</v>
      </c>
      <c r="P377">
        <v>1</v>
      </c>
      <c r="Q377" t="s">
        <v>1663</v>
      </c>
      <c r="R377" t="s">
        <v>1670</v>
      </c>
    </row>
    <row r="378" spans="1:18" x14ac:dyDescent="0.35">
      <c r="A378" t="s">
        <v>753</v>
      </c>
      <c r="B378" s="19">
        <v>46028</v>
      </c>
      <c r="C378" t="s">
        <v>754</v>
      </c>
      <c r="D378" t="s">
        <v>197</v>
      </c>
      <c r="E378" t="s">
        <v>79</v>
      </c>
      <c r="F378" t="s">
        <v>17</v>
      </c>
      <c r="G378">
        <v>0.65277777777777779</v>
      </c>
      <c r="H378">
        <v>0.65763888888888888</v>
      </c>
      <c r="I378">
        <v>9</v>
      </c>
      <c r="J378" t="s">
        <v>18</v>
      </c>
      <c r="K378" t="s">
        <v>19</v>
      </c>
      <c r="L378">
        <v>759</v>
      </c>
      <c r="M378">
        <v>7</v>
      </c>
      <c r="N378" t="s">
        <v>1674</v>
      </c>
      <c r="O378" t="s">
        <v>1661</v>
      </c>
      <c r="P378">
        <v>1</v>
      </c>
      <c r="Q378" t="s">
        <v>1663</v>
      </c>
    </row>
    <row r="379" spans="1:18" x14ac:dyDescent="0.35">
      <c r="A379" t="s">
        <v>755</v>
      </c>
      <c r="B379" s="19">
        <v>46029</v>
      </c>
      <c r="C379" t="s">
        <v>756</v>
      </c>
      <c r="D379" t="s">
        <v>588</v>
      </c>
      <c r="E379" t="s">
        <v>1171</v>
      </c>
      <c r="F379" t="s">
        <v>24</v>
      </c>
      <c r="G379">
        <v>0.72916666666666663</v>
      </c>
      <c r="H379">
        <v>0.80555555555555558</v>
      </c>
      <c r="I379">
        <v>104</v>
      </c>
      <c r="J379" t="s">
        <v>129</v>
      </c>
      <c r="K379" t="s">
        <v>19</v>
      </c>
      <c r="L379">
        <v>866</v>
      </c>
      <c r="M379">
        <v>110</v>
      </c>
      <c r="N379" t="s">
        <v>1674</v>
      </c>
      <c r="O379" t="s">
        <v>1662</v>
      </c>
      <c r="P379">
        <v>0</v>
      </c>
      <c r="Q379" t="s">
        <v>1665</v>
      </c>
      <c r="R379" t="s">
        <v>1670</v>
      </c>
    </row>
    <row r="380" spans="1:18" x14ac:dyDescent="0.35">
      <c r="A380" t="s">
        <v>757</v>
      </c>
      <c r="B380" s="19">
        <v>46030</v>
      </c>
      <c r="C380" t="s">
        <v>758</v>
      </c>
      <c r="D380" t="s">
        <v>84</v>
      </c>
      <c r="E380" t="s">
        <v>226</v>
      </c>
      <c r="F380" t="s">
        <v>38</v>
      </c>
      <c r="G380">
        <v>0.85069444444444442</v>
      </c>
      <c r="H380">
        <v>0.85416666666666663</v>
      </c>
      <c r="I380">
        <v>9</v>
      </c>
      <c r="J380" t="s">
        <v>18</v>
      </c>
      <c r="K380" t="s">
        <v>19</v>
      </c>
      <c r="L380">
        <v>1023</v>
      </c>
      <c r="M380">
        <v>5</v>
      </c>
      <c r="N380" t="s">
        <v>1674</v>
      </c>
      <c r="O380" t="s">
        <v>1664</v>
      </c>
      <c r="P380">
        <v>1</v>
      </c>
      <c r="Q380" t="s">
        <v>1665</v>
      </c>
    </row>
    <row r="381" spans="1:18" x14ac:dyDescent="0.35">
      <c r="A381" t="s">
        <v>759</v>
      </c>
      <c r="B381" s="19">
        <v>46030</v>
      </c>
      <c r="C381" t="s">
        <v>760</v>
      </c>
      <c r="D381" t="s">
        <v>71</v>
      </c>
      <c r="E381" t="s">
        <v>202</v>
      </c>
      <c r="F381" t="s">
        <v>17</v>
      </c>
      <c r="G381">
        <v>0.95138888888888884</v>
      </c>
      <c r="H381">
        <v>0.95416666666666672</v>
      </c>
      <c r="I381">
        <v>0</v>
      </c>
      <c r="J381" t="s">
        <v>18</v>
      </c>
      <c r="K381" t="s">
        <v>19</v>
      </c>
      <c r="L381">
        <v>1199</v>
      </c>
      <c r="M381">
        <v>4</v>
      </c>
      <c r="N381" t="s">
        <v>1674</v>
      </c>
      <c r="O381" t="s">
        <v>1664</v>
      </c>
      <c r="P381">
        <v>1</v>
      </c>
      <c r="Q381" t="s">
        <v>1669</v>
      </c>
    </row>
    <row r="382" spans="1:18" x14ac:dyDescent="0.35">
      <c r="A382" t="s">
        <v>1648</v>
      </c>
      <c r="B382" s="19">
        <v>46264</v>
      </c>
      <c r="C382" t="s">
        <v>14</v>
      </c>
      <c r="D382" t="s">
        <v>546</v>
      </c>
      <c r="E382" t="s">
        <v>71</v>
      </c>
      <c r="F382" t="s">
        <v>17</v>
      </c>
      <c r="G382">
        <v>0.43055555555555558</v>
      </c>
      <c r="I382">
        <v>0</v>
      </c>
      <c r="J382" t="s">
        <v>18</v>
      </c>
      <c r="K382" t="s">
        <v>19</v>
      </c>
      <c r="L382">
        <v>1511</v>
      </c>
      <c r="M382">
        <v>3</v>
      </c>
      <c r="N382" t="s">
        <v>1681</v>
      </c>
      <c r="O382" t="s">
        <v>1668</v>
      </c>
      <c r="P382">
        <v>1</v>
      </c>
      <c r="Q382" t="s">
        <v>1660</v>
      </c>
    </row>
    <row r="383" spans="1:18" x14ac:dyDescent="0.35">
      <c r="A383" t="s">
        <v>762</v>
      </c>
      <c r="B383" s="19">
        <v>46031</v>
      </c>
      <c r="C383" t="s">
        <v>249</v>
      </c>
      <c r="D383" t="s">
        <v>546</v>
      </c>
      <c r="E383" t="s">
        <v>79</v>
      </c>
      <c r="F383" t="s">
        <v>38</v>
      </c>
      <c r="G383">
        <v>0.41319444444444442</v>
      </c>
      <c r="H383">
        <v>0.41458333333333341</v>
      </c>
      <c r="I383">
        <v>-1</v>
      </c>
      <c r="J383" t="s">
        <v>18</v>
      </c>
      <c r="K383" t="s">
        <v>19</v>
      </c>
      <c r="L383">
        <v>1743</v>
      </c>
      <c r="M383">
        <v>2</v>
      </c>
      <c r="N383" t="s">
        <v>1674</v>
      </c>
      <c r="O383" t="s">
        <v>1666</v>
      </c>
      <c r="P383">
        <v>1</v>
      </c>
      <c r="Q383" t="s">
        <v>1660</v>
      </c>
    </row>
    <row r="384" spans="1:18" x14ac:dyDescent="0.35">
      <c r="A384" t="s">
        <v>763</v>
      </c>
      <c r="B384" s="19">
        <v>46031</v>
      </c>
      <c r="C384" t="s">
        <v>764</v>
      </c>
      <c r="D384" t="s">
        <v>79</v>
      </c>
      <c r="E384" t="s">
        <v>197</v>
      </c>
      <c r="F384" t="s">
        <v>28</v>
      </c>
      <c r="G384">
        <v>0.51736111111111116</v>
      </c>
      <c r="H384">
        <v>0.52430555555555558</v>
      </c>
      <c r="I384">
        <v>2</v>
      </c>
      <c r="J384" t="s">
        <v>18</v>
      </c>
      <c r="K384" t="s">
        <v>19</v>
      </c>
      <c r="L384">
        <v>759</v>
      </c>
      <c r="M384">
        <v>10</v>
      </c>
      <c r="N384" t="s">
        <v>1674</v>
      </c>
      <c r="O384" t="s">
        <v>1666</v>
      </c>
      <c r="P384">
        <v>1</v>
      </c>
      <c r="Q384" t="s">
        <v>1663</v>
      </c>
    </row>
    <row r="385" spans="1:18" x14ac:dyDescent="0.35">
      <c r="A385" t="s">
        <v>765</v>
      </c>
      <c r="B385" s="19">
        <v>46031</v>
      </c>
      <c r="C385" t="s">
        <v>766</v>
      </c>
      <c r="D385" t="s">
        <v>197</v>
      </c>
      <c r="E385" t="s">
        <v>588</v>
      </c>
      <c r="F385" t="s">
        <v>38</v>
      </c>
      <c r="G385">
        <v>0.78472222222222221</v>
      </c>
      <c r="H385">
        <v>0.78055555555555556</v>
      </c>
      <c r="I385">
        <v>4</v>
      </c>
      <c r="J385" t="s">
        <v>18</v>
      </c>
      <c r="K385" t="s">
        <v>19</v>
      </c>
      <c r="L385">
        <v>1389</v>
      </c>
      <c r="M385">
        <v>-6</v>
      </c>
      <c r="N385" t="s">
        <v>1674</v>
      </c>
      <c r="O385" t="s">
        <v>1666</v>
      </c>
      <c r="P385">
        <v>1</v>
      </c>
      <c r="Q385" t="s">
        <v>1665</v>
      </c>
    </row>
    <row r="386" spans="1:18" x14ac:dyDescent="0.35">
      <c r="A386" t="s">
        <v>767</v>
      </c>
      <c r="B386" s="19">
        <v>46031</v>
      </c>
      <c r="C386" t="s">
        <v>768</v>
      </c>
      <c r="D386" t="s">
        <v>71</v>
      </c>
      <c r="E386" t="s">
        <v>413</v>
      </c>
      <c r="F386" t="s">
        <v>28</v>
      </c>
      <c r="G386">
        <v>0.78819444444444442</v>
      </c>
      <c r="H386">
        <v>0.8208333333333333</v>
      </c>
      <c r="I386">
        <v>51</v>
      </c>
      <c r="J386" t="s">
        <v>319</v>
      </c>
      <c r="K386" t="s">
        <v>19</v>
      </c>
      <c r="L386">
        <v>1742</v>
      </c>
      <c r="M386">
        <v>47</v>
      </c>
      <c r="N386" t="s">
        <v>1674</v>
      </c>
      <c r="O386" t="s">
        <v>1666</v>
      </c>
      <c r="P386">
        <v>0</v>
      </c>
      <c r="Q386" t="s">
        <v>1665</v>
      </c>
      <c r="R386" t="s">
        <v>1670</v>
      </c>
    </row>
    <row r="387" spans="1:18" x14ac:dyDescent="0.35">
      <c r="A387" t="s">
        <v>769</v>
      </c>
      <c r="B387" s="19">
        <v>46033</v>
      </c>
      <c r="C387" t="s">
        <v>770</v>
      </c>
      <c r="D387" t="s">
        <v>413</v>
      </c>
      <c r="E387" t="s">
        <v>588</v>
      </c>
      <c r="F387" t="s">
        <v>24</v>
      </c>
      <c r="G387">
        <v>0.35069444444444442</v>
      </c>
      <c r="H387">
        <v>0.38680555555555562</v>
      </c>
      <c r="I387">
        <v>48</v>
      </c>
      <c r="J387" t="s">
        <v>60</v>
      </c>
      <c r="K387" t="s">
        <v>19</v>
      </c>
      <c r="L387">
        <v>1232</v>
      </c>
      <c r="M387">
        <v>52</v>
      </c>
      <c r="N387" t="s">
        <v>1674</v>
      </c>
      <c r="O387" t="s">
        <v>1668</v>
      </c>
      <c r="P387">
        <v>0</v>
      </c>
      <c r="Q387" t="s">
        <v>1660</v>
      </c>
      <c r="R387" t="s">
        <v>1657</v>
      </c>
    </row>
    <row r="388" spans="1:18" x14ac:dyDescent="0.35">
      <c r="A388" t="s">
        <v>771</v>
      </c>
      <c r="B388" s="19">
        <v>46033</v>
      </c>
      <c r="C388" t="s">
        <v>171</v>
      </c>
      <c r="D388" t="s">
        <v>1549</v>
      </c>
      <c r="E388" t="s">
        <v>202</v>
      </c>
      <c r="F388" t="s">
        <v>28</v>
      </c>
      <c r="G388">
        <v>0.65972222222222221</v>
      </c>
      <c r="H388">
        <v>0.65902777777777777</v>
      </c>
      <c r="I388">
        <v>9</v>
      </c>
      <c r="J388" t="s">
        <v>18</v>
      </c>
      <c r="K388" t="s">
        <v>19</v>
      </c>
      <c r="L388">
        <v>1260</v>
      </c>
      <c r="M388">
        <v>-1</v>
      </c>
      <c r="N388" t="s">
        <v>1674</v>
      </c>
      <c r="O388" t="s">
        <v>1668</v>
      </c>
      <c r="P388">
        <v>1</v>
      </c>
      <c r="Q388" t="s">
        <v>1663</v>
      </c>
    </row>
    <row r="389" spans="1:18" x14ac:dyDescent="0.35">
      <c r="A389" t="s">
        <v>1647</v>
      </c>
      <c r="B389" s="19">
        <v>46263</v>
      </c>
      <c r="C389" t="s">
        <v>583</v>
      </c>
      <c r="D389" t="s">
        <v>79</v>
      </c>
      <c r="E389" t="s">
        <v>202</v>
      </c>
      <c r="F389" t="s">
        <v>17</v>
      </c>
      <c r="G389">
        <v>0.32291666666666669</v>
      </c>
      <c r="H389">
        <v>0.43472222222222218</v>
      </c>
      <c r="I389">
        <v>165</v>
      </c>
      <c r="J389" t="s">
        <v>60</v>
      </c>
      <c r="K389" t="s">
        <v>19</v>
      </c>
      <c r="L389">
        <v>596</v>
      </c>
      <c r="M389">
        <v>161</v>
      </c>
      <c r="N389" t="s">
        <v>1681</v>
      </c>
      <c r="O389" t="s">
        <v>1667</v>
      </c>
      <c r="P389">
        <v>0</v>
      </c>
      <c r="Q389" t="s">
        <v>1660</v>
      </c>
      <c r="R389" t="s">
        <v>1657</v>
      </c>
    </row>
    <row r="390" spans="1:18" x14ac:dyDescent="0.35">
      <c r="A390" t="s">
        <v>774</v>
      </c>
      <c r="B390" s="19">
        <v>46034</v>
      </c>
      <c r="C390" t="s">
        <v>133</v>
      </c>
      <c r="D390" t="s">
        <v>226</v>
      </c>
      <c r="E390" t="s">
        <v>197</v>
      </c>
      <c r="F390" t="s">
        <v>38</v>
      </c>
      <c r="G390">
        <v>0.40625</v>
      </c>
      <c r="H390">
        <v>0.41111111111111109</v>
      </c>
      <c r="I390">
        <v>16</v>
      </c>
      <c r="J390" t="s">
        <v>18</v>
      </c>
      <c r="K390" t="s">
        <v>19</v>
      </c>
      <c r="L390">
        <v>1622</v>
      </c>
      <c r="M390">
        <v>7</v>
      </c>
      <c r="N390" t="s">
        <v>1674</v>
      </c>
      <c r="O390" t="s">
        <v>1659</v>
      </c>
      <c r="P390">
        <v>0</v>
      </c>
      <c r="Q390" t="s">
        <v>1660</v>
      </c>
    </row>
    <row r="391" spans="1:18" x14ac:dyDescent="0.35">
      <c r="A391" t="s">
        <v>775</v>
      </c>
      <c r="B391" s="19">
        <v>46034</v>
      </c>
      <c r="C391" t="s">
        <v>776</v>
      </c>
      <c r="D391" t="s">
        <v>413</v>
      </c>
      <c r="E391" t="s">
        <v>588</v>
      </c>
      <c r="F391" t="s">
        <v>17</v>
      </c>
      <c r="G391">
        <v>0.41666666666666669</v>
      </c>
      <c r="H391">
        <v>0.42152777777777778</v>
      </c>
      <c r="I391">
        <v>8</v>
      </c>
      <c r="J391" t="s">
        <v>18</v>
      </c>
      <c r="K391" t="s">
        <v>19</v>
      </c>
      <c r="L391">
        <v>1232</v>
      </c>
      <c r="M391">
        <v>7</v>
      </c>
      <c r="N391" t="s">
        <v>1674</v>
      </c>
      <c r="O391" t="s">
        <v>1659</v>
      </c>
      <c r="P391">
        <v>1</v>
      </c>
      <c r="Q391" t="s">
        <v>1660</v>
      </c>
    </row>
    <row r="392" spans="1:18" x14ac:dyDescent="0.35">
      <c r="A392" t="s">
        <v>777</v>
      </c>
      <c r="B392" s="19">
        <v>46034</v>
      </c>
      <c r="C392" t="s">
        <v>778</v>
      </c>
      <c r="D392" t="s">
        <v>1171</v>
      </c>
      <c r="E392" t="s">
        <v>588</v>
      </c>
      <c r="F392" t="s">
        <v>17</v>
      </c>
      <c r="G392">
        <v>0.88888888888888884</v>
      </c>
      <c r="H392">
        <v>0.89652777777777781</v>
      </c>
      <c r="I392">
        <v>15</v>
      </c>
      <c r="J392" t="s">
        <v>18</v>
      </c>
      <c r="K392" t="s">
        <v>19</v>
      </c>
      <c r="L392">
        <v>866</v>
      </c>
      <c r="M392">
        <v>11</v>
      </c>
      <c r="N392" t="s">
        <v>1674</v>
      </c>
      <c r="O392" t="s">
        <v>1659</v>
      </c>
      <c r="P392">
        <v>1</v>
      </c>
      <c r="Q392" t="s">
        <v>1669</v>
      </c>
    </row>
    <row r="393" spans="1:18" x14ac:dyDescent="0.35">
      <c r="A393" t="s">
        <v>779</v>
      </c>
      <c r="B393" s="19">
        <v>46035</v>
      </c>
      <c r="C393" t="s">
        <v>780</v>
      </c>
      <c r="D393" t="s">
        <v>1171</v>
      </c>
      <c r="E393" t="s">
        <v>226</v>
      </c>
      <c r="F393" t="s">
        <v>38</v>
      </c>
      <c r="G393">
        <v>0.28472222222222221</v>
      </c>
      <c r="H393">
        <v>0.28263888888888888</v>
      </c>
      <c r="I393">
        <v>7</v>
      </c>
      <c r="J393" t="s">
        <v>18</v>
      </c>
      <c r="K393" t="s">
        <v>19</v>
      </c>
      <c r="L393">
        <v>602</v>
      </c>
      <c r="M393">
        <v>-3</v>
      </c>
      <c r="N393" t="s">
        <v>1674</v>
      </c>
      <c r="O393" t="s">
        <v>1661</v>
      </c>
      <c r="P393">
        <v>1</v>
      </c>
      <c r="Q393" t="s">
        <v>1660</v>
      </c>
    </row>
    <row r="394" spans="1:18" x14ac:dyDescent="0.35">
      <c r="A394" t="s">
        <v>781</v>
      </c>
      <c r="B394" s="19">
        <v>46035</v>
      </c>
      <c r="C394" t="s">
        <v>782</v>
      </c>
      <c r="D394" t="s">
        <v>226</v>
      </c>
      <c r="E394" t="s">
        <v>588</v>
      </c>
      <c r="F394" t="s">
        <v>24</v>
      </c>
      <c r="G394">
        <v>0.40277777777777779</v>
      </c>
      <c r="H394">
        <v>0.41041666666666671</v>
      </c>
      <c r="I394">
        <v>14</v>
      </c>
      <c r="J394" t="s">
        <v>18</v>
      </c>
      <c r="K394" t="s">
        <v>19</v>
      </c>
      <c r="L394">
        <v>641</v>
      </c>
      <c r="M394">
        <v>11</v>
      </c>
      <c r="N394" t="s">
        <v>1674</v>
      </c>
      <c r="O394" t="s">
        <v>1661</v>
      </c>
      <c r="P394">
        <v>1</v>
      </c>
      <c r="Q394" t="s">
        <v>1660</v>
      </c>
    </row>
    <row r="395" spans="1:18" x14ac:dyDescent="0.35">
      <c r="A395" t="s">
        <v>783</v>
      </c>
      <c r="B395" s="19">
        <v>46035</v>
      </c>
      <c r="C395" t="s">
        <v>77</v>
      </c>
      <c r="D395" t="s">
        <v>197</v>
      </c>
      <c r="E395" t="s">
        <v>1171</v>
      </c>
      <c r="F395" t="s">
        <v>24</v>
      </c>
      <c r="G395">
        <v>0.43055555555555558</v>
      </c>
      <c r="H395">
        <v>0.43402777777777779</v>
      </c>
      <c r="I395">
        <v>-2</v>
      </c>
      <c r="J395" t="s">
        <v>18</v>
      </c>
      <c r="K395" t="s">
        <v>19</v>
      </c>
      <c r="L395">
        <v>2149</v>
      </c>
      <c r="M395">
        <v>5</v>
      </c>
      <c r="N395" t="s">
        <v>1674</v>
      </c>
      <c r="O395" t="s">
        <v>1661</v>
      </c>
      <c r="P395">
        <v>1</v>
      </c>
      <c r="Q395" t="s">
        <v>1660</v>
      </c>
    </row>
    <row r="396" spans="1:18" x14ac:dyDescent="0.35">
      <c r="A396" t="s">
        <v>784</v>
      </c>
      <c r="B396" s="19">
        <v>46035</v>
      </c>
      <c r="C396" t="s">
        <v>785</v>
      </c>
      <c r="D396" t="s">
        <v>413</v>
      </c>
      <c r="E396" t="s">
        <v>202</v>
      </c>
      <c r="F396" t="s">
        <v>17</v>
      </c>
      <c r="G396">
        <v>0.4375</v>
      </c>
      <c r="H396">
        <v>0.4375</v>
      </c>
      <c r="I396">
        <v>-8</v>
      </c>
      <c r="J396" t="s">
        <v>18</v>
      </c>
      <c r="K396" t="s">
        <v>19</v>
      </c>
      <c r="L396">
        <v>2338</v>
      </c>
      <c r="M396">
        <v>0</v>
      </c>
      <c r="N396" t="s">
        <v>1674</v>
      </c>
      <c r="O396" t="s">
        <v>1661</v>
      </c>
      <c r="P396">
        <v>1</v>
      </c>
      <c r="Q396" t="s">
        <v>1660</v>
      </c>
    </row>
    <row r="397" spans="1:18" x14ac:dyDescent="0.35">
      <c r="A397" t="s">
        <v>786</v>
      </c>
      <c r="B397" s="19">
        <v>46035</v>
      </c>
      <c r="C397" t="s">
        <v>787</v>
      </c>
      <c r="D397" t="s">
        <v>1295</v>
      </c>
      <c r="E397" t="s">
        <v>546</v>
      </c>
      <c r="F397" t="s">
        <v>38</v>
      </c>
      <c r="G397">
        <v>0.56597222222222221</v>
      </c>
      <c r="H397">
        <v>0.56180555555555556</v>
      </c>
      <c r="I397">
        <v>-11</v>
      </c>
      <c r="J397" t="s">
        <v>18</v>
      </c>
      <c r="K397" t="s">
        <v>19</v>
      </c>
      <c r="L397">
        <v>414</v>
      </c>
      <c r="M397">
        <v>-6</v>
      </c>
      <c r="N397" t="s">
        <v>1674</v>
      </c>
      <c r="O397" t="s">
        <v>1661</v>
      </c>
      <c r="P397">
        <v>1</v>
      </c>
      <c r="Q397" t="s">
        <v>1663</v>
      </c>
    </row>
    <row r="398" spans="1:18" x14ac:dyDescent="0.35">
      <c r="A398" t="s">
        <v>1646</v>
      </c>
      <c r="B398" s="19">
        <v>46262</v>
      </c>
      <c r="C398" t="s">
        <v>598</v>
      </c>
      <c r="D398" t="s">
        <v>79</v>
      </c>
      <c r="E398" t="s">
        <v>71</v>
      </c>
      <c r="F398" t="s">
        <v>28</v>
      </c>
      <c r="G398">
        <v>0.68055555555555558</v>
      </c>
      <c r="I398">
        <v>57</v>
      </c>
      <c r="J398" t="s">
        <v>54</v>
      </c>
      <c r="K398" t="s">
        <v>19</v>
      </c>
      <c r="L398">
        <v>606</v>
      </c>
      <c r="M398">
        <v>57</v>
      </c>
      <c r="N398" t="s">
        <v>1681</v>
      </c>
      <c r="O398" t="s">
        <v>1666</v>
      </c>
      <c r="P398">
        <v>0</v>
      </c>
      <c r="Q398" t="s">
        <v>1663</v>
      </c>
      <c r="R398" t="s">
        <v>1657</v>
      </c>
    </row>
    <row r="399" spans="1:18" x14ac:dyDescent="0.35">
      <c r="A399" t="s">
        <v>790</v>
      </c>
      <c r="B399" s="19">
        <v>46037</v>
      </c>
      <c r="C399" t="s">
        <v>791</v>
      </c>
      <c r="D399" t="s">
        <v>1295</v>
      </c>
      <c r="E399" t="s">
        <v>588</v>
      </c>
      <c r="F399" t="s">
        <v>17</v>
      </c>
      <c r="G399">
        <v>0.69097222222222221</v>
      </c>
      <c r="H399">
        <v>0.69444444444444442</v>
      </c>
      <c r="I399">
        <v>2</v>
      </c>
      <c r="J399" t="s">
        <v>18</v>
      </c>
      <c r="K399" t="s">
        <v>19</v>
      </c>
      <c r="L399">
        <v>1462</v>
      </c>
      <c r="M399">
        <v>5</v>
      </c>
      <c r="N399" t="s">
        <v>1674</v>
      </c>
      <c r="O399" t="s">
        <v>1664</v>
      </c>
      <c r="P399">
        <v>1</v>
      </c>
      <c r="Q399" t="s">
        <v>1663</v>
      </c>
    </row>
    <row r="400" spans="1:18" x14ac:dyDescent="0.35">
      <c r="A400" t="s">
        <v>792</v>
      </c>
      <c r="B400" s="19">
        <v>46038</v>
      </c>
      <c r="C400" t="s">
        <v>314</v>
      </c>
      <c r="D400" t="s">
        <v>84</v>
      </c>
      <c r="E400" t="s">
        <v>71</v>
      </c>
      <c r="F400" t="s">
        <v>17</v>
      </c>
      <c r="G400">
        <v>0.86111111111111116</v>
      </c>
      <c r="H400">
        <v>0.85555555555555551</v>
      </c>
      <c r="I400">
        <v>-4</v>
      </c>
      <c r="J400" t="s">
        <v>18</v>
      </c>
      <c r="K400" t="s">
        <v>19</v>
      </c>
      <c r="L400">
        <v>1717</v>
      </c>
      <c r="M400">
        <v>-8</v>
      </c>
      <c r="N400" t="s">
        <v>1674</v>
      </c>
      <c r="O400" t="s">
        <v>1666</v>
      </c>
      <c r="P400">
        <v>1</v>
      </c>
      <c r="Q400" t="s">
        <v>1665</v>
      </c>
    </row>
    <row r="401" spans="1:18" x14ac:dyDescent="0.35">
      <c r="A401" t="s">
        <v>793</v>
      </c>
      <c r="B401" s="19">
        <v>46039</v>
      </c>
      <c r="C401" t="s">
        <v>794</v>
      </c>
      <c r="D401" t="s">
        <v>79</v>
      </c>
      <c r="E401" t="s">
        <v>588</v>
      </c>
      <c r="F401" t="s">
        <v>24</v>
      </c>
      <c r="G401">
        <v>0.2361111111111111</v>
      </c>
      <c r="H401">
        <v>0.24236111111111111</v>
      </c>
      <c r="I401">
        <v>1</v>
      </c>
      <c r="J401" t="s">
        <v>18</v>
      </c>
      <c r="K401" t="s">
        <v>19</v>
      </c>
      <c r="L401">
        <v>730</v>
      </c>
      <c r="M401">
        <v>9</v>
      </c>
      <c r="N401" t="s">
        <v>1674</v>
      </c>
      <c r="O401" t="s">
        <v>1667</v>
      </c>
      <c r="P401">
        <v>1</v>
      </c>
      <c r="Q401" t="s">
        <v>1660</v>
      </c>
    </row>
    <row r="402" spans="1:18" x14ac:dyDescent="0.35">
      <c r="A402" t="s">
        <v>795</v>
      </c>
      <c r="B402" s="19">
        <v>46039</v>
      </c>
      <c r="C402" t="s">
        <v>796</v>
      </c>
      <c r="D402" t="s">
        <v>197</v>
      </c>
      <c r="E402" t="s">
        <v>1295</v>
      </c>
      <c r="F402" t="s">
        <v>17</v>
      </c>
      <c r="G402">
        <v>0.59722222222222221</v>
      </c>
      <c r="H402">
        <v>0.61111111111111116</v>
      </c>
      <c r="I402">
        <v>11</v>
      </c>
      <c r="J402" t="s">
        <v>60</v>
      </c>
      <c r="K402" t="s">
        <v>19</v>
      </c>
      <c r="L402">
        <v>2580</v>
      </c>
      <c r="M402">
        <v>20</v>
      </c>
      <c r="N402" t="s">
        <v>1674</v>
      </c>
      <c r="O402" t="s">
        <v>1667</v>
      </c>
      <c r="P402">
        <v>1</v>
      </c>
      <c r="Q402" t="s">
        <v>1663</v>
      </c>
      <c r="R402" t="s">
        <v>1657</v>
      </c>
    </row>
    <row r="403" spans="1:18" x14ac:dyDescent="0.35">
      <c r="A403" t="s">
        <v>797</v>
      </c>
      <c r="B403" s="19">
        <v>46039</v>
      </c>
      <c r="C403" t="s">
        <v>452</v>
      </c>
      <c r="D403" t="s">
        <v>546</v>
      </c>
      <c r="E403" t="s">
        <v>1171</v>
      </c>
      <c r="F403" t="s">
        <v>17</v>
      </c>
      <c r="G403">
        <v>0.60763888888888884</v>
      </c>
      <c r="H403">
        <v>0.61388888888888893</v>
      </c>
      <c r="I403">
        <v>-2</v>
      </c>
      <c r="J403" t="s">
        <v>18</v>
      </c>
      <c r="K403" t="s">
        <v>19</v>
      </c>
      <c r="L403">
        <v>256</v>
      </c>
      <c r="M403">
        <v>9</v>
      </c>
      <c r="N403" t="s">
        <v>1674</v>
      </c>
      <c r="O403" t="s">
        <v>1667</v>
      </c>
      <c r="P403">
        <v>1</v>
      </c>
      <c r="Q403" t="s">
        <v>1663</v>
      </c>
    </row>
    <row r="404" spans="1:18" x14ac:dyDescent="0.35">
      <c r="A404" t="s">
        <v>798</v>
      </c>
      <c r="B404" s="19">
        <v>46039</v>
      </c>
      <c r="C404" t="s">
        <v>799</v>
      </c>
      <c r="D404" t="s">
        <v>546</v>
      </c>
      <c r="E404" t="s">
        <v>226</v>
      </c>
      <c r="F404" t="s">
        <v>24</v>
      </c>
      <c r="G404">
        <v>0.73263888888888884</v>
      </c>
      <c r="H404">
        <v>0.7270833333333333</v>
      </c>
      <c r="I404">
        <v>-10</v>
      </c>
      <c r="J404" t="s">
        <v>18</v>
      </c>
      <c r="K404" t="s">
        <v>19</v>
      </c>
      <c r="L404">
        <v>627</v>
      </c>
      <c r="M404">
        <v>-8</v>
      </c>
      <c r="N404" t="s">
        <v>1674</v>
      </c>
      <c r="O404" t="s">
        <v>1667</v>
      </c>
      <c r="P404">
        <v>1</v>
      </c>
      <c r="Q404" t="s">
        <v>1665</v>
      </c>
    </row>
    <row r="405" spans="1:18" x14ac:dyDescent="0.35">
      <c r="A405" t="s">
        <v>800</v>
      </c>
      <c r="B405" s="19">
        <v>46040</v>
      </c>
      <c r="C405" t="s">
        <v>801</v>
      </c>
      <c r="D405" t="s">
        <v>413</v>
      </c>
      <c r="E405" t="s">
        <v>79</v>
      </c>
      <c r="F405" t="s">
        <v>17</v>
      </c>
      <c r="G405">
        <v>0.69097222222222221</v>
      </c>
      <c r="H405">
        <v>0.69722222222222219</v>
      </c>
      <c r="I405">
        <v>18</v>
      </c>
      <c r="J405" t="s">
        <v>18</v>
      </c>
      <c r="K405" t="s">
        <v>19</v>
      </c>
      <c r="L405">
        <v>1942</v>
      </c>
      <c r="M405">
        <v>9</v>
      </c>
      <c r="N405" t="s">
        <v>1674</v>
      </c>
      <c r="O405" t="s">
        <v>1668</v>
      </c>
      <c r="P405">
        <v>0</v>
      </c>
      <c r="Q405" t="s">
        <v>1663</v>
      </c>
    </row>
    <row r="406" spans="1:18" x14ac:dyDescent="0.35">
      <c r="A406" t="s">
        <v>802</v>
      </c>
      <c r="B406" s="19">
        <v>46040</v>
      </c>
      <c r="C406" t="s">
        <v>728</v>
      </c>
      <c r="D406" t="s">
        <v>79</v>
      </c>
      <c r="E406" t="s">
        <v>197</v>
      </c>
      <c r="F406" t="s">
        <v>28</v>
      </c>
      <c r="G406">
        <v>0.70486111111111116</v>
      </c>
      <c r="H406">
        <v>0.7104166666666667</v>
      </c>
      <c r="I406">
        <v>-2</v>
      </c>
      <c r="J406" t="s">
        <v>18</v>
      </c>
      <c r="K406" t="s">
        <v>19</v>
      </c>
      <c r="L406">
        <v>759</v>
      </c>
      <c r="M406">
        <v>8</v>
      </c>
      <c r="N406" t="s">
        <v>1674</v>
      </c>
      <c r="O406" t="s">
        <v>1668</v>
      </c>
      <c r="P406">
        <v>1</v>
      </c>
      <c r="Q406" t="s">
        <v>1663</v>
      </c>
    </row>
    <row r="407" spans="1:18" x14ac:dyDescent="0.35">
      <c r="A407" t="s">
        <v>803</v>
      </c>
      <c r="B407" s="19">
        <v>46040</v>
      </c>
      <c r="C407" t="s">
        <v>804</v>
      </c>
      <c r="D407" t="s">
        <v>546</v>
      </c>
      <c r="E407" t="s">
        <v>202</v>
      </c>
      <c r="F407" t="s">
        <v>28</v>
      </c>
      <c r="G407">
        <v>0.77083333333333337</v>
      </c>
      <c r="H407">
        <v>0.78194444444444444</v>
      </c>
      <c r="I407">
        <v>19</v>
      </c>
      <c r="J407" t="s">
        <v>129</v>
      </c>
      <c r="K407" t="s">
        <v>19</v>
      </c>
      <c r="L407">
        <v>2171</v>
      </c>
      <c r="M407">
        <v>16</v>
      </c>
      <c r="N407" t="s">
        <v>1674</v>
      </c>
      <c r="O407" t="s">
        <v>1668</v>
      </c>
      <c r="P407">
        <v>0</v>
      </c>
      <c r="Q407" t="s">
        <v>1665</v>
      </c>
      <c r="R407" t="s">
        <v>1670</v>
      </c>
    </row>
    <row r="408" spans="1:18" x14ac:dyDescent="0.35">
      <c r="A408" t="s">
        <v>805</v>
      </c>
      <c r="B408" s="19">
        <v>46041</v>
      </c>
      <c r="C408" t="s">
        <v>92</v>
      </c>
      <c r="D408" t="s">
        <v>413</v>
      </c>
      <c r="E408" t="s">
        <v>226</v>
      </c>
      <c r="F408" t="s">
        <v>17</v>
      </c>
      <c r="G408">
        <v>0.2673611111111111</v>
      </c>
      <c r="H408">
        <v>0.26250000000000001</v>
      </c>
      <c r="I408">
        <v>-14</v>
      </c>
      <c r="J408" t="s">
        <v>18</v>
      </c>
      <c r="K408" t="s">
        <v>19</v>
      </c>
      <c r="L408">
        <v>861</v>
      </c>
      <c r="M408">
        <v>-7</v>
      </c>
      <c r="N408" t="s">
        <v>1674</v>
      </c>
      <c r="O408" t="s">
        <v>1659</v>
      </c>
      <c r="P408">
        <v>1</v>
      </c>
      <c r="Q408" t="s">
        <v>1660</v>
      </c>
    </row>
    <row r="409" spans="1:18" x14ac:dyDescent="0.35">
      <c r="A409" t="s">
        <v>807</v>
      </c>
      <c r="B409" s="19">
        <v>46041</v>
      </c>
      <c r="C409" t="s">
        <v>742</v>
      </c>
      <c r="D409" t="s">
        <v>71</v>
      </c>
      <c r="E409" t="s">
        <v>79</v>
      </c>
      <c r="F409" t="s">
        <v>28</v>
      </c>
      <c r="G409">
        <v>0.60416666666666663</v>
      </c>
      <c r="H409">
        <v>0.63888888888888884</v>
      </c>
      <c r="I409">
        <v>46</v>
      </c>
      <c r="J409" t="s">
        <v>129</v>
      </c>
      <c r="K409" t="s">
        <v>19</v>
      </c>
      <c r="L409">
        <v>606</v>
      </c>
      <c r="M409">
        <v>50</v>
      </c>
      <c r="N409" t="s">
        <v>1674</v>
      </c>
      <c r="O409" t="s">
        <v>1659</v>
      </c>
      <c r="P409">
        <v>0</v>
      </c>
      <c r="Q409" t="s">
        <v>1663</v>
      </c>
      <c r="R409" t="s">
        <v>1670</v>
      </c>
    </row>
    <row r="410" spans="1:18" x14ac:dyDescent="0.35">
      <c r="A410" t="s">
        <v>808</v>
      </c>
      <c r="B410" s="19">
        <v>46043</v>
      </c>
      <c r="C410" t="s">
        <v>165</v>
      </c>
      <c r="D410" t="s">
        <v>79</v>
      </c>
      <c r="E410" t="s">
        <v>413</v>
      </c>
      <c r="F410" t="s">
        <v>24</v>
      </c>
      <c r="G410">
        <v>0.33333333333333331</v>
      </c>
      <c r="H410">
        <v>0.32847222222222222</v>
      </c>
      <c r="I410">
        <v>1</v>
      </c>
      <c r="J410" t="s">
        <v>18</v>
      </c>
      <c r="K410" t="s">
        <v>19</v>
      </c>
      <c r="L410">
        <v>1942</v>
      </c>
      <c r="M410">
        <v>-7</v>
      </c>
      <c r="N410" t="s">
        <v>1674</v>
      </c>
      <c r="O410" t="s">
        <v>1662</v>
      </c>
      <c r="P410">
        <v>1</v>
      </c>
      <c r="Q410" t="s">
        <v>1660</v>
      </c>
    </row>
    <row r="411" spans="1:18" x14ac:dyDescent="0.35">
      <c r="A411" t="s">
        <v>809</v>
      </c>
      <c r="B411" s="19">
        <v>46044</v>
      </c>
      <c r="C411" t="s">
        <v>596</v>
      </c>
      <c r="D411" t="s">
        <v>1549</v>
      </c>
      <c r="E411" t="s">
        <v>79</v>
      </c>
      <c r="F411" t="s">
        <v>17</v>
      </c>
      <c r="G411">
        <v>0.2986111111111111</v>
      </c>
      <c r="H411">
        <v>0.2986111111111111</v>
      </c>
      <c r="I411">
        <v>-1</v>
      </c>
      <c r="J411" t="s">
        <v>18</v>
      </c>
      <c r="K411" t="s">
        <v>19</v>
      </c>
      <c r="L411">
        <v>945</v>
      </c>
      <c r="M411">
        <v>0</v>
      </c>
      <c r="N411" t="s">
        <v>1674</v>
      </c>
      <c r="O411" t="s">
        <v>1664</v>
      </c>
      <c r="P411">
        <v>1</v>
      </c>
      <c r="Q411" t="s">
        <v>1660</v>
      </c>
    </row>
    <row r="412" spans="1:18" x14ac:dyDescent="0.35">
      <c r="A412" t="s">
        <v>810</v>
      </c>
      <c r="B412" s="19">
        <v>46044</v>
      </c>
      <c r="C412" t="s">
        <v>776</v>
      </c>
      <c r="D412" t="s">
        <v>197</v>
      </c>
      <c r="E412" t="s">
        <v>588</v>
      </c>
      <c r="F412" t="s">
        <v>17</v>
      </c>
      <c r="G412">
        <v>0.39930555555555558</v>
      </c>
      <c r="H412">
        <v>0.40763888888888888</v>
      </c>
      <c r="I412">
        <v>13</v>
      </c>
      <c r="J412" t="s">
        <v>18</v>
      </c>
      <c r="K412" t="s">
        <v>19</v>
      </c>
      <c r="L412">
        <v>1389</v>
      </c>
      <c r="M412">
        <v>12</v>
      </c>
      <c r="N412" t="s">
        <v>1674</v>
      </c>
      <c r="O412" t="s">
        <v>1664</v>
      </c>
      <c r="P412">
        <v>1</v>
      </c>
      <c r="Q412" t="s">
        <v>1660</v>
      </c>
    </row>
    <row r="413" spans="1:18" x14ac:dyDescent="0.35">
      <c r="A413" t="s">
        <v>811</v>
      </c>
      <c r="B413" s="19">
        <v>46044</v>
      </c>
      <c r="C413" t="s">
        <v>812</v>
      </c>
      <c r="D413" t="s">
        <v>226</v>
      </c>
      <c r="E413" t="s">
        <v>413</v>
      </c>
      <c r="F413" t="s">
        <v>24</v>
      </c>
      <c r="G413">
        <v>0.71180555555555558</v>
      </c>
      <c r="H413">
        <v>0.78055555555555556</v>
      </c>
      <c r="I413">
        <v>100</v>
      </c>
      <c r="J413" t="s">
        <v>129</v>
      </c>
      <c r="K413" t="s">
        <v>19</v>
      </c>
      <c r="L413">
        <v>861</v>
      </c>
      <c r="M413">
        <v>99</v>
      </c>
      <c r="N413" t="s">
        <v>1674</v>
      </c>
      <c r="O413" t="s">
        <v>1664</v>
      </c>
      <c r="P413">
        <v>0</v>
      </c>
      <c r="Q413" t="s">
        <v>1665</v>
      </c>
      <c r="R413" t="s">
        <v>1670</v>
      </c>
    </row>
    <row r="414" spans="1:18" x14ac:dyDescent="0.35">
      <c r="A414" t="s">
        <v>813</v>
      </c>
      <c r="B414" s="19">
        <v>46045</v>
      </c>
      <c r="C414" t="s">
        <v>607</v>
      </c>
      <c r="D414" t="s">
        <v>71</v>
      </c>
      <c r="E414" t="s">
        <v>79</v>
      </c>
      <c r="F414" t="s">
        <v>17</v>
      </c>
      <c r="G414">
        <v>0.21527777777777779</v>
      </c>
      <c r="H414">
        <v>0.21319444444444441</v>
      </c>
      <c r="I414">
        <v>-6</v>
      </c>
      <c r="J414" t="s">
        <v>18</v>
      </c>
      <c r="K414" t="s">
        <v>19</v>
      </c>
      <c r="L414">
        <v>606</v>
      </c>
      <c r="M414">
        <v>-3</v>
      </c>
      <c r="N414" t="s">
        <v>1674</v>
      </c>
      <c r="O414" t="s">
        <v>1666</v>
      </c>
      <c r="P414">
        <v>1</v>
      </c>
      <c r="Q414" t="s">
        <v>1660</v>
      </c>
    </row>
    <row r="415" spans="1:18" x14ac:dyDescent="0.35">
      <c r="A415" t="s">
        <v>814</v>
      </c>
      <c r="B415" s="19">
        <v>46045</v>
      </c>
      <c r="C415" t="s">
        <v>815</v>
      </c>
      <c r="D415" t="s">
        <v>588</v>
      </c>
      <c r="E415" t="s">
        <v>1549</v>
      </c>
      <c r="F415" t="s">
        <v>38</v>
      </c>
      <c r="G415">
        <v>0.40625</v>
      </c>
      <c r="H415">
        <v>0.40833333333333333</v>
      </c>
      <c r="I415">
        <v>13</v>
      </c>
      <c r="J415" t="s">
        <v>18</v>
      </c>
      <c r="K415" t="s">
        <v>19</v>
      </c>
      <c r="L415">
        <v>1559</v>
      </c>
      <c r="M415">
        <v>3</v>
      </c>
      <c r="N415" t="s">
        <v>1674</v>
      </c>
      <c r="O415" t="s">
        <v>1666</v>
      </c>
      <c r="P415">
        <v>1</v>
      </c>
      <c r="Q415" t="s">
        <v>1660</v>
      </c>
    </row>
    <row r="416" spans="1:18" x14ac:dyDescent="0.35">
      <c r="A416" t="s">
        <v>816</v>
      </c>
      <c r="B416" s="19">
        <v>46046</v>
      </c>
      <c r="C416" t="s">
        <v>817</v>
      </c>
      <c r="D416" t="s">
        <v>1549</v>
      </c>
      <c r="E416" t="s">
        <v>588</v>
      </c>
      <c r="F416" t="s">
        <v>24</v>
      </c>
      <c r="G416">
        <v>0.84375</v>
      </c>
      <c r="H416">
        <v>0.84722222222222221</v>
      </c>
      <c r="I416">
        <v>7</v>
      </c>
      <c r="J416" t="s">
        <v>18</v>
      </c>
      <c r="K416" t="s">
        <v>19</v>
      </c>
      <c r="L416">
        <v>1559</v>
      </c>
      <c r="M416">
        <v>5</v>
      </c>
      <c r="N416" t="s">
        <v>1674</v>
      </c>
      <c r="O416" t="s">
        <v>1667</v>
      </c>
      <c r="P416">
        <v>1</v>
      </c>
      <c r="Q416" t="s">
        <v>1665</v>
      </c>
    </row>
    <row r="417" spans="1:18" x14ac:dyDescent="0.35">
      <c r="A417" t="s">
        <v>818</v>
      </c>
      <c r="B417" s="19">
        <v>46047</v>
      </c>
      <c r="C417" t="s">
        <v>819</v>
      </c>
      <c r="D417" t="s">
        <v>413</v>
      </c>
      <c r="E417" t="s">
        <v>546</v>
      </c>
      <c r="F417" t="s">
        <v>17</v>
      </c>
      <c r="G417">
        <v>0.45833333333333331</v>
      </c>
      <c r="H417">
        <v>0.46041666666666659</v>
      </c>
      <c r="I417">
        <v>0</v>
      </c>
      <c r="J417" t="s">
        <v>18</v>
      </c>
      <c r="K417" t="s">
        <v>19</v>
      </c>
      <c r="L417">
        <v>236</v>
      </c>
      <c r="M417">
        <v>3</v>
      </c>
      <c r="N417" t="s">
        <v>1674</v>
      </c>
      <c r="O417" t="s">
        <v>1668</v>
      </c>
      <c r="P417">
        <v>1</v>
      </c>
      <c r="Q417" t="s">
        <v>1660</v>
      </c>
    </row>
    <row r="418" spans="1:18" x14ac:dyDescent="0.35">
      <c r="A418" t="s">
        <v>820</v>
      </c>
      <c r="B418" s="19">
        <v>46047</v>
      </c>
      <c r="C418" t="s">
        <v>821</v>
      </c>
      <c r="D418" t="s">
        <v>226</v>
      </c>
      <c r="E418" t="s">
        <v>79</v>
      </c>
      <c r="F418" t="s">
        <v>24</v>
      </c>
      <c r="G418">
        <v>0.51041666666666663</v>
      </c>
      <c r="H418">
        <v>0.51666666666666672</v>
      </c>
      <c r="I418">
        <v>5</v>
      </c>
      <c r="J418" t="s">
        <v>18</v>
      </c>
      <c r="K418" t="s">
        <v>19</v>
      </c>
      <c r="L418">
        <v>1197</v>
      </c>
      <c r="M418">
        <v>9</v>
      </c>
      <c r="N418" t="s">
        <v>1674</v>
      </c>
      <c r="O418" t="s">
        <v>1668</v>
      </c>
      <c r="P418">
        <v>1</v>
      </c>
      <c r="Q418" t="s">
        <v>1663</v>
      </c>
    </row>
    <row r="419" spans="1:18" x14ac:dyDescent="0.35">
      <c r="A419" t="s">
        <v>822</v>
      </c>
      <c r="B419" s="19">
        <v>46047</v>
      </c>
      <c r="C419" t="s">
        <v>823</v>
      </c>
      <c r="D419" t="s">
        <v>79</v>
      </c>
      <c r="E419" t="s">
        <v>71</v>
      </c>
      <c r="F419" t="s">
        <v>24</v>
      </c>
      <c r="G419">
        <v>0.73263888888888884</v>
      </c>
      <c r="H419">
        <v>0.76041666666666663</v>
      </c>
      <c r="I419">
        <v>33</v>
      </c>
      <c r="J419" t="s">
        <v>129</v>
      </c>
      <c r="K419" t="s">
        <v>19</v>
      </c>
      <c r="L419">
        <v>606</v>
      </c>
      <c r="M419">
        <v>40</v>
      </c>
      <c r="N419" t="s">
        <v>1674</v>
      </c>
      <c r="O419" t="s">
        <v>1668</v>
      </c>
      <c r="P419">
        <v>0</v>
      </c>
      <c r="Q419" t="s">
        <v>1665</v>
      </c>
      <c r="R419" t="s">
        <v>1670</v>
      </c>
    </row>
    <row r="420" spans="1:18" x14ac:dyDescent="0.35">
      <c r="A420" t="s">
        <v>824</v>
      </c>
      <c r="B420" s="19">
        <v>46047</v>
      </c>
      <c r="C420" t="s">
        <v>236</v>
      </c>
      <c r="D420" t="s">
        <v>1171</v>
      </c>
      <c r="E420" t="s">
        <v>226</v>
      </c>
      <c r="F420" t="s">
        <v>28</v>
      </c>
      <c r="G420">
        <v>0.76041666666666663</v>
      </c>
      <c r="H420">
        <v>0.76527777777777772</v>
      </c>
      <c r="I420">
        <v>8</v>
      </c>
      <c r="J420" t="s">
        <v>18</v>
      </c>
      <c r="K420" t="s">
        <v>19</v>
      </c>
      <c r="L420">
        <v>602</v>
      </c>
      <c r="M420">
        <v>7</v>
      </c>
      <c r="N420" t="s">
        <v>1674</v>
      </c>
      <c r="O420" t="s">
        <v>1668</v>
      </c>
      <c r="P420">
        <v>1</v>
      </c>
      <c r="Q420" t="s">
        <v>1665</v>
      </c>
    </row>
    <row r="421" spans="1:18" x14ac:dyDescent="0.35">
      <c r="A421" t="s">
        <v>825</v>
      </c>
      <c r="B421" s="19">
        <v>46048</v>
      </c>
      <c r="C421" t="s">
        <v>161</v>
      </c>
      <c r="D421" t="s">
        <v>71</v>
      </c>
      <c r="E421" t="s">
        <v>1295</v>
      </c>
      <c r="F421" t="s">
        <v>28</v>
      </c>
      <c r="G421">
        <v>0.4201388888888889</v>
      </c>
      <c r="H421">
        <v>0.42083333333333328</v>
      </c>
      <c r="I421">
        <v>11</v>
      </c>
      <c r="J421" t="s">
        <v>18</v>
      </c>
      <c r="K421" t="s">
        <v>19</v>
      </c>
      <c r="L421">
        <v>1842</v>
      </c>
      <c r="M421">
        <v>1</v>
      </c>
      <c r="N421" t="s">
        <v>1674</v>
      </c>
      <c r="O421" t="s">
        <v>1659</v>
      </c>
      <c r="P421">
        <v>1</v>
      </c>
      <c r="Q421" t="s">
        <v>1660</v>
      </c>
    </row>
    <row r="422" spans="1:18" x14ac:dyDescent="0.35">
      <c r="A422" t="s">
        <v>826</v>
      </c>
      <c r="B422" s="19">
        <v>46048</v>
      </c>
      <c r="C422" t="s">
        <v>827</v>
      </c>
      <c r="D422" t="s">
        <v>79</v>
      </c>
      <c r="E422" t="s">
        <v>546</v>
      </c>
      <c r="F422" t="s">
        <v>17</v>
      </c>
      <c r="G422">
        <v>0.86111111111111116</v>
      </c>
      <c r="H422">
        <v>0.8618055555555556</v>
      </c>
      <c r="I422">
        <v>-10</v>
      </c>
      <c r="J422" t="s">
        <v>18</v>
      </c>
      <c r="K422" t="s">
        <v>19</v>
      </c>
      <c r="L422">
        <v>1743</v>
      </c>
      <c r="M422">
        <v>1</v>
      </c>
      <c r="N422" t="s">
        <v>1674</v>
      </c>
      <c r="O422" t="s">
        <v>1659</v>
      </c>
      <c r="P422">
        <v>1</v>
      </c>
      <c r="Q422" t="s">
        <v>1665</v>
      </c>
    </row>
    <row r="423" spans="1:18" x14ac:dyDescent="0.35">
      <c r="A423" t="s">
        <v>828</v>
      </c>
      <c r="B423" s="19">
        <v>46049</v>
      </c>
      <c r="C423" t="s">
        <v>829</v>
      </c>
      <c r="D423" t="s">
        <v>71</v>
      </c>
      <c r="E423" t="s">
        <v>79</v>
      </c>
      <c r="F423" t="s">
        <v>24</v>
      </c>
      <c r="G423">
        <v>0.53125</v>
      </c>
      <c r="H423">
        <v>0.53680555555555554</v>
      </c>
      <c r="I423">
        <v>11</v>
      </c>
      <c r="J423" t="s">
        <v>18</v>
      </c>
      <c r="K423" t="s">
        <v>19</v>
      </c>
      <c r="L423">
        <v>606</v>
      </c>
      <c r="M423">
        <v>8</v>
      </c>
      <c r="N423" t="s">
        <v>1674</v>
      </c>
      <c r="O423" t="s">
        <v>1661</v>
      </c>
      <c r="P423">
        <v>1</v>
      </c>
      <c r="Q423" t="s">
        <v>1663</v>
      </c>
    </row>
    <row r="424" spans="1:18" x14ac:dyDescent="0.35">
      <c r="A424" t="s">
        <v>830</v>
      </c>
      <c r="B424" s="19">
        <v>46049</v>
      </c>
      <c r="C424" t="s">
        <v>831</v>
      </c>
      <c r="D424" t="s">
        <v>202</v>
      </c>
      <c r="E424" t="s">
        <v>1171</v>
      </c>
      <c r="F424" t="s">
        <v>17</v>
      </c>
      <c r="G424">
        <v>0.64930555555555558</v>
      </c>
      <c r="H424">
        <v>0.67361111111111116</v>
      </c>
      <c r="I424">
        <v>42</v>
      </c>
      <c r="J424" t="s">
        <v>60</v>
      </c>
      <c r="K424" t="s">
        <v>19</v>
      </c>
      <c r="L424">
        <v>1969</v>
      </c>
      <c r="M424">
        <v>35</v>
      </c>
      <c r="N424" t="s">
        <v>1674</v>
      </c>
      <c r="O424" t="s">
        <v>1661</v>
      </c>
      <c r="P424">
        <v>0</v>
      </c>
      <c r="Q424" t="s">
        <v>1663</v>
      </c>
      <c r="R424" t="s">
        <v>1657</v>
      </c>
    </row>
    <row r="425" spans="1:18" x14ac:dyDescent="0.35">
      <c r="A425" t="s">
        <v>832</v>
      </c>
      <c r="B425" s="19">
        <v>46051</v>
      </c>
      <c r="C425" t="s">
        <v>833</v>
      </c>
      <c r="D425" t="s">
        <v>588</v>
      </c>
      <c r="E425" t="s">
        <v>202</v>
      </c>
      <c r="F425" t="s">
        <v>24</v>
      </c>
      <c r="G425">
        <v>0.35069444444444442</v>
      </c>
      <c r="H425">
        <v>0.34930555555555548</v>
      </c>
      <c r="I425">
        <v>-11</v>
      </c>
      <c r="J425" t="s">
        <v>18</v>
      </c>
      <c r="K425" t="s">
        <v>19</v>
      </c>
      <c r="L425">
        <v>1120</v>
      </c>
      <c r="M425">
        <v>-2</v>
      </c>
      <c r="N425" t="s">
        <v>1674</v>
      </c>
      <c r="O425" t="s">
        <v>1664</v>
      </c>
      <c r="P425">
        <v>1</v>
      </c>
      <c r="Q425" t="s">
        <v>1660</v>
      </c>
    </row>
    <row r="426" spans="1:18" x14ac:dyDescent="0.35">
      <c r="A426" t="s">
        <v>834</v>
      </c>
      <c r="B426" s="19">
        <v>46051</v>
      </c>
      <c r="C426" t="s">
        <v>835</v>
      </c>
      <c r="D426" t="s">
        <v>79</v>
      </c>
      <c r="E426" t="s">
        <v>1171</v>
      </c>
      <c r="F426" t="s">
        <v>17</v>
      </c>
      <c r="G426">
        <v>0.67013888888888884</v>
      </c>
      <c r="H426">
        <v>0.67083333333333328</v>
      </c>
      <c r="I426">
        <v>-10</v>
      </c>
      <c r="J426" t="s">
        <v>18</v>
      </c>
      <c r="K426" t="s">
        <v>19</v>
      </c>
      <c r="L426">
        <v>1584</v>
      </c>
      <c r="M426">
        <v>1</v>
      </c>
      <c r="N426" t="s">
        <v>1674</v>
      </c>
      <c r="O426" t="s">
        <v>1664</v>
      </c>
      <c r="P426">
        <v>1</v>
      </c>
      <c r="Q426" t="s">
        <v>1663</v>
      </c>
    </row>
    <row r="427" spans="1:18" x14ac:dyDescent="0.35">
      <c r="A427" t="s">
        <v>836</v>
      </c>
      <c r="B427" s="19">
        <v>46051</v>
      </c>
      <c r="C427" t="s">
        <v>837</v>
      </c>
      <c r="D427" t="s">
        <v>588</v>
      </c>
      <c r="E427" t="s">
        <v>197</v>
      </c>
      <c r="F427" t="s">
        <v>38</v>
      </c>
      <c r="G427">
        <v>0.8125</v>
      </c>
      <c r="H427">
        <v>0.80694444444444446</v>
      </c>
      <c r="I427">
        <v>-6</v>
      </c>
      <c r="J427" t="s">
        <v>18</v>
      </c>
      <c r="K427" t="s">
        <v>19</v>
      </c>
      <c r="L427">
        <v>1389</v>
      </c>
      <c r="M427">
        <v>-8</v>
      </c>
      <c r="N427" t="s">
        <v>1674</v>
      </c>
      <c r="O427" t="s">
        <v>1664</v>
      </c>
      <c r="P427">
        <v>1</v>
      </c>
      <c r="Q427" t="s">
        <v>1665</v>
      </c>
    </row>
    <row r="428" spans="1:18" x14ac:dyDescent="0.35">
      <c r="A428" t="s">
        <v>838</v>
      </c>
      <c r="B428" s="19">
        <v>46051</v>
      </c>
      <c r="C428" t="s">
        <v>839</v>
      </c>
      <c r="D428" t="s">
        <v>1549</v>
      </c>
      <c r="E428" t="s">
        <v>413</v>
      </c>
      <c r="F428" t="s">
        <v>24</v>
      </c>
      <c r="G428">
        <v>0.84027777777777779</v>
      </c>
      <c r="H428">
        <v>0.84027777777777779</v>
      </c>
      <c r="I428">
        <v>-4</v>
      </c>
      <c r="J428" t="s">
        <v>18</v>
      </c>
      <c r="K428" t="s">
        <v>19</v>
      </c>
      <c r="L428">
        <v>2606</v>
      </c>
      <c r="M428">
        <v>0</v>
      </c>
      <c r="N428" t="s">
        <v>1674</v>
      </c>
      <c r="O428" t="s">
        <v>1664</v>
      </c>
      <c r="P428">
        <v>1</v>
      </c>
      <c r="Q428" t="s">
        <v>1665</v>
      </c>
    </row>
    <row r="429" spans="1:18" x14ac:dyDescent="0.35">
      <c r="A429" t="s">
        <v>840</v>
      </c>
      <c r="B429" s="19">
        <v>46052</v>
      </c>
      <c r="C429" t="s">
        <v>841</v>
      </c>
      <c r="D429" t="s">
        <v>197</v>
      </c>
      <c r="E429" t="s">
        <v>202</v>
      </c>
      <c r="F429" t="s">
        <v>28</v>
      </c>
      <c r="G429">
        <v>0.46180555555555558</v>
      </c>
      <c r="H429">
        <v>0.45624999999999999</v>
      </c>
      <c r="I429">
        <v>-20</v>
      </c>
      <c r="J429" t="s">
        <v>18</v>
      </c>
      <c r="K429" t="s">
        <v>19</v>
      </c>
      <c r="L429">
        <v>1092</v>
      </c>
      <c r="M429">
        <v>-8</v>
      </c>
      <c r="N429" t="s">
        <v>1674</v>
      </c>
      <c r="O429" t="s">
        <v>1666</v>
      </c>
      <c r="P429">
        <v>1</v>
      </c>
      <c r="Q429" t="s">
        <v>1660</v>
      </c>
    </row>
    <row r="430" spans="1:18" x14ac:dyDescent="0.35">
      <c r="A430" t="s">
        <v>842</v>
      </c>
      <c r="B430" s="19">
        <v>46053</v>
      </c>
      <c r="C430" t="s">
        <v>843</v>
      </c>
      <c r="D430" t="s">
        <v>1171</v>
      </c>
      <c r="E430" t="s">
        <v>79</v>
      </c>
      <c r="F430" t="s">
        <v>24</v>
      </c>
      <c r="G430">
        <v>0.46180555555555558</v>
      </c>
      <c r="H430">
        <v>0.4861111111111111</v>
      </c>
      <c r="I430">
        <v>35</v>
      </c>
      <c r="J430" t="s">
        <v>129</v>
      </c>
      <c r="K430" t="s">
        <v>19</v>
      </c>
      <c r="L430">
        <v>1584</v>
      </c>
      <c r="M430">
        <v>35</v>
      </c>
      <c r="N430" t="s">
        <v>1674</v>
      </c>
      <c r="O430" t="s">
        <v>1667</v>
      </c>
      <c r="P430">
        <v>0</v>
      </c>
      <c r="Q430" t="s">
        <v>1660</v>
      </c>
      <c r="R430" t="s">
        <v>1670</v>
      </c>
    </row>
    <row r="431" spans="1:18" x14ac:dyDescent="0.35">
      <c r="A431" t="s">
        <v>844</v>
      </c>
      <c r="B431" s="19">
        <v>46053</v>
      </c>
      <c r="C431" t="s">
        <v>845</v>
      </c>
      <c r="D431" t="s">
        <v>79</v>
      </c>
      <c r="E431" t="s">
        <v>71</v>
      </c>
      <c r="F431" t="s">
        <v>28</v>
      </c>
      <c r="G431">
        <v>0.625</v>
      </c>
      <c r="H431">
        <v>0.62986111111111109</v>
      </c>
      <c r="I431">
        <v>15</v>
      </c>
      <c r="J431" t="s">
        <v>18</v>
      </c>
      <c r="K431" t="s">
        <v>19</v>
      </c>
      <c r="L431">
        <v>606</v>
      </c>
      <c r="M431">
        <v>7</v>
      </c>
      <c r="N431" t="s">
        <v>1674</v>
      </c>
      <c r="O431" t="s">
        <v>1667</v>
      </c>
      <c r="P431">
        <v>1</v>
      </c>
      <c r="Q431" t="s">
        <v>1663</v>
      </c>
    </row>
    <row r="432" spans="1:18" x14ac:dyDescent="0.35">
      <c r="A432" t="s">
        <v>846</v>
      </c>
      <c r="B432" s="19">
        <v>46053</v>
      </c>
      <c r="C432" t="s">
        <v>847</v>
      </c>
      <c r="D432" t="s">
        <v>79</v>
      </c>
      <c r="E432" t="s">
        <v>197</v>
      </c>
      <c r="F432" t="s">
        <v>24</v>
      </c>
      <c r="G432">
        <v>0.64583333333333337</v>
      </c>
      <c r="H432">
        <v>0.64513888888888893</v>
      </c>
      <c r="I432">
        <v>-6</v>
      </c>
      <c r="J432" t="s">
        <v>18</v>
      </c>
      <c r="K432" t="s">
        <v>19</v>
      </c>
      <c r="L432">
        <v>759</v>
      </c>
      <c r="M432">
        <v>-1</v>
      </c>
      <c r="N432" t="s">
        <v>1674</v>
      </c>
      <c r="O432" t="s">
        <v>1667</v>
      </c>
      <c r="P432">
        <v>1</v>
      </c>
      <c r="Q432" t="s">
        <v>1663</v>
      </c>
    </row>
    <row r="433" spans="1:18" x14ac:dyDescent="0.35">
      <c r="A433" t="s">
        <v>848</v>
      </c>
      <c r="B433" s="19">
        <v>46053</v>
      </c>
      <c r="C433" t="s">
        <v>849</v>
      </c>
      <c r="D433" t="s">
        <v>588</v>
      </c>
      <c r="E433" t="s">
        <v>226</v>
      </c>
      <c r="F433" t="s">
        <v>24</v>
      </c>
      <c r="G433">
        <v>0.65277777777777779</v>
      </c>
      <c r="H433">
        <v>0.6694444444444444</v>
      </c>
      <c r="I433">
        <v>25</v>
      </c>
      <c r="J433" t="s">
        <v>129</v>
      </c>
      <c r="K433" t="s">
        <v>19</v>
      </c>
      <c r="L433">
        <v>641</v>
      </c>
      <c r="M433">
        <v>24</v>
      </c>
      <c r="N433" t="s">
        <v>1674</v>
      </c>
      <c r="O433" t="s">
        <v>1667</v>
      </c>
      <c r="P433">
        <v>0</v>
      </c>
      <c r="Q433" t="s">
        <v>1663</v>
      </c>
      <c r="R433" t="s">
        <v>1670</v>
      </c>
    </row>
    <row r="434" spans="1:18" x14ac:dyDescent="0.35">
      <c r="A434" t="s">
        <v>850</v>
      </c>
      <c r="B434" s="19">
        <v>46053</v>
      </c>
      <c r="C434" t="s">
        <v>851</v>
      </c>
      <c r="D434" t="s">
        <v>588</v>
      </c>
      <c r="E434" t="s">
        <v>1295</v>
      </c>
      <c r="F434" t="s">
        <v>17</v>
      </c>
      <c r="G434">
        <v>0.69444444444444442</v>
      </c>
      <c r="H434">
        <v>0.70277777777777772</v>
      </c>
      <c r="I434">
        <v>18</v>
      </c>
      <c r="J434" t="s">
        <v>18</v>
      </c>
      <c r="K434" t="s">
        <v>19</v>
      </c>
      <c r="L434">
        <v>1462</v>
      </c>
      <c r="M434">
        <v>12</v>
      </c>
      <c r="N434" t="s">
        <v>1674</v>
      </c>
      <c r="O434" t="s">
        <v>1667</v>
      </c>
      <c r="P434">
        <v>0</v>
      </c>
      <c r="Q434" t="s">
        <v>1663</v>
      </c>
    </row>
    <row r="435" spans="1:18" x14ac:dyDescent="0.35">
      <c r="A435" t="s">
        <v>852</v>
      </c>
      <c r="B435" s="19">
        <v>46054</v>
      </c>
      <c r="C435" t="s">
        <v>853</v>
      </c>
      <c r="D435" t="s">
        <v>79</v>
      </c>
      <c r="E435" t="s">
        <v>588</v>
      </c>
      <c r="F435" t="s">
        <v>17</v>
      </c>
      <c r="G435">
        <v>0.36458333333333331</v>
      </c>
      <c r="H435">
        <v>0.37152777777777779</v>
      </c>
      <c r="I435">
        <v>20</v>
      </c>
      <c r="J435" t="s">
        <v>18</v>
      </c>
      <c r="K435" t="s">
        <v>19</v>
      </c>
      <c r="L435">
        <v>730</v>
      </c>
      <c r="M435">
        <v>10</v>
      </c>
      <c r="N435" t="s">
        <v>1675</v>
      </c>
      <c r="O435" t="s">
        <v>1668</v>
      </c>
      <c r="P435">
        <v>0</v>
      </c>
      <c r="Q435" t="s">
        <v>1660</v>
      </c>
    </row>
    <row r="436" spans="1:18" x14ac:dyDescent="0.35">
      <c r="A436" t="s">
        <v>854</v>
      </c>
      <c r="B436" s="19">
        <v>46054</v>
      </c>
      <c r="C436" t="s">
        <v>855</v>
      </c>
      <c r="D436" t="s">
        <v>226</v>
      </c>
      <c r="E436" t="s">
        <v>413</v>
      </c>
      <c r="F436" t="s">
        <v>28</v>
      </c>
      <c r="G436">
        <v>0.64236111111111116</v>
      </c>
      <c r="H436">
        <v>0.74444444444444446</v>
      </c>
      <c r="I436">
        <v>155</v>
      </c>
      <c r="J436" t="s">
        <v>54</v>
      </c>
      <c r="K436" t="s">
        <v>19</v>
      </c>
      <c r="L436">
        <v>861</v>
      </c>
      <c r="M436">
        <v>147</v>
      </c>
      <c r="N436" t="s">
        <v>1675</v>
      </c>
      <c r="O436" t="s">
        <v>1668</v>
      </c>
      <c r="P436">
        <v>0</v>
      </c>
      <c r="Q436" t="s">
        <v>1663</v>
      </c>
      <c r="R436" t="s">
        <v>1657</v>
      </c>
    </row>
    <row r="437" spans="1:18" x14ac:dyDescent="0.35">
      <c r="A437" t="s">
        <v>856</v>
      </c>
      <c r="B437" s="19">
        <v>46054</v>
      </c>
      <c r="C437" t="s">
        <v>857</v>
      </c>
      <c r="D437" t="s">
        <v>197</v>
      </c>
      <c r="E437" t="s">
        <v>413</v>
      </c>
      <c r="F437" t="s">
        <v>24</v>
      </c>
      <c r="G437">
        <v>0.80208333333333337</v>
      </c>
      <c r="H437">
        <v>0.80763888888888891</v>
      </c>
      <c r="I437">
        <v>7</v>
      </c>
      <c r="J437" t="s">
        <v>18</v>
      </c>
      <c r="K437" t="s">
        <v>19</v>
      </c>
      <c r="L437">
        <v>2470</v>
      </c>
      <c r="M437">
        <v>8</v>
      </c>
      <c r="N437" t="s">
        <v>1675</v>
      </c>
      <c r="O437" t="s">
        <v>1668</v>
      </c>
      <c r="P437">
        <v>1</v>
      </c>
      <c r="Q437" t="s">
        <v>1665</v>
      </c>
    </row>
    <row r="438" spans="1:18" x14ac:dyDescent="0.35">
      <c r="A438" t="s">
        <v>858</v>
      </c>
      <c r="B438" s="19">
        <v>46055</v>
      </c>
      <c r="C438" t="s">
        <v>859</v>
      </c>
      <c r="D438" t="s">
        <v>71</v>
      </c>
      <c r="E438" t="s">
        <v>226</v>
      </c>
      <c r="F438" t="s">
        <v>17</v>
      </c>
      <c r="G438">
        <v>0.3611111111111111</v>
      </c>
      <c r="H438">
        <v>0.35694444444444451</v>
      </c>
      <c r="I438">
        <v>-13</v>
      </c>
      <c r="J438" t="s">
        <v>18</v>
      </c>
      <c r="K438" t="s">
        <v>19</v>
      </c>
      <c r="L438">
        <v>886</v>
      </c>
      <c r="M438">
        <v>-6</v>
      </c>
      <c r="N438" t="s">
        <v>1675</v>
      </c>
      <c r="O438" t="s">
        <v>1659</v>
      </c>
      <c r="P438">
        <v>1</v>
      </c>
      <c r="Q438" t="s">
        <v>1660</v>
      </c>
    </row>
    <row r="439" spans="1:18" x14ac:dyDescent="0.35">
      <c r="A439" t="s">
        <v>860</v>
      </c>
      <c r="B439" s="19">
        <v>46055</v>
      </c>
      <c r="C439" t="s">
        <v>205</v>
      </c>
      <c r="D439" t="s">
        <v>588</v>
      </c>
      <c r="E439" t="s">
        <v>71</v>
      </c>
      <c r="F439" t="s">
        <v>28</v>
      </c>
      <c r="G439">
        <v>0.4548611111111111</v>
      </c>
      <c r="H439">
        <v>0.45902777777777781</v>
      </c>
      <c r="I439">
        <v>15</v>
      </c>
      <c r="J439" t="s">
        <v>18</v>
      </c>
      <c r="K439" t="s">
        <v>19</v>
      </c>
      <c r="L439">
        <v>802</v>
      </c>
      <c r="M439">
        <v>6</v>
      </c>
      <c r="N439" t="s">
        <v>1675</v>
      </c>
      <c r="O439" t="s">
        <v>1659</v>
      </c>
      <c r="P439">
        <v>1</v>
      </c>
      <c r="Q439" t="s">
        <v>1660</v>
      </c>
    </row>
    <row r="440" spans="1:18" x14ac:dyDescent="0.35">
      <c r="A440" t="s">
        <v>861</v>
      </c>
      <c r="B440" s="19">
        <v>46055</v>
      </c>
      <c r="C440" t="s">
        <v>862</v>
      </c>
      <c r="D440" t="s">
        <v>79</v>
      </c>
      <c r="E440" t="s">
        <v>226</v>
      </c>
      <c r="F440" t="s">
        <v>17</v>
      </c>
      <c r="G440">
        <v>0.56944444444444442</v>
      </c>
      <c r="H440">
        <v>0.62777777777777777</v>
      </c>
      <c r="I440">
        <v>77</v>
      </c>
      <c r="J440" t="s">
        <v>54</v>
      </c>
      <c r="K440" t="s">
        <v>19</v>
      </c>
      <c r="L440">
        <v>1197</v>
      </c>
      <c r="M440">
        <v>84</v>
      </c>
      <c r="N440" t="s">
        <v>1675</v>
      </c>
      <c r="O440" t="s">
        <v>1659</v>
      </c>
      <c r="P440">
        <v>0</v>
      </c>
      <c r="Q440" t="s">
        <v>1663</v>
      </c>
      <c r="R440" t="s">
        <v>1657</v>
      </c>
    </row>
    <row r="441" spans="1:18" x14ac:dyDescent="0.35">
      <c r="A441" t="s">
        <v>863</v>
      </c>
      <c r="B441" s="19">
        <v>46055</v>
      </c>
      <c r="C441" t="s">
        <v>864</v>
      </c>
      <c r="D441" t="s">
        <v>1549</v>
      </c>
      <c r="E441" t="s">
        <v>79</v>
      </c>
      <c r="F441" t="s">
        <v>38</v>
      </c>
      <c r="G441">
        <v>0.68402777777777779</v>
      </c>
      <c r="H441">
        <v>0.68541666666666667</v>
      </c>
      <c r="I441">
        <v>2</v>
      </c>
      <c r="J441" t="s">
        <v>18</v>
      </c>
      <c r="K441" t="s">
        <v>19</v>
      </c>
      <c r="L441">
        <v>945</v>
      </c>
      <c r="M441">
        <v>2</v>
      </c>
      <c r="N441" t="s">
        <v>1675</v>
      </c>
      <c r="O441" t="s">
        <v>1659</v>
      </c>
      <c r="P441">
        <v>1</v>
      </c>
      <c r="Q441" t="s">
        <v>1663</v>
      </c>
    </row>
    <row r="442" spans="1:18" x14ac:dyDescent="0.35">
      <c r="A442" t="s">
        <v>865</v>
      </c>
      <c r="B442" s="19">
        <v>46055</v>
      </c>
      <c r="C442" t="s">
        <v>866</v>
      </c>
      <c r="D442" t="s">
        <v>79</v>
      </c>
      <c r="E442" t="s">
        <v>546</v>
      </c>
      <c r="F442" t="s">
        <v>28</v>
      </c>
      <c r="G442">
        <v>0.74305555555555558</v>
      </c>
      <c r="H442">
        <v>0.80486111111111114</v>
      </c>
      <c r="I442">
        <v>95</v>
      </c>
      <c r="J442" t="s">
        <v>477</v>
      </c>
      <c r="K442" t="s">
        <v>19</v>
      </c>
      <c r="L442">
        <v>1743</v>
      </c>
      <c r="M442">
        <v>89</v>
      </c>
      <c r="N442" t="s">
        <v>1675</v>
      </c>
      <c r="O442" t="s">
        <v>1659</v>
      </c>
      <c r="P442">
        <v>0</v>
      </c>
      <c r="Q442" t="s">
        <v>1665</v>
      </c>
      <c r="R442" t="s">
        <v>1670</v>
      </c>
    </row>
    <row r="443" spans="1:18" x14ac:dyDescent="0.35">
      <c r="A443" t="s">
        <v>867</v>
      </c>
      <c r="B443" s="19">
        <v>46055</v>
      </c>
      <c r="C443" t="s">
        <v>868</v>
      </c>
      <c r="D443" t="s">
        <v>79</v>
      </c>
      <c r="E443" t="s">
        <v>546</v>
      </c>
      <c r="F443" t="s">
        <v>17</v>
      </c>
      <c r="G443">
        <v>0.85763888888888884</v>
      </c>
      <c r="H443">
        <v>0.87638888888888888</v>
      </c>
      <c r="I443">
        <v>29</v>
      </c>
      <c r="J443" t="s">
        <v>60</v>
      </c>
      <c r="K443" t="s">
        <v>19</v>
      </c>
      <c r="L443">
        <v>1743</v>
      </c>
      <c r="M443">
        <v>27</v>
      </c>
      <c r="N443" t="s">
        <v>1675</v>
      </c>
      <c r="O443" t="s">
        <v>1659</v>
      </c>
      <c r="P443">
        <v>0</v>
      </c>
      <c r="Q443" t="s">
        <v>1665</v>
      </c>
      <c r="R443" t="s">
        <v>1657</v>
      </c>
    </row>
    <row r="444" spans="1:18" x14ac:dyDescent="0.35">
      <c r="A444" t="s">
        <v>869</v>
      </c>
      <c r="B444" s="19">
        <v>46056</v>
      </c>
      <c r="C444" t="s">
        <v>133</v>
      </c>
      <c r="D444" t="s">
        <v>202</v>
      </c>
      <c r="E444" t="s">
        <v>84</v>
      </c>
      <c r="F444" t="s">
        <v>24</v>
      </c>
      <c r="G444">
        <v>0.30555555555555558</v>
      </c>
      <c r="H444">
        <v>0.30833333333333329</v>
      </c>
      <c r="I444">
        <v>12</v>
      </c>
      <c r="J444" t="s">
        <v>18</v>
      </c>
      <c r="K444" t="s">
        <v>19</v>
      </c>
      <c r="L444">
        <v>2722</v>
      </c>
      <c r="M444">
        <v>4</v>
      </c>
      <c r="N444" t="s">
        <v>1675</v>
      </c>
      <c r="O444" t="s">
        <v>1661</v>
      </c>
      <c r="P444">
        <v>1</v>
      </c>
      <c r="Q444" t="s">
        <v>1660</v>
      </c>
    </row>
    <row r="445" spans="1:18" x14ac:dyDescent="0.35">
      <c r="A445" t="s">
        <v>870</v>
      </c>
      <c r="B445" s="19">
        <v>46056</v>
      </c>
      <c r="C445" t="s">
        <v>871</v>
      </c>
      <c r="D445" t="s">
        <v>1549</v>
      </c>
      <c r="E445" t="s">
        <v>588</v>
      </c>
      <c r="F445" t="s">
        <v>17</v>
      </c>
      <c r="G445">
        <v>0.41319444444444442</v>
      </c>
      <c r="H445">
        <v>0.41388888888888892</v>
      </c>
      <c r="I445">
        <v>1</v>
      </c>
      <c r="J445" t="s">
        <v>18</v>
      </c>
      <c r="K445" t="s">
        <v>19</v>
      </c>
      <c r="L445">
        <v>1559</v>
      </c>
      <c r="M445">
        <v>1</v>
      </c>
      <c r="N445" t="s">
        <v>1675</v>
      </c>
      <c r="O445" t="s">
        <v>1661</v>
      </c>
      <c r="P445">
        <v>1</v>
      </c>
      <c r="Q445" t="s">
        <v>1660</v>
      </c>
    </row>
    <row r="446" spans="1:18" x14ac:dyDescent="0.35">
      <c r="A446" t="s">
        <v>872</v>
      </c>
      <c r="B446" s="19">
        <v>46056</v>
      </c>
      <c r="C446" t="s">
        <v>205</v>
      </c>
      <c r="D446" t="s">
        <v>79</v>
      </c>
      <c r="E446" t="s">
        <v>546</v>
      </c>
      <c r="F446" t="s">
        <v>24</v>
      </c>
      <c r="G446">
        <v>0.46875</v>
      </c>
      <c r="H446">
        <v>0.48749999999999999</v>
      </c>
      <c r="I446">
        <v>19</v>
      </c>
      <c r="J446" t="s">
        <v>129</v>
      </c>
      <c r="K446" t="s">
        <v>19</v>
      </c>
      <c r="L446">
        <v>1743</v>
      </c>
      <c r="M446">
        <v>27</v>
      </c>
      <c r="N446" t="s">
        <v>1675</v>
      </c>
      <c r="O446" t="s">
        <v>1661</v>
      </c>
      <c r="P446">
        <v>0</v>
      </c>
      <c r="Q446" t="s">
        <v>1660</v>
      </c>
      <c r="R446" t="s">
        <v>1670</v>
      </c>
    </row>
    <row r="447" spans="1:18" x14ac:dyDescent="0.35">
      <c r="A447" t="s">
        <v>873</v>
      </c>
      <c r="B447" s="19">
        <v>46056</v>
      </c>
      <c r="C447" t="s">
        <v>874</v>
      </c>
      <c r="D447" t="s">
        <v>546</v>
      </c>
      <c r="E447" t="s">
        <v>588</v>
      </c>
      <c r="F447" t="s">
        <v>17</v>
      </c>
      <c r="G447">
        <v>0.69444444444444442</v>
      </c>
      <c r="H447">
        <v>0.7</v>
      </c>
      <c r="I447">
        <v>12</v>
      </c>
      <c r="J447" t="s">
        <v>18</v>
      </c>
      <c r="K447" t="s">
        <v>19</v>
      </c>
      <c r="L447">
        <v>1053</v>
      </c>
      <c r="M447">
        <v>8</v>
      </c>
      <c r="N447" t="s">
        <v>1675</v>
      </c>
      <c r="O447" t="s">
        <v>1661</v>
      </c>
      <c r="P447">
        <v>1</v>
      </c>
      <c r="Q447" t="s">
        <v>1663</v>
      </c>
    </row>
    <row r="448" spans="1:18" x14ac:dyDescent="0.35">
      <c r="A448" t="s">
        <v>875</v>
      </c>
      <c r="B448" s="19">
        <v>46057</v>
      </c>
      <c r="C448" t="s">
        <v>292</v>
      </c>
      <c r="D448" t="s">
        <v>546</v>
      </c>
      <c r="E448" t="s">
        <v>226</v>
      </c>
      <c r="F448" t="s">
        <v>17</v>
      </c>
      <c r="G448">
        <v>0.3298611111111111</v>
      </c>
      <c r="H448">
        <v>0.33194444444444438</v>
      </c>
      <c r="I448">
        <v>-2</v>
      </c>
      <c r="J448" t="s">
        <v>18</v>
      </c>
      <c r="K448" t="s">
        <v>19</v>
      </c>
      <c r="L448">
        <v>627</v>
      </c>
      <c r="M448">
        <v>3</v>
      </c>
      <c r="N448" t="s">
        <v>1675</v>
      </c>
      <c r="O448" t="s">
        <v>1662</v>
      </c>
      <c r="P448">
        <v>1</v>
      </c>
      <c r="Q448" t="s">
        <v>1660</v>
      </c>
    </row>
    <row r="449" spans="1:18" x14ac:dyDescent="0.35">
      <c r="A449" t="s">
        <v>876</v>
      </c>
      <c r="B449" s="19">
        <v>46057</v>
      </c>
      <c r="C449" t="s">
        <v>877</v>
      </c>
      <c r="D449" t="s">
        <v>197</v>
      </c>
      <c r="E449" t="s">
        <v>226</v>
      </c>
      <c r="F449" t="s">
        <v>28</v>
      </c>
      <c r="G449">
        <v>0.46527777777777779</v>
      </c>
      <c r="H449">
        <v>0.47361111111111109</v>
      </c>
      <c r="I449">
        <v>0</v>
      </c>
      <c r="J449" t="s">
        <v>18</v>
      </c>
      <c r="K449" t="s">
        <v>19</v>
      </c>
      <c r="L449">
        <v>1622</v>
      </c>
      <c r="M449">
        <v>12</v>
      </c>
      <c r="N449" t="s">
        <v>1675</v>
      </c>
      <c r="O449" t="s">
        <v>1662</v>
      </c>
      <c r="P449">
        <v>1</v>
      </c>
      <c r="Q449" t="s">
        <v>1660</v>
      </c>
    </row>
    <row r="450" spans="1:18" x14ac:dyDescent="0.35">
      <c r="A450" t="s">
        <v>878</v>
      </c>
      <c r="B450" s="19">
        <v>46058</v>
      </c>
      <c r="C450" t="s">
        <v>271</v>
      </c>
      <c r="D450" t="s">
        <v>79</v>
      </c>
      <c r="E450" t="s">
        <v>84</v>
      </c>
      <c r="F450" t="s">
        <v>24</v>
      </c>
      <c r="G450">
        <v>0.38541666666666669</v>
      </c>
      <c r="H450">
        <v>0.38194444444444442</v>
      </c>
      <c r="I450">
        <v>-2</v>
      </c>
      <c r="J450" t="s">
        <v>18</v>
      </c>
      <c r="K450" t="s">
        <v>19</v>
      </c>
      <c r="L450">
        <v>2178</v>
      </c>
      <c r="M450">
        <v>-5</v>
      </c>
      <c r="N450" t="s">
        <v>1675</v>
      </c>
      <c r="O450" t="s">
        <v>1664</v>
      </c>
      <c r="P450">
        <v>1</v>
      </c>
      <c r="Q450" t="s">
        <v>1660</v>
      </c>
    </row>
    <row r="451" spans="1:18" x14ac:dyDescent="0.35">
      <c r="A451" t="s">
        <v>879</v>
      </c>
      <c r="B451" s="19">
        <v>46058</v>
      </c>
      <c r="C451" t="s">
        <v>332</v>
      </c>
      <c r="D451" t="s">
        <v>71</v>
      </c>
      <c r="E451" t="s">
        <v>413</v>
      </c>
      <c r="F451" t="s">
        <v>24</v>
      </c>
      <c r="G451">
        <v>0.59722222222222221</v>
      </c>
      <c r="H451">
        <v>0.64513888888888893</v>
      </c>
      <c r="I451">
        <v>75</v>
      </c>
      <c r="J451" t="s">
        <v>129</v>
      </c>
      <c r="K451" t="s">
        <v>19</v>
      </c>
      <c r="L451">
        <v>1742</v>
      </c>
      <c r="M451">
        <v>69</v>
      </c>
      <c r="N451" t="s">
        <v>1675</v>
      </c>
      <c r="O451" t="s">
        <v>1664</v>
      </c>
      <c r="P451">
        <v>0</v>
      </c>
      <c r="Q451" t="s">
        <v>1663</v>
      </c>
      <c r="R451" t="s">
        <v>1670</v>
      </c>
    </row>
    <row r="452" spans="1:18" x14ac:dyDescent="0.35">
      <c r="A452" t="s">
        <v>880</v>
      </c>
      <c r="B452" s="19">
        <v>46059</v>
      </c>
      <c r="C452" t="s">
        <v>881</v>
      </c>
      <c r="D452" t="s">
        <v>1549</v>
      </c>
      <c r="E452" t="s">
        <v>546</v>
      </c>
      <c r="F452" t="s">
        <v>28</v>
      </c>
      <c r="G452">
        <v>0.57986111111111116</v>
      </c>
      <c r="H452">
        <v>0.59652777777777777</v>
      </c>
      <c r="I452">
        <v>32</v>
      </c>
      <c r="J452" t="s">
        <v>54</v>
      </c>
      <c r="K452" t="s">
        <v>19</v>
      </c>
      <c r="L452">
        <v>2375</v>
      </c>
      <c r="M452">
        <v>24</v>
      </c>
      <c r="N452" t="s">
        <v>1675</v>
      </c>
      <c r="O452" t="s">
        <v>1666</v>
      </c>
      <c r="P452">
        <v>0</v>
      </c>
      <c r="Q452" t="s">
        <v>1663</v>
      </c>
      <c r="R452" t="s">
        <v>1657</v>
      </c>
    </row>
    <row r="453" spans="1:18" x14ac:dyDescent="0.35">
      <c r="A453" t="s">
        <v>882</v>
      </c>
      <c r="B453" s="19">
        <v>46059</v>
      </c>
      <c r="C453" t="s">
        <v>883</v>
      </c>
      <c r="D453" t="s">
        <v>71</v>
      </c>
      <c r="E453" t="s">
        <v>1549</v>
      </c>
      <c r="F453" t="s">
        <v>17</v>
      </c>
      <c r="G453">
        <v>0.63888888888888884</v>
      </c>
      <c r="H453">
        <v>0.64375000000000004</v>
      </c>
      <c r="I453">
        <v>6</v>
      </c>
      <c r="J453" t="s">
        <v>18</v>
      </c>
      <c r="K453" t="s">
        <v>19</v>
      </c>
      <c r="L453">
        <v>864</v>
      </c>
      <c r="M453">
        <v>7</v>
      </c>
      <c r="N453" t="s">
        <v>1675</v>
      </c>
      <c r="O453" t="s">
        <v>1666</v>
      </c>
      <c r="P453">
        <v>1</v>
      </c>
      <c r="Q453" t="s">
        <v>1663</v>
      </c>
    </row>
    <row r="454" spans="1:18" x14ac:dyDescent="0.35">
      <c r="A454" t="s">
        <v>884</v>
      </c>
      <c r="B454" s="19">
        <v>46060</v>
      </c>
      <c r="C454" t="s">
        <v>885</v>
      </c>
      <c r="D454" t="s">
        <v>79</v>
      </c>
      <c r="E454" t="s">
        <v>413</v>
      </c>
      <c r="F454" t="s">
        <v>24</v>
      </c>
      <c r="G454">
        <v>0.77430555555555558</v>
      </c>
      <c r="H454">
        <v>0.78194444444444444</v>
      </c>
      <c r="I454">
        <v>18</v>
      </c>
      <c r="J454" t="s">
        <v>18</v>
      </c>
      <c r="K454" t="s">
        <v>19</v>
      </c>
      <c r="L454">
        <v>1942</v>
      </c>
      <c r="M454">
        <v>11</v>
      </c>
      <c r="N454" t="s">
        <v>1675</v>
      </c>
      <c r="O454" t="s">
        <v>1667</v>
      </c>
      <c r="P454">
        <v>0</v>
      </c>
      <c r="Q454" t="s">
        <v>1665</v>
      </c>
    </row>
    <row r="455" spans="1:18" x14ac:dyDescent="0.35">
      <c r="A455" t="s">
        <v>886</v>
      </c>
      <c r="B455" s="19">
        <v>46061</v>
      </c>
      <c r="C455" t="s">
        <v>251</v>
      </c>
      <c r="D455" t="s">
        <v>1549</v>
      </c>
      <c r="E455" t="s">
        <v>202</v>
      </c>
      <c r="F455" t="s">
        <v>38</v>
      </c>
      <c r="G455">
        <v>0.31597222222222221</v>
      </c>
      <c r="H455">
        <v>0.31041666666666667</v>
      </c>
      <c r="I455">
        <v>-13</v>
      </c>
      <c r="J455" t="s">
        <v>18</v>
      </c>
      <c r="K455" t="s">
        <v>19</v>
      </c>
      <c r="L455">
        <v>1260</v>
      </c>
      <c r="M455">
        <v>-8</v>
      </c>
      <c r="N455" t="s">
        <v>1675</v>
      </c>
      <c r="O455" t="s">
        <v>1668</v>
      </c>
      <c r="P455">
        <v>1</v>
      </c>
      <c r="Q455" t="s">
        <v>1660</v>
      </c>
    </row>
    <row r="456" spans="1:18" x14ac:dyDescent="0.35">
      <c r="A456" t="s">
        <v>887</v>
      </c>
      <c r="B456" s="19">
        <v>46061</v>
      </c>
      <c r="C456" t="s">
        <v>434</v>
      </c>
      <c r="D456" t="s">
        <v>1295</v>
      </c>
      <c r="E456" t="s">
        <v>71</v>
      </c>
      <c r="F456" t="s">
        <v>28</v>
      </c>
      <c r="G456">
        <v>0.4548611111111111</v>
      </c>
      <c r="H456">
        <v>0.45555555555555549</v>
      </c>
      <c r="I456">
        <v>1</v>
      </c>
      <c r="J456" t="s">
        <v>18</v>
      </c>
      <c r="K456" t="s">
        <v>19</v>
      </c>
      <c r="L456">
        <v>1842</v>
      </c>
      <c r="M456">
        <v>1</v>
      </c>
      <c r="N456" t="s">
        <v>1675</v>
      </c>
      <c r="O456" t="s">
        <v>1668</v>
      </c>
      <c r="P456">
        <v>1</v>
      </c>
      <c r="Q456" t="s">
        <v>1660</v>
      </c>
    </row>
    <row r="457" spans="1:18" x14ac:dyDescent="0.35">
      <c r="A457" t="s">
        <v>1645</v>
      </c>
      <c r="B457" s="19">
        <v>46262</v>
      </c>
      <c r="C457" t="s">
        <v>118</v>
      </c>
      <c r="D457" t="s">
        <v>71</v>
      </c>
      <c r="E457" t="s">
        <v>1549</v>
      </c>
      <c r="F457" t="s">
        <v>17</v>
      </c>
      <c r="G457">
        <v>0.51388888888888884</v>
      </c>
      <c r="H457">
        <v>0.6118055555555556</v>
      </c>
      <c r="I457">
        <v>126</v>
      </c>
      <c r="J457" t="s">
        <v>60</v>
      </c>
      <c r="K457" t="s">
        <v>19</v>
      </c>
      <c r="L457">
        <v>864</v>
      </c>
      <c r="M457">
        <v>141</v>
      </c>
      <c r="N457" t="s">
        <v>1681</v>
      </c>
      <c r="O457" t="s">
        <v>1666</v>
      </c>
      <c r="P457">
        <v>0</v>
      </c>
      <c r="Q457" t="s">
        <v>1663</v>
      </c>
      <c r="R457" t="s">
        <v>1657</v>
      </c>
    </row>
    <row r="458" spans="1:18" x14ac:dyDescent="0.35">
      <c r="A458" t="s">
        <v>890</v>
      </c>
      <c r="B458" s="19">
        <v>46062</v>
      </c>
      <c r="C458" t="s">
        <v>891</v>
      </c>
      <c r="D458" t="s">
        <v>197</v>
      </c>
      <c r="E458" t="s">
        <v>71</v>
      </c>
      <c r="F458" t="s">
        <v>38</v>
      </c>
      <c r="G458">
        <v>0.28472222222222221</v>
      </c>
      <c r="H458">
        <v>0.28749999999999998</v>
      </c>
      <c r="I458">
        <v>7</v>
      </c>
      <c r="J458" t="s">
        <v>18</v>
      </c>
      <c r="K458" t="s">
        <v>19</v>
      </c>
      <c r="L458">
        <v>738</v>
      </c>
      <c r="M458">
        <v>4</v>
      </c>
      <c r="N458" t="s">
        <v>1675</v>
      </c>
      <c r="O458" t="s">
        <v>1659</v>
      </c>
      <c r="P458">
        <v>1</v>
      </c>
      <c r="Q458" t="s">
        <v>1660</v>
      </c>
    </row>
    <row r="459" spans="1:18" x14ac:dyDescent="0.35">
      <c r="A459" t="s">
        <v>892</v>
      </c>
      <c r="B459" s="19">
        <v>46062</v>
      </c>
      <c r="C459" t="s">
        <v>893</v>
      </c>
      <c r="D459" t="s">
        <v>226</v>
      </c>
      <c r="E459" t="s">
        <v>79</v>
      </c>
      <c r="F459" t="s">
        <v>38</v>
      </c>
      <c r="G459">
        <v>0.67361111111111116</v>
      </c>
      <c r="I459">
        <v>1</v>
      </c>
      <c r="J459" t="s">
        <v>18</v>
      </c>
      <c r="K459" t="s">
        <v>19</v>
      </c>
      <c r="L459">
        <v>1197</v>
      </c>
      <c r="M459">
        <v>9</v>
      </c>
      <c r="N459" t="s">
        <v>1675</v>
      </c>
      <c r="O459" t="s">
        <v>1659</v>
      </c>
      <c r="P459">
        <v>1</v>
      </c>
      <c r="Q459" t="s">
        <v>1663</v>
      </c>
    </row>
    <row r="460" spans="1:18" x14ac:dyDescent="0.35">
      <c r="A460" t="s">
        <v>894</v>
      </c>
      <c r="B460" s="19">
        <v>46062</v>
      </c>
      <c r="C460" t="s">
        <v>216</v>
      </c>
      <c r="D460" t="s">
        <v>588</v>
      </c>
      <c r="E460" t="s">
        <v>79</v>
      </c>
      <c r="F460" t="s">
        <v>24</v>
      </c>
      <c r="G460">
        <v>0.6875</v>
      </c>
      <c r="H460">
        <v>0.68680555555555556</v>
      </c>
      <c r="I460">
        <v>-11</v>
      </c>
      <c r="J460" t="s">
        <v>18</v>
      </c>
      <c r="K460" t="s">
        <v>19</v>
      </c>
      <c r="L460">
        <v>730</v>
      </c>
      <c r="M460">
        <v>-1</v>
      </c>
      <c r="N460" t="s">
        <v>1675</v>
      </c>
      <c r="O460" t="s">
        <v>1659</v>
      </c>
      <c r="P460">
        <v>1</v>
      </c>
      <c r="Q460" t="s">
        <v>1663</v>
      </c>
    </row>
    <row r="461" spans="1:18" x14ac:dyDescent="0.35">
      <c r="A461" t="s">
        <v>1644</v>
      </c>
      <c r="B461" s="19">
        <v>46261</v>
      </c>
      <c r="C461" t="s">
        <v>176</v>
      </c>
      <c r="D461" t="s">
        <v>84</v>
      </c>
      <c r="E461" t="s">
        <v>197</v>
      </c>
      <c r="F461" t="s">
        <v>28</v>
      </c>
      <c r="G461">
        <v>0.62847222222222221</v>
      </c>
      <c r="H461">
        <v>0.62777777777777777</v>
      </c>
      <c r="I461">
        <v>-8</v>
      </c>
      <c r="J461" t="s">
        <v>18</v>
      </c>
      <c r="K461" t="s">
        <v>19</v>
      </c>
      <c r="L461">
        <v>2415</v>
      </c>
      <c r="M461">
        <v>-1</v>
      </c>
      <c r="N461" t="s">
        <v>1681</v>
      </c>
      <c r="O461" t="s">
        <v>1664</v>
      </c>
      <c r="P461">
        <v>1</v>
      </c>
      <c r="Q461" t="s">
        <v>1663</v>
      </c>
    </row>
    <row r="462" spans="1:18" x14ac:dyDescent="0.35">
      <c r="A462" t="s">
        <v>1643</v>
      </c>
      <c r="B462" s="19">
        <v>46261</v>
      </c>
      <c r="C462" t="s">
        <v>494</v>
      </c>
      <c r="D462" t="s">
        <v>546</v>
      </c>
      <c r="E462" t="s">
        <v>197</v>
      </c>
      <c r="F462" t="s">
        <v>38</v>
      </c>
      <c r="G462">
        <v>0.61805555555555558</v>
      </c>
      <c r="H462">
        <v>0.61527777777777781</v>
      </c>
      <c r="I462">
        <v>-8</v>
      </c>
      <c r="J462" t="s">
        <v>18</v>
      </c>
      <c r="K462" t="s">
        <v>19</v>
      </c>
      <c r="L462">
        <v>2243</v>
      </c>
      <c r="M462">
        <v>-4</v>
      </c>
      <c r="N462" t="s">
        <v>1681</v>
      </c>
      <c r="O462" t="s">
        <v>1664</v>
      </c>
      <c r="P462">
        <v>1</v>
      </c>
      <c r="Q462" t="s">
        <v>1663</v>
      </c>
    </row>
    <row r="463" spans="1:18" x14ac:dyDescent="0.35">
      <c r="A463" t="s">
        <v>898</v>
      </c>
      <c r="B463" s="19">
        <v>46064</v>
      </c>
      <c r="C463" t="s">
        <v>899</v>
      </c>
      <c r="D463" t="s">
        <v>226</v>
      </c>
      <c r="E463" t="s">
        <v>71</v>
      </c>
      <c r="F463" t="s">
        <v>17</v>
      </c>
      <c r="G463">
        <v>0.46875</v>
      </c>
      <c r="H463">
        <v>0.46527777777777779</v>
      </c>
      <c r="I463">
        <v>0</v>
      </c>
      <c r="J463" t="s">
        <v>18</v>
      </c>
      <c r="K463" t="s">
        <v>19</v>
      </c>
      <c r="L463">
        <v>886</v>
      </c>
      <c r="M463">
        <v>-5</v>
      </c>
      <c r="N463" t="s">
        <v>1675</v>
      </c>
      <c r="O463" t="s">
        <v>1662</v>
      </c>
      <c r="P463">
        <v>1</v>
      </c>
      <c r="Q463" t="s">
        <v>1660</v>
      </c>
    </row>
    <row r="464" spans="1:18" x14ac:dyDescent="0.35">
      <c r="A464" t="s">
        <v>900</v>
      </c>
      <c r="B464" s="19">
        <v>46064</v>
      </c>
      <c r="C464" t="s">
        <v>901</v>
      </c>
      <c r="D464" t="s">
        <v>79</v>
      </c>
      <c r="E464" t="s">
        <v>197</v>
      </c>
      <c r="F464" t="s">
        <v>24</v>
      </c>
      <c r="G464">
        <v>0.60069444444444442</v>
      </c>
      <c r="H464">
        <v>0.66736111111111107</v>
      </c>
      <c r="I464">
        <v>90</v>
      </c>
      <c r="J464" t="s">
        <v>129</v>
      </c>
      <c r="K464" t="s">
        <v>19</v>
      </c>
      <c r="L464">
        <v>759</v>
      </c>
      <c r="M464">
        <v>96</v>
      </c>
      <c r="N464" t="s">
        <v>1675</v>
      </c>
      <c r="O464" t="s">
        <v>1662</v>
      </c>
      <c r="P464">
        <v>0</v>
      </c>
      <c r="Q464" t="s">
        <v>1663</v>
      </c>
      <c r="R464" t="s">
        <v>1670</v>
      </c>
    </row>
    <row r="465" spans="1:18" x14ac:dyDescent="0.35">
      <c r="A465" t="s">
        <v>902</v>
      </c>
      <c r="B465" s="19">
        <v>46064</v>
      </c>
      <c r="C465" t="s">
        <v>903</v>
      </c>
      <c r="D465" t="s">
        <v>588</v>
      </c>
      <c r="E465" t="s">
        <v>197</v>
      </c>
      <c r="F465" t="s">
        <v>24</v>
      </c>
      <c r="G465">
        <v>0.72916666666666663</v>
      </c>
      <c r="H465">
        <v>0.74236111111111114</v>
      </c>
      <c r="I465">
        <v>10</v>
      </c>
      <c r="J465" t="s">
        <v>60</v>
      </c>
      <c r="K465" t="s">
        <v>19</v>
      </c>
      <c r="L465">
        <v>1389</v>
      </c>
      <c r="M465">
        <v>19</v>
      </c>
      <c r="N465" t="s">
        <v>1675</v>
      </c>
      <c r="O465" t="s">
        <v>1662</v>
      </c>
      <c r="P465">
        <v>1</v>
      </c>
      <c r="Q465" t="s">
        <v>1665</v>
      </c>
      <c r="R465" t="s">
        <v>1657</v>
      </c>
    </row>
    <row r="466" spans="1:18" x14ac:dyDescent="0.35">
      <c r="A466" t="s">
        <v>904</v>
      </c>
      <c r="B466" s="19">
        <v>46067</v>
      </c>
      <c r="C466" t="s">
        <v>905</v>
      </c>
      <c r="D466" t="s">
        <v>588</v>
      </c>
      <c r="E466" t="s">
        <v>197</v>
      </c>
      <c r="F466" t="s">
        <v>17</v>
      </c>
      <c r="G466">
        <v>0.41666666666666669</v>
      </c>
      <c r="H466">
        <v>0.41597222222222219</v>
      </c>
      <c r="I466">
        <v>-8</v>
      </c>
      <c r="J466" t="s">
        <v>18</v>
      </c>
      <c r="K466" t="s">
        <v>19</v>
      </c>
      <c r="L466">
        <v>1389</v>
      </c>
      <c r="M466">
        <v>-1</v>
      </c>
      <c r="N466" t="s">
        <v>1675</v>
      </c>
      <c r="O466" t="s">
        <v>1667</v>
      </c>
      <c r="P466">
        <v>1</v>
      </c>
      <c r="Q466" t="s">
        <v>1660</v>
      </c>
    </row>
    <row r="467" spans="1:18" x14ac:dyDescent="0.35">
      <c r="A467" t="s">
        <v>906</v>
      </c>
      <c r="B467" s="19">
        <v>46067</v>
      </c>
      <c r="C467" t="s">
        <v>616</v>
      </c>
      <c r="D467" t="s">
        <v>84</v>
      </c>
      <c r="E467" t="s">
        <v>197</v>
      </c>
      <c r="F467" t="s">
        <v>28</v>
      </c>
      <c r="G467">
        <v>0.58333333333333337</v>
      </c>
      <c r="H467">
        <v>0.63263888888888886</v>
      </c>
      <c r="I467">
        <v>73</v>
      </c>
      <c r="J467" t="s">
        <v>129</v>
      </c>
      <c r="K467" t="s">
        <v>19</v>
      </c>
      <c r="L467">
        <v>2415</v>
      </c>
      <c r="M467">
        <v>71</v>
      </c>
      <c r="N467" t="s">
        <v>1675</v>
      </c>
      <c r="O467" t="s">
        <v>1667</v>
      </c>
      <c r="P467">
        <v>0</v>
      </c>
      <c r="Q467" t="s">
        <v>1663</v>
      </c>
      <c r="R467" t="s">
        <v>1670</v>
      </c>
    </row>
    <row r="468" spans="1:18" x14ac:dyDescent="0.35">
      <c r="A468" t="s">
        <v>907</v>
      </c>
      <c r="B468" s="19">
        <v>46067</v>
      </c>
      <c r="C468" t="s">
        <v>908</v>
      </c>
      <c r="D468" t="s">
        <v>71</v>
      </c>
      <c r="E468" t="s">
        <v>79</v>
      </c>
      <c r="F468" t="s">
        <v>17</v>
      </c>
      <c r="G468">
        <v>0.63888888888888884</v>
      </c>
      <c r="H468">
        <v>0.64027777777777772</v>
      </c>
      <c r="I468">
        <v>2</v>
      </c>
      <c r="J468" t="s">
        <v>18</v>
      </c>
      <c r="K468" t="s">
        <v>19</v>
      </c>
      <c r="L468">
        <v>606</v>
      </c>
      <c r="M468">
        <v>2</v>
      </c>
      <c r="N468" t="s">
        <v>1675</v>
      </c>
      <c r="O468" t="s">
        <v>1667</v>
      </c>
      <c r="P468">
        <v>1</v>
      </c>
      <c r="Q468" t="s">
        <v>1663</v>
      </c>
    </row>
    <row r="469" spans="1:18" x14ac:dyDescent="0.35">
      <c r="A469" t="s">
        <v>909</v>
      </c>
      <c r="B469" s="19">
        <v>46067</v>
      </c>
      <c r="C469" t="s">
        <v>626</v>
      </c>
      <c r="D469" t="s">
        <v>226</v>
      </c>
      <c r="E469" t="s">
        <v>79</v>
      </c>
      <c r="F469" t="s">
        <v>24</v>
      </c>
      <c r="G469">
        <v>0.81597222222222221</v>
      </c>
      <c r="H469">
        <v>0.83333333333333337</v>
      </c>
      <c r="I469">
        <v>13</v>
      </c>
      <c r="J469" t="s">
        <v>129</v>
      </c>
      <c r="K469" t="s">
        <v>19</v>
      </c>
      <c r="L469">
        <v>1197</v>
      </c>
      <c r="M469">
        <v>25</v>
      </c>
      <c r="N469" t="s">
        <v>1675</v>
      </c>
      <c r="O469" t="s">
        <v>1667</v>
      </c>
      <c r="P469">
        <v>1</v>
      </c>
      <c r="Q469" t="s">
        <v>1665</v>
      </c>
      <c r="R469" t="s">
        <v>1670</v>
      </c>
    </row>
    <row r="470" spans="1:18" x14ac:dyDescent="0.35">
      <c r="A470" t="s">
        <v>910</v>
      </c>
      <c r="B470" s="19">
        <v>46067</v>
      </c>
      <c r="C470" t="s">
        <v>911</v>
      </c>
      <c r="D470" t="s">
        <v>1295</v>
      </c>
      <c r="E470" t="s">
        <v>71</v>
      </c>
      <c r="F470" t="s">
        <v>17</v>
      </c>
      <c r="G470">
        <v>0.91319444444444442</v>
      </c>
      <c r="I470">
        <v>47</v>
      </c>
      <c r="J470" t="s">
        <v>54</v>
      </c>
      <c r="K470" t="s">
        <v>19</v>
      </c>
      <c r="L470">
        <v>1842</v>
      </c>
      <c r="M470">
        <v>40</v>
      </c>
      <c r="N470" t="s">
        <v>1675</v>
      </c>
      <c r="O470" t="s">
        <v>1667</v>
      </c>
      <c r="P470">
        <v>0</v>
      </c>
      <c r="Q470" t="s">
        <v>1669</v>
      </c>
      <c r="R470" t="s">
        <v>1657</v>
      </c>
    </row>
    <row r="471" spans="1:18" x14ac:dyDescent="0.35">
      <c r="A471" t="s">
        <v>912</v>
      </c>
      <c r="B471" s="19">
        <v>46068</v>
      </c>
      <c r="C471" t="s">
        <v>913</v>
      </c>
      <c r="D471" t="s">
        <v>202</v>
      </c>
      <c r="E471" t="s">
        <v>1171</v>
      </c>
      <c r="F471" t="s">
        <v>24</v>
      </c>
      <c r="G471">
        <v>0.3263888888888889</v>
      </c>
      <c r="H471">
        <v>0.32500000000000001</v>
      </c>
      <c r="I471">
        <v>4</v>
      </c>
      <c r="J471" t="s">
        <v>18</v>
      </c>
      <c r="K471" t="s">
        <v>19</v>
      </c>
      <c r="L471">
        <v>1969</v>
      </c>
      <c r="M471">
        <v>-2</v>
      </c>
      <c r="N471" t="s">
        <v>1675</v>
      </c>
      <c r="O471" t="s">
        <v>1668</v>
      </c>
      <c r="P471">
        <v>1</v>
      </c>
      <c r="Q471" t="s">
        <v>1660</v>
      </c>
    </row>
    <row r="472" spans="1:18" x14ac:dyDescent="0.35">
      <c r="A472" t="s">
        <v>914</v>
      </c>
      <c r="B472" s="19">
        <v>46068</v>
      </c>
      <c r="C472" t="s">
        <v>915</v>
      </c>
      <c r="D472" t="s">
        <v>546</v>
      </c>
      <c r="E472" t="s">
        <v>79</v>
      </c>
      <c r="F472" t="s">
        <v>28</v>
      </c>
      <c r="G472">
        <v>0.36458333333333331</v>
      </c>
      <c r="I472">
        <v>-5</v>
      </c>
      <c r="J472" t="s">
        <v>18</v>
      </c>
      <c r="K472" t="s">
        <v>19</v>
      </c>
      <c r="L472">
        <v>1743</v>
      </c>
      <c r="M472">
        <v>2</v>
      </c>
      <c r="N472" t="s">
        <v>1675</v>
      </c>
      <c r="O472" t="s">
        <v>1668</v>
      </c>
      <c r="P472">
        <v>1</v>
      </c>
      <c r="Q472" t="s">
        <v>1660</v>
      </c>
    </row>
    <row r="473" spans="1:18" x14ac:dyDescent="0.35">
      <c r="A473" t="s">
        <v>916</v>
      </c>
      <c r="B473" s="19">
        <v>46068</v>
      </c>
      <c r="C473" t="s">
        <v>917</v>
      </c>
      <c r="D473" t="s">
        <v>197</v>
      </c>
      <c r="E473" t="s">
        <v>226</v>
      </c>
      <c r="F473" t="s">
        <v>28</v>
      </c>
      <c r="G473">
        <v>0.625</v>
      </c>
      <c r="H473">
        <v>0.64375000000000004</v>
      </c>
      <c r="I473">
        <v>25</v>
      </c>
      <c r="J473" t="s">
        <v>129</v>
      </c>
      <c r="K473" t="s">
        <v>19</v>
      </c>
      <c r="L473">
        <v>1622</v>
      </c>
      <c r="M473">
        <v>27</v>
      </c>
      <c r="N473" t="s">
        <v>1675</v>
      </c>
      <c r="O473" t="s">
        <v>1668</v>
      </c>
      <c r="P473">
        <v>0</v>
      </c>
      <c r="Q473" t="s">
        <v>1663</v>
      </c>
      <c r="R473" t="s">
        <v>1670</v>
      </c>
    </row>
    <row r="474" spans="1:18" x14ac:dyDescent="0.35">
      <c r="A474" t="s">
        <v>918</v>
      </c>
      <c r="B474" s="19">
        <v>46068</v>
      </c>
      <c r="C474" t="s">
        <v>919</v>
      </c>
      <c r="D474" t="s">
        <v>1171</v>
      </c>
      <c r="E474" t="s">
        <v>1295</v>
      </c>
      <c r="F474" t="s">
        <v>28</v>
      </c>
      <c r="G474">
        <v>0.66666666666666663</v>
      </c>
      <c r="H474">
        <v>0.67291666666666672</v>
      </c>
      <c r="I474">
        <v>10</v>
      </c>
      <c r="J474" t="s">
        <v>18</v>
      </c>
      <c r="K474" t="s">
        <v>19</v>
      </c>
      <c r="L474">
        <v>651</v>
      </c>
      <c r="M474">
        <v>9</v>
      </c>
      <c r="N474" t="s">
        <v>1675</v>
      </c>
      <c r="O474" t="s">
        <v>1668</v>
      </c>
      <c r="P474">
        <v>1</v>
      </c>
      <c r="Q474" t="s">
        <v>1663</v>
      </c>
    </row>
    <row r="475" spans="1:18" x14ac:dyDescent="0.35">
      <c r="A475" t="s">
        <v>920</v>
      </c>
      <c r="B475" s="19">
        <v>46069</v>
      </c>
      <c r="C475" t="s">
        <v>70</v>
      </c>
      <c r="D475" t="s">
        <v>588</v>
      </c>
      <c r="E475" t="s">
        <v>413</v>
      </c>
      <c r="F475" t="s">
        <v>28</v>
      </c>
      <c r="G475">
        <v>0.30902777777777779</v>
      </c>
      <c r="H475">
        <v>0.30486111111111108</v>
      </c>
      <c r="I475">
        <v>-2</v>
      </c>
      <c r="J475" t="s">
        <v>18</v>
      </c>
      <c r="K475" t="s">
        <v>19</v>
      </c>
      <c r="L475">
        <v>1232</v>
      </c>
      <c r="M475">
        <v>-6</v>
      </c>
      <c r="N475" t="s">
        <v>1675</v>
      </c>
      <c r="O475" t="s">
        <v>1659</v>
      </c>
      <c r="P475">
        <v>1</v>
      </c>
      <c r="Q475" t="s">
        <v>1660</v>
      </c>
    </row>
    <row r="476" spans="1:18" x14ac:dyDescent="0.35">
      <c r="A476" t="s">
        <v>921</v>
      </c>
      <c r="B476" s="19">
        <v>46069</v>
      </c>
      <c r="C476" t="s">
        <v>922</v>
      </c>
      <c r="D476" t="s">
        <v>79</v>
      </c>
      <c r="E476" t="s">
        <v>1171</v>
      </c>
      <c r="F476" t="s">
        <v>28</v>
      </c>
      <c r="G476">
        <v>0.50347222222222221</v>
      </c>
      <c r="H476">
        <v>0.50555555555555554</v>
      </c>
      <c r="I476">
        <v>-3</v>
      </c>
      <c r="J476" t="s">
        <v>18</v>
      </c>
      <c r="K476" t="s">
        <v>19</v>
      </c>
      <c r="L476">
        <v>1584</v>
      </c>
      <c r="M476">
        <v>3</v>
      </c>
      <c r="N476" t="s">
        <v>1675</v>
      </c>
      <c r="O476" t="s">
        <v>1659</v>
      </c>
      <c r="P476">
        <v>1</v>
      </c>
      <c r="Q476" t="s">
        <v>1663</v>
      </c>
    </row>
    <row r="477" spans="1:18" x14ac:dyDescent="0.35">
      <c r="A477" t="s">
        <v>923</v>
      </c>
      <c r="B477" s="19">
        <v>46070</v>
      </c>
      <c r="C477" t="s">
        <v>924</v>
      </c>
      <c r="D477" t="s">
        <v>202</v>
      </c>
      <c r="E477" t="s">
        <v>71</v>
      </c>
      <c r="F477" t="s">
        <v>17</v>
      </c>
      <c r="G477">
        <v>0.43055555555555558</v>
      </c>
      <c r="H477">
        <v>0.44305555555555548</v>
      </c>
      <c r="I477">
        <v>20</v>
      </c>
      <c r="J477" t="s">
        <v>54</v>
      </c>
      <c r="K477" t="s">
        <v>19</v>
      </c>
      <c r="L477">
        <v>1199</v>
      </c>
      <c r="M477">
        <v>18</v>
      </c>
      <c r="N477" t="s">
        <v>1675</v>
      </c>
      <c r="O477" t="s">
        <v>1661</v>
      </c>
      <c r="P477">
        <v>0</v>
      </c>
      <c r="Q477" t="s">
        <v>1660</v>
      </c>
      <c r="R477" t="s">
        <v>1657</v>
      </c>
    </row>
    <row r="478" spans="1:18" x14ac:dyDescent="0.35">
      <c r="A478" t="s">
        <v>925</v>
      </c>
      <c r="B478" s="19">
        <v>46070</v>
      </c>
      <c r="C478" t="s">
        <v>926</v>
      </c>
      <c r="D478" t="s">
        <v>588</v>
      </c>
      <c r="E478" t="s">
        <v>84</v>
      </c>
      <c r="F478" t="s">
        <v>17</v>
      </c>
      <c r="G478">
        <v>0.70138888888888884</v>
      </c>
      <c r="H478">
        <v>0.7055555555555556</v>
      </c>
      <c r="I478">
        <v>12</v>
      </c>
      <c r="J478" t="s">
        <v>18</v>
      </c>
      <c r="K478" t="s">
        <v>19</v>
      </c>
      <c r="L478">
        <v>1658</v>
      </c>
      <c r="M478">
        <v>6</v>
      </c>
      <c r="N478" t="s">
        <v>1675</v>
      </c>
      <c r="O478" t="s">
        <v>1661</v>
      </c>
      <c r="P478">
        <v>1</v>
      </c>
      <c r="Q478" t="s">
        <v>1663</v>
      </c>
    </row>
    <row r="479" spans="1:18" x14ac:dyDescent="0.35">
      <c r="A479" t="s">
        <v>927</v>
      </c>
      <c r="B479" s="19">
        <v>46071</v>
      </c>
      <c r="C479" t="s">
        <v>330</v>
      </c>
      <c r="D479" t="s">
        <v>546</v>
      </c>
      <c r="E479" t="s">
        <v>588</v>
      </c>
      <c r="F479" t="s">
        <v>17</v>
      </c>
      <c r="G479">
        <v>0.21527777777777779</v>
      </c>
      <c r="H479">
        <v>0.21111111111111111</v>
      </c>
      <c r="I479">
        <v>-16</v>
      </c>
      <c r="J479" t="s">
        <v>18</v>
      </c>
      <c r="K479" t="s">
        <v>19</v>
      </c>
      <c r="L479">
        <v>1053</v>
      </c>
      <c r="M479">
        <v>-6</v>
      </c>
      <c r="N479" t="s">
        <v>1675</v>
      </c>
      <c r="O479" t="s">
        <v>1662</v>
      </c>
      <c r="P479">
        <v>1</v>
      </c>
      <c r="Q479" t="s">
        <v>1660</v>
      </c>
    </row>
    <row r="480" spans="1:18" x14ac:dyDescent="0.35">
      <c r="A480" t="s">
        <v>928</v>
      </c>
      <c r="B480" s="19">
        <v>46071</v>
      </c>
      <c r="C480" t="s">
        <v>929</v>
      </c>
      <c r="D480" t="s">
        <v>546</v>
      </c>
      <c r="E480" t="s">
        <v>197</v>
      </c>
      <c r="F480" t="s">
        <v>24</v>
      </c>
      <c r="G480">
        <v>0.28819444444444442</v>
      </c>
      <c r="H480">
        <v>0.29097222222222219</v>
      </c>
      <c r="I480">
        <v>-3</v>
      </c>
      <c r="J480" t="s">
        <v>18</v>
      </c>
      <c r="K480" t="s">
        <v>19</v>
      </c>
      <c r="L480">
        <v>2243</v>
      </c>
      <c r="M480">
        <v>4</v>
      </c>
      <c r="N480" t="s">
        <v>1675</v>
      </c>
      <c r="O480" t="s">
        <v>1662</v>
      </c>
      <c r="P480">
        <v>1</v>
      </c>
      <c r="Q480" t="s">
        <v>1660</v>
      </c>
    </row>
    <row r="481" spans="1:18" x14ac:dyDescent="0.35">
      <c r="A481" t="s">
        <v>930</v>
      </c>
      <c r="B481" s="19">
        <v>46072</v>
      </c>
      <c r="C481" t="s">
        <v>931</v>
      </c>
      <c r="D481" t="s">
        <v>79</v>
      </c>
      <c r="E481" t="s">
        <v>71</v>
      </c>
      <c r="F481" t="s">
        <v>28</v>
      </c>
      <c r="G481">
        <v>0.40625</v>
      </c>
      <c r="H481">
        <v>0.42499999999999999</v>
      </c>
      <c r="I481">
        <v>27</v>
      </c>
      <c r="J481" t="s">
        <v>477</v>
      </c>
      <c r="K481" t="s">
        <v>19</v>
      </c>
      <c r="L481">
        <v>606</v>
      </c>
      <c r="M481">
        <v>27</v>
      </c>
      <c r="N481" t="s">
        <v>1675</v>
      </c>
      <c r="O481" t="s">
        <v>1664</v>
      </c>
      <c r="P481">
        <v>0</v>
      </c>
      <c r="Q481" t="s">
        <v>1660</v>
      </c>
      <c r="R481" t="s">
        <v>1670</v>
      </c>
    </row>
    <row r="482" spans="1:18" x14ac:dyDescent="0.35">
      <c r="A482" t="s">
        <v>932</v>
      </c>
      <c r="B482" s="19">
        <v>46072</v>
      </c>
      <c r="C482" t="s">
        <v>933</v>
      </c>
      <c r="D482" t="s">
        <v>413</v>
      </c>
      <c r="E482" t="s">
        <v>226</v>
      </c>
      <c r="F482" t="s">
        <v>24</v>
      </c>
      <c r="G482">
        <v>0.40625</v>
      </c>
      <c r="H482">
        <v>0.4284722222222222</v>
      </c>
      <c r="I482">
        <v>18</v>
      </c>
      <c r="J482" t="s">
        <v>60</v>
      </c>
      <c r="K482" t="s">
        <v>19</v>
      </c>
      <c r="L482">
        <v>861</v>
      </c>
      <c r="M482">
        <v>32</v>
      </c>
      <c r="N482" t="s">
        <v>1675</v>
      </c>
      <c r="O482" t="s">
        <v>1664</v>
      </c>
      <c r="P482">
        <v>0</v>
      </c>
      <c r="Q482" t="s">
        <v>1660</v>
      </c>
      <c r="R482" t="s">
        <v>1657</v>
      </c>
    </row>
    <row r="483" spans="1:18" x14ac:dyDescent="0.35">
      <c r="A483" t="s">
        <v>934</v>
      </c>
      <c r="B483" s="19">
        <v>46072</v>
      </c>
      <c r="C483" t="s">
        <v>935</v>
      </c>
      <c r="D483" t="s">
        <v>588</v>
      </c>
      <c r="E483" t="s">
        <v>202</v>
      </c>
      <c r="F483" t="s">
        <v>38</v>
      </c>
      <c r="G483">
        <v>0.55208333333333337</v>
      </c>
      <c r="H483">
        <v>0.55347222222222225</v>
      </c>
      <c r="I483">
        <v>7</v>
      </c>
      <c r="J483" t="s">
        <v>18</v>
      </c>
      <c r="K483" t="s">
        <v>19</v>
      </c>
      <c r="M483">
        <v>2</v>
      </c>
      <c r="N483" t="s">
        <v>1675</v>
      </c>
      <c r="O483" t="s">
        <v>1664</v>
      </c>
      <c r="P483">
        <v>1</v>
      </c>
      <c r="Q483" t="s">
        <v>1663</v>
      </c>
    </row>
    <row r="484" spans="1:18" x14ac:dyDescent="0.35">
      <c r="A484" t="s">
        <v>936</v>
      </c>
      <c r="B484" s="19">
        <v>46072</v>
      </c>
      <c r="C484" t="s">
        <v>937</v>
      </c>
      <c r="D484" t="s">
        <v>1549</v>
      </c>
      <c r="E484" t="s">
        <v>197</v>
      </c>
      <c r="F484" t="s">
        <v>17</v>
      </c>
      <c r="G484">
        <v>0.68402777777777779</v>
      </c>
      <c r="H484">
        <v>0.8354166666666667</v>
      </c>
      <c r="I484">
        <v>213</v>
      </c>
      <c r="J484" t="s">
        <v>319</v>
      </c>
      <c r="K484" t="s">
        <v>19</v>
      </c>
      <c r="L484">
        <v>186</v>
      </c>
      <c r="M484">
        <v>218</v>
      </c>
      <c r="N484" t="s">
        <v>1675</v>
      </c>
      <c r="O484" t="s">
        <v>1664</v>
      </c>
      <c r="P484">
        <v>0</v>
      </c>
      <c r="Q484" t="s">
        <v>1663</v>
      </c>
      <c r="R484" t="s">
        <v>1670</v>
      </c>
    </row>
    <row r="485" spans="1:18" x14ac:dyDescent="0.35">
      <c r="A485" t="s">
        <v>938</v>
      </c>
      <c r="B485" s="19">
        <v>46072</v>
      </c>
      <c r="C485" t="s">
        <v>508</v>
      </c>
      <c r="D485" t="s">
        <v>588</v>
      </c>
      <c r="E485" t="s">
        <v>1549</v>
      </c>
      <c r="F485" t="s">
        <v>24</v>
      </c>
      <c r="G485">
        <v>0.6875</v>
      </c>
      <c r="H485">
        <v>0.68819444444444444</v>
      </c>
      <c r="I485">
        <v>-9</v>
      </c>
      <c r="J485" t="s">
        <v>18</v>
      </c>
      <c r="K485" t="s">
        <v>19</v>
      </c>
      <c r="L485">
        <v>1559</v>
      </c>
      <c r="M485">
        <v>1</v>
      </c>
      <c r="N485" t="s">
        <v>1675</v>
      </c>
      <c r="O485" t="s">
        <v>1664</v>
      </c>
      <c r="P485">
        <v>1</v>
      </c>
      <c r="Q485" t="s">
        <v>1663</v>
      </c>
    </row>
    <row r="486" spans="1:18" x14ac:dyDescent="0.35">
      <c r="A486" t="s">
        <v>939</v>
      </c>
      <c r="B486" s="19">
        <v>46072</v>
      </c>
      <c r="C486" t="s">
        <v>288</v>
      </c>
      <c r="D486" t="s">
        <v>546</v>
      </c>
      <c r="E486" t="s">
        <v>79</v>
      </c>
      <c r="F486" t="s">
        <v>24</v>
      </c>
      <c r="G486">
        <v>0.71875</v>
      </c>
      <c r="H486">
        <v>0.75416666666666665</v>
      </c>
      <c r="I486">
        <v>56</v>
      </c>
      <c r="J486" t="s">
        <v>129</v>
      </c>
      <c r="K486" t="s">
        <v>19</v>
      </c>
      <c r="L486">
        <v>1743</v>
      </c>
      <c r="M486">
        <v>51</v>
      </c>
      <c r="N486" t="s">
        <v>1675</v>
      </c>
      <c r="O486" t="s">
        <v>1664</v>
      </c>
      <c r="P486">
        <v>0</v>
      </c>
      <c r="Q486" t="s">
        <v>1665</v>
      </c>
      <c r="R486" t="s">
        <v>1670</v>
      </c>
    </row>
    <row r="487" spans="1:18" x14ac:dyDescent="0.35">
      <c r="A487" t="s">
        <v>941</v>
      </c>
      <c r="B487" s="19">
        <v>46073</v>
      </c>
      <c r="C487" t="s">
        <v>942</v>
      </c>
      <c r="D487" t="s">
        <v>1171</v>
      </c>
      <c r="E487" t="s">
        <v>226</v>
      </c>
      <c r="F487" t="s">
        <v>17</v>
      </c>
      <c r="G487">
        <v>0.41319444444444442</v>
      </c>
      <c r="H487">
        <v>0.4201388888888889</v>
      </c>
      <c r="I487">
        <v>12</v>
      </c>
      <c r="J487" t="s">
        <v>18</v>
      </c>
      <c r="K487" t="s">
        <v>19</v>
      </c>
      <c r="L487">
        <v>602</v>
      </c>
      <c r="M487">
        <v>10</v>
      </c>
      <c r="N487" t="s">
        <v>1675</v>
      </c>
      <c r="O487" t="s">
        <v>1666</v>
      </c>
      <c r="P487">
        <v>1</v>
      </c>
      <c r="Q487" t="s">
        <v>1660</v>
      </c>
    </row>
    <row r="488" spans="1:18" x14ac:dyDescent="0.35">
      <c r="A488" t="s">
        <v>943</v>
      </c>
      <c r="B488" s="19">
        <v>46073</v>
      </c>
      <c r="C488" t="s">
        <v>851</v>
      </c>
      <c r="D488" t="s">
        <v>413</v>
      </c>
      <c r="E488" t="s">
        <v>226</v>
      </c>
      <c r="F488" t="s">
        <v>17</v>
      </c>
      <c r="G488">
        <v>0.47569444444444442</v>
      </c>
      <c r="H488">
        <v>0.47083333333333333</v>
      </c>
      <c r="I488">
        <v>-12</v>
      </c>
      <c r="J488" t="s">
        <v>18</v>
      </c>
      <c r="K488" t="s">
        <v>19</v>
      </c>
      <c r="L488">
        <v>861</v>
      </c>
      <c r="M488">
        <v>-7</v>
      </c>
      <c r="N488" t="s">
        <v>1675</v>
      </c>
      <c r="O488" t="s">
        <v>1666</v>
      </c>
      <c r="P488">
        <v>1</v>
      </c>
      <c r="Q488" t="s">
        <v>1660</v>
      </c>
    </row>
    <row r="489" spans="1:18" x14ac:dyDescent="0.35">
      <c r="A489" t="s">
        <v>944</v>
      </c>
      <c r="B489" s="19">
        <v>46073</v>
      </c>
      <c r="C489" t="s">
        <v>945</v>
      </c>
      <c r="D489" t="s">
        <v>71</v>
      </c>
      <c r="E489" t="s">
        <v>588</v>
      </c>
      <c r="F489" t="s">
        <v>17</v>
      </c>
      <c r="G489">
        <v>0.59375</v>
      </c>
      <c r="H489">
        <v>0.59236111111111112</v>
      </c>
      <c r="I489">
        <v>6</v>
      </c>
      <c r="J489" t="s">
        <v>18</v>
      </c>
      <c r="K489" t="s">
        <v>19</v>
      </c>
      <c r="L489">
        <v>802</v>
      </c>
      <c r="M489">
        <v>-2</v>
      </c>
      <c r="N489" t="s">
        <v>1675</v>
      </c>
      <c r="O489" t="s">
        <v>1666</v>
      </c>
      <c r="P489">
        <v>1</v>
      </c>
      <c r="Q489" t="s">
        <v>1663</v>
      </c>
    </row>
    <row r="490" spans="1:18" x14ac:dyDescent="0.35">
      <c r="A490" t="s">
        <v>946</v>
      </c>
      <c r="B490" s="19">
        <v>46073</v>
      </c>
      <c r="C490" t="s">
        <v>125</v>
      </c>
      <c r="D490" t="s">
        <v>1171</v>
      </c>
      <c r="E490" t="s">
        <v>79</v>
      </c>
      <c r="F490" t="s">
        <v>24</v>
      </c>
      <c r="G490">
        <v>0.69791666666666663</v>
      </c>
      <c r="H490">
        <v>0.69652777777777775</v>
      </c>
      <c r="I490">
        <v>0</v>
      </c>
      <c r="J490" t="s">
        <v>18</v>
      </c>
      <c r="K490" t="s">
        <v>19</v>
      </c>
      <c r="L490">
        <v>1584</v>
      </c>
      <c r="M490">
        <v>-2</v>
      </c>
      <c r="N490" t="s">
        <v>1675</v>
      </c>
      <c r="O490" t="s">
        <v>1666</v>
      </c>
      <c r="P490">
        <v>1</v>
      </c>
      <c r="Q490" t="s">
        <v>1663</v>
      </c>
    </row>
    <row r="491" spans="1:18" x14ac:dyDescent="0.35">
      <c r="A491" t="s">
        <v>947</v>
      </c>
      <c r="B491" s="19">
        <v>46073</v>
      </c>
      <c r="C491" t="s">
        <v>935</v>
      </c>
      <c r="D491" t="s">
        <v>84</v>
      </c>
      <c r="E491" t="s">
        <v>79</v>
      </c>
      <c r="F491" t="s">
        <v>28</v>
      </c>
      <c r="G491">
        <v>0.89236111111111116</v>
      </c>
      <c r="H491">
        <v>0.90833333333333333</v>
      </c>
      <c r="I491">
        <v>28</v>
      </c>
      <c r="J491" t="s">
        <v>319</v>
      </c>
      <c r="K491" t="s">
        <v>19</v>
      </c>
      <c r="L491">
        <v>2178</v>
      </c>
      <c r="M491">
        <v>23</v>
      </c>
      <c r="N491" t="s">
        <v>1675</v>
      </c>
      <c r="O491" t="s">
        <v>1666</v>
      </c>
      <c r="P491">
        <v>0</v>
      </c>
      <c r="Q491" t="s">
        <v>1669</v>
      </c>
      <c r="R491" t="s">
        <v>1670</v>
      </c>
    </row>
    <row r="492" spans="1:18" x14ac:dyDescent="0.35">
      <c r="A492" t="s">
        <v>948</v>
      </c>
      <c r="B492" s="19">
        <v>46074</v>
      </c>
      <c r="C492" t="s">
        <v>330</v>
      </c>
      <c r="D492" t="s">
        <v>79</v>
      </c>
      <c r="E492" t="s">
        <v>588</v>
      </c>
      <c r="F492" t="s">
        <v>17</v>
      </c>
      <c r="G492">
        <v>0.54166666666666663</v>
      </c>
      <c r="H492">
        <v>0.53888888888888886</v>
      </c>
      <c r="I492">
        <v>-11</v>
      </c>
      <c r="J492" t="s">
        <v>18</v>
      </c>
      <c r="K492" t="s">
        <v>19</v>
      </c>
      <c r="L492">
        <v>730</v>
      </c>
      <c r="M492">
        <v>-4</v>
      </c>
      <c r="N492" t="s">
        <v>1675</v>
      </c>
      <c r="O492" t="s">
        <v>1667</v>
      </c>
      <c r="P492">
        <v>1</v>
      </c>
      <c r="Q492" t="s">
        <v>1663</v>
      </c>
    </row>
    <row r="493" spans="1:18" x14ac:dyDescent="0.35">
      <c r="A493" t="s">
        <v>949</v>
      </c>
      <c r="B493" s="19">
        <v>46075</v>
      </c>
      <c r="C493" t="s">
        <v>950</v>
      </c>
      <c r="D493" t="s">
        <v>1549</v>
      </c>
      <c r="E493" t="s">
        <v>588</v>
      </c>
      <c r="F493" t="s">
        <v>24</v>
      </c>
      <c r="G493">
        <v>0.49305555555555558</v>
      </c>
      <c r="H493">
        <v>0.51111111111111107</v>
      </c>
      <c r="I493">
        <v>32</v>
      </c>
      <c r="J493" t="s">
        <v>129</v>
      </c>
      <c r="K493" t="s">
        <v>19</v>
      </c>
      <c r="L493">
        <v>1559</v>
      </c>
      <c r="M493">
        <v>26</v>
      </c>
      <c r="N493" t="s">
        <v>1675</v>
      </c>
      <c r="O493" t="s">
        <v>1668</v>
      </c>
      <c r="P493">
        <v>0</v>
      </c>
      <c r="Q493" t="s">
        <v>1660</v>
      </c>
      <c r="R493" t="s">
        <v>1670</v>
      </c>
    </row>
    <row r="494" spans="1:18" x14ac:dyDescent="0.35">
      <c r="A494" t="s">
        <v>951</v>
      </c>
      <c r="B494" s="19">
        <v>46075</v>
      </c>
      <c r="C494" t="s">
        <v>874</v>
      </c>
      <c r="D494" t="s">
        <v>71</v>
      </c>
      <c r="E494" t="s">
        <v>1549</v>
      </c>
      <c r="F494" t="s">
        <v>28</v>
      </c>
      <c r="G494">
        <v>0.63541666666666663</v>
      </c>
      <c r="H494">
        <v>0.6381944444444444</v>
      </c>
      <c r="I494">
        <v>-2</v>
      </c>
      <c r="J494" t="s">
        <v>18</v>
      </c>
      <c r="K494" t="s">
        <v>19</v>
      </c>
      <c r="L494">
        <v>864</v>
      </c>
      <c r="M494">
        <v>4</v>
      </c>
      <c r="N494" t="s">
        <v>1675</v>
      </c>
      <c r="O494" t="s">
        <v>1668</v>
      </c>
      <c r="P494">
        <v>1</v>
      </c>
      <c r="Q494" t="s">
        <v>1663</v>
      </c>
    </row>
    <row r="495" spans="1:18" x14ac:dyDescent="0.35">
      <c r="A495" t="s">
        <v>952</v>
      </c>
      <c r="B495" s="19">
        <v>46076</v>
      </c>
      <c r="C495" t="s">
        <v>748</v>
      </c>
      <c r="D495" t="s">
        <v>1549</v>
      </c>
      <c r="E495" t="s">
        <v>79</v>
      </c>
      <c r="F495" t="s">
        <v>17</v>
      </c>
      <c r="G495">
        <v>0.34722222222222221</v>
      </c>
      <c r="H495">
        <v>0.3611111111111111</v>
      </c>
      <c r="J495" t="s">
        <v>129</v>
      </c>
      <c r="K495" t="s">
        <v>19</v>
      </c>
      <c r="L495">
        <v>945</v>
      </c>
      <c r="M495">
        <v>20</v>
      </c>
      <c r="N495" t="s">
        <v>1675</v>
      </c>
      <c r="O495" t="s">
        <v>1659</v>
      </c>
      <c r="Q495" t="s">
        <v>1660</v>
      </c>
      <c r="R495" t="s">
        <v>1670</v>
      </c>
    </row>
    <row r="496" spans="1:18" x14ac:dyDescent="0.35">
      <c r="A496" t="s">
        <v>953</v>
      </c>
      <c r="B496" s="19">
        <v>46076</v>
      </c>
      <c r="C496" t="s">
        <v>821</v>
      </c>
      <c r="D496" t="s">
        <v>546</v>
      </c>
      <c r="E496" t="s">
        <v>1171</v>
      </c>
      <c r="F496" t="s">
        <v>17</v>
      </c>
      <c r="G496">
        <v>0.35416666666666669</v>
      </c>
      <c r="H496">
        <v>0.35555555555555562</v>
      </c>
      <c r="I496">
        <v>-9</v>
      </c>
      <c r="J496" t="s">
        <v>18</v>
      </c>
      <c r="K496" t="s">
        <v>19</v>
      </c>
      <c r="L496">
        <v>256</v>
      </c>
      <c r="M496">
        <v>2</v>
      </c>
      <c r="N496" t="s">
        <v>1675</v>
      </c>
      <c r="O496" t="s">
        <v>1659</v>
      </c>
      <c r="P496">
        <v>1</v>
      </c>
      <c r="Q496" t="s">
        <v>1660</v>
      </c>
    </row>
    <row r="497" spans="1:18" x14ac:dyDescent="0.35">
      <c r="A497" t="s">
        <v>954</v>
      </c>
      <c r="B497" s="19">
        <v>46076</v>
      </c>
      <c r="C497" t="s">
        <v>955</v>
      </c>
      <c r="D497" t="s">
        <v>226</v>
      </c>
      <c r="E497" t="s">
        <v>79</v>
      </c>
      <c r="F497" t="s">
        <v>38</v>
      </c>
      <c r="G497">
        <v>0.69444444444444442</v>
      </c>
      <c r="H497">
        <v>0.70138888888888884</v>
      </c>
      <c r="I497">
        <v>4</v>
      </c>
      <c r="J497" t="s">
        <v>18</v>
      </c>
      <c r="K497" t="s">
        <v>19</v>
      </c>
      <c r="L497">
        <v>1197</v>
      </c>
      <c r="M497">
        <v>10</v>
      </c>
      <c r="N497" t="s">
        <v>1675</v>
      </c>
      <c r="O497" t="s">
        <v>1659</v>
      </c>
      <c r="P497">
        <v>1</v>
      </c>
      <c r="Q497" t="s">
        <v>1663</v>
      </c>
    </row>
    <row r="498" spans="1:18" x14ac:dyDescent="0.35">
      <c r="A498" t="s">
        <v>956</v>
      </c>
      <c r="B498" s="19">
        <v>46076</v>
      </c>
      <c r="C498" t="s">
        <v>649</v>
      </c>
      <c r="D498" t="s">
        <v>197</v>
      </c>
      <c r="E498" t="s">
        <v>79</v>
      </c>
      <c r="F498" t="s">
        <v>38</v>
      </c>
      <c r="G498">
        <v>0.90625</v>
      </c>
      <c r="H498">
        <v>0.90347222222222223</v>
      </c>
      <c r="I498">
        <v>6</v>
      </c>
      <c r="J498" t="s">
        <v>18</v>
      </c>
      <c r="K498" t="s">
        <v>19</v>
      </c>
      <c r="L498">
        <v>759</v>
      </c>
      <c r="M498">
        <v>-4</v>
      </c>
      <c r="N498" t="s">
        <v>1675</v>
      </c>
      <c r="O498" t="s">
        <v>1659</v>
      </c>
      <c r="P498">
        <v>1</v>
      </c>
      <c r="Q498" t="s">
        <v>1669</v>
      </c>
    </row>
    <row r="499" spans="1:18" x14ac:dyDescent="0.35">
      <c r="A499" t="s">
        <v>957</v>
      </c>
      <c r="B499" s="19">
        <v>46077</v>
      </c>
      <c r="C499" t="s">
        <v>958</v>
      </c>
      <c r="D499" t="s">
        <v>202</v>
      </c>
      <c r="E499" t="s">
        <v>71</v>
      </c>
      <c r="F499" t="s">
        <v>38</v>
      </c>
      <c r="G499">
        <v>0.29166666666666669</v>
      </c>
      <c r="H499">
        <v>0.28680555555555548</v>
      </c>
      <c r="I499">
        <v>-12</v>
      </c>
      <c r="J499" t="s">
        <v>18</v>
      </c>
      <c r="K499" t="s">
        <v>19</v>
      </c>
      <c r="L499">
        <v>1199</v>
      </c>
      <c r="M499">
        <v>-7</v>
      </c>
      <c r="N499" t="s">
        <v>1675</v>
      </c>
      <c r="O499" t="s">
        <v>1661</v>
      </c>
      <c r="P499">
        <v>1</v>
      </c>
      <c r="Q499" t="s">
        <v>1660</v>
      </c>
    </row>
    <row r="500" spans="1:18" x14ac:dyDescent="0.35">
      <c r="A500" t="s">
        <v>959</v>
      </c>
      <c r="B500" s="19">
        <v>46077</v>
      </c>
      <c r="C500" t="s">
        <v>960</v>
      </c>
      <c r="D500" t="s">
        <v>71</v>
      </c>
      <c r="E500" t="s">
        <v>1549</v>
      </c>
      <c r="F500" t="s">
        <v>17</v>
      </c>
      <c r="G500">
        <v>0.44791666666666669</v>
      </c>
      <c r="H500">
        <v>0.4465277777777778</v>
      </c>
      <c r="I500">
        <v>1</v>
      </c>
      <c r="J500" t="s">
        <v>18</v>
      </c>
      <c r="K500" t="s">
        <v>19</v>
      </c>
      <c r="L500">
        <v>864</v>
      </c>
      <c r="M500">
        <v>-2</v>
      </c>
      <c r="N500" t="s">
        <v>1675</v>
      </c>
      <c r="O500" t="s">
        <v>1661</v>
      </c>
      <c r="P500">
        <v>1</v>
      </c>
      <c r="Q500" t="s">
        <v>1660</v>
      </c>
    </row>
    <row r="501" spans="1:18" x14ac:dyDescent="0.35">
      <c r="A501" t="s">
        <v>961</v>
      </c>
      <c r="B501" s="19">
        <v>46077</v>
      </c>
      <c r="C501" t="s">
        <v>962</v>
      </c>
      <c r="D501" t="s">
        <v>71</v>
      </c>
      <c r="E501" t="s">
        <v>588</v>
      </c>
      <c r="F501" t="s">
        <v>24</v>
      </c>
      <c r="G501">
        <v>0.63541666666666663</v>
      </c>
      <c r="H501">
        <v>0.64236111111111116</v>
      </c>
      <c r="I501">
        <v>-1</v>
      </c>
      <c r="J501" t="s">
        <v>18</v>
      </c>
      <c r="K501" t="s">
        <v>19</v>
      </c>
      <c r="L501">
        <v>802</v>
      </c>
      <c r="M501">
        <v>10</v>
      </c>
      <c r="N501" t="s">
        <v>1675</v>
      </c>
      <c r="O501" t="s">
        <v>1661</v>
      </c>
      <c r="P501">
        <v>1</v>
      </c>
      <c r="Q501" t="s">
        <v>1663</v>
      </c>
    </row>
    <row r="502" spans="1:18" x14ac:dyDescent="0.35">
      <c r="A502" t="s">
        <v>963</v>
      </c>
      <c r="B502" s="19">
        <v>46077</v>
      </c>
      <c r="C502" t="s">
        <v>251</v>
      </c>
      <c r="D502" t="s">
        <v>79</v>
      </c>
      <c r="E502" t="s">
        <v>71</v>
      </c>
      <c r="F502" t="s">
        <v>17</v>
      </c>
      <c r="G502">
        <v>0.67013888888888884</v>
      </c>
      <c r="H502">
        <v>0.66597222222222219</v>
      </c>
      <c r="I502">
        <v>-11</v>
      </c>
      <c r="J502" t="s">
        <v>18</v>
      </c>
      <c r="K502" t="s">
        <v>19</v>
      </c>
      <c r="L502">
        <v>606</v>
      </c>
      <c r="M502">
        <v>-6</v>
      </c>
      <c r="N502" t="s">
        <v>1675</v>
      </c>
      <c r="O502" t="s">
        <v>1661</v>
      </c>
      <c r="P502">
        <v>1</v>
      </c>
      <c r="Q502" t="s">
        <v>1663</v>
      </c>
    </row>
    <row r="503" spans="1:18" x14ac:dyDescent="0.35">
      <c r="A503" t="s">
        <v>964</v>
      </c>
      <c r="B503" s="19">
        <v>46077</v>
      </c>
      <c r="C503" t="s">
        <v>965</v>
      </c>
      <c r="D503" t="s">
        <v>413</v>
      </c>
      <c r="E503" t="s">
        <v>1549</v>
      </c>
      <c r="F503" t="s">
        <v>17</v>
      </c>
      <c r="G503">
        <v>0.76041666666666663</v>
      </c>
      <c r="H503">
        <v>0.80208333333333337</v>
      </c>
      <c r="I503">
        <v>48</v>
      </c>
      <c r="J503" t="s">
        <v>54</v>
      </c>
      <c r="K503" t="s">
        <v>19</v>
      </c>
      <c r="L503">
        <v>2606</v>
      </c>
      <c r="M503">
        <v>60</v>
      </c>
      <c r="N503" t="s">
        <v>1675</v>
      </c>
      <c r="O503" t="s">
        <v>1661</v>
      </c>
      <c r="P503">
        <v>0</v>
      </c>
      <c r="Q503" t="s">
        <v>1665</v>
      </c>
      <c r="R503" t="s">
        <v>1657</v>
      </c>
    </row>
    <row r="504" spans="1:18" x14ac:dyDescent="0.35">
      <c r="A504" t="s">
        <v>966</v>
      </c>
      <c r="B504" s="19">
        <v>46077</v>
      </c>
      <c r="C504" t="s">
        <v>967</v>
      </c>
      <c r="D504" t="s">
        <v>202</v>
      </c>
      <c r="E504" t="s">
        <v>79</v>
      </c>
      <c r="F504" t="s">
        <v>28</v>
      </c>
      <c r="G504">
        <v>0.82638888888888884</v>
      </c>
      <c r="H504">
        <v>0.82847222222222228</v>
      </c>
      <c r="I504">
        <v>6</v>
      </c>
      <c r="J504" t="s">
        <v>18</v>
      </c>
      <c r="K504" t="s">
        <v>19</v>
      </c>
      <c r="L504">
        <v>596</v>
      </c>
      <c r="M504">
        <v>3</v>
      </c>
      <c r="N504" t="s">
        <v>1675</v>
      </c>
      <c r="O504" t="s">
        <v>1661</v>
      </c>
      <c r="P504">
        <v>1</v>
      </c>
      <c r="Q504" t="s">
        <v>1665</v>
      </c>
    </row>
    <row r="505" spans="1:18" x14ac:dyDescent="0.35">
      <c r="A505" t="s">
        <v>968</v>
      </c>
      <c r="B505" s="19">
        <v>46078</v>
      </c>
      <c r="C505" t="s">
        <v>969</v>
      </c>
      <c r="D505" t="s">
        <v>197</v>
      </c>
      <c r="E505" t="s">
        <v>202</v>
      </c>
      <c r="F505" t="s">
        <v>24</v>
      </c>
      <c r="G505">
        <v>0.38541666666666669</v>
      </c>
      <c r="H505">
        <v>0.38333333333333341</v>
      </c>
      <c r="I505">
        <v>-13</v>
      </c>
      <c r="J505" t="s">
        <v>18</v>
      </c>
      <c r="K505" t="s">
        <v>19</v>
      </c>
      <c r="L505">
        <v>1092</v>
      </c>
      <c r="M505">
        <v>-3</v>
      </c>
      <c r="N505" t="s">
        <v>1675</v>
      </c>
      <c r="O505" t="s">
        <v>1662</v>
      </c>
      <c r="P505">
        <v>1</v>
      </c>
      <c r="Q505" t="s">
        <v>1660</v>
      </c>
    </row>
    <row r="506" spans="1:18" x14ac:dyDescent="0.35">
      <c r="A506" t="s">
        <v>970</v>
      </c>
      <c r="B506" s="19">
        <v>46078</v>
      </c>
      <c r="C506" t="s">
        <v>971</v>
      </c>
      <c r="D506" t="s">
        <v>413</v>
      </c>
      <c r="E506" t="s">
        <v>588</v>
      </c>
      <c r="F506" t="s">
        <v>24</v>
      </c>
      <c r="G506">
        <v>0.70486111111111116</v>
      </c>
      <c r="H506">
        <v>0.70972222222222225</v>
      </c>
      <c r="I506">
        <v>15</v>
      </c>
      <c r="J506" t="s">
        <v>18</v>
      </c>
      <c r="K506" t="s">
        <v>19</v>
      </c>
      <c r="L506">
        <v>1232</v>
      </c>
      <c r="M506">
        <v>7</v>
      </c>
      <c r="N506" t="s">
        <v>1675</v>
      </c>
      <c r="O506" t="s">
        <v>1662</v>
      </c>
      <c r="P506">
        <v>1</v>
      </c>
      <c r="Q506" t="s">
        <v>1663</v>
      </c>
    </row>
    <row r="507" spans="1:18" x14ac:dyDescent="0.35">
      <c r="A507" t="s">
        <v>972</v>
      </c>
      <c r="B507" s="19">
        <v>46078</v>
      </c>
      <c r="C507" t="s">
        <v>973</v>
      </c>
      <c r="D507" t="s">
        <v>546</v>
      </c>
      <c r="E507" t="s">
        <v>1549</v>
      </c>
      <c r="F507" t="s">
        <v>17</v>
      </c>
      <c r="G507">
        <v>0.76736111111111116</v>
      </c>
      <c r="H507">
        <v>0.77361111111111114</v>
      </c>
      <c r="I507">
        <v>-2</v>
      </c>
      <c r="J507" t="s">
        <v>18</v>
      </c>
      <c r="K507" t="s">
        <v>19</v>
      </c>
      <c r="L507">
        <v>2375</v>
      </c>
      <c r="M507">
        <v>9</v>
      </c>
      <c r="N507" t="s">
        <v>1675</v>
      </c>
      <c r="O507" t="s">
        <v>1662</v>
      </c>
      <c r="P507">
        <v>1</v>
      </c>
      <c r="Q507" t="s">
        <v>1665</v>
      </c>
    </row>
    <row r="508" spans="1:18" x14ac:dyDescent="0.35">
      <c r="A508" t="s">
        <v>974</v>
      </c>
      <c r="B508" s="19">
        <v>46078</v>
      </c>
      <c r="C508" t="s">
        <v>975</v>
      </c>
      <c r="D508" t="s">
        <v>226</v>
      </c>
      <c r="E508" t="s">
        <v>197</v>
      </c>
      <c r="F508" t="s">
        <v>28</v>
      </c>
      <c r="G508">
        <v>0.78125</v>
      </c>
      <c r="H508">
        <v>0.80138888888888893</v>
      </c>
      <c r="I508">
        <v>28</v>
      </c>
      <c r="J508" t="s">
        <v>129</v>
      </c>
      <c r="K508" t="s">
        <v>19</v>
      </c>
      <c r="L508">
        <v>1622</v>
      </c>
      <c r="M508">
        <v>29</v>
      </c>
      <c r="N508" t="s">
        <v>1675</v>
      </c>
      <c r="O508" t="s">
        <v>1662</v>
      </c>
      <c r="P508">
        <v>0</v>
      </c>
      <c r="Q508" t="s">
        <v>1665</v>
      </c>
      <c r="R508" t="s">
        <v>1670</v>
      </c>
    </row>
    <row r="509" spans="1:18" x14ac:dyDescent="0.35">
      <c r="A509" t="s">
        <v>976</v>
      </c>
      <c r="B509" s="19">
        <v>46080</v>
      </c>
      <c r="C509" t="s">
        <v>125</v>
      </c>
      <c r="D509" t="s">
        <v>79</v>
      </c>
      <c r="E509" t="s">
        <v>413</v>
      </c>
      <c r="F509" t="s">
        <v>38</v>
      </c>
      <c r="G509">
        <v>0.3263888888888889</v>
      </c>
      <c r="H509">
        <v>0.35486111111111113</v>
      </c>
      <c r="I509">
        <v>39</v>
      </c>
      <c r="J509" t="s">
        <v>54</v>
      </c>
      <c r="K509" t="s">
        <v>19</v>
      </c>
      <c r="L509">
        <v>1942</v>
      </c>
      <c r="M509">
        <v>41</v>
      </c>
      <c r="N509" t="s">
        <v>1675</v>
      </c>
      <c r="O509" t="s">
        <v>1666</v>
      </c>
      <c r="P509">
        <v>0</v>
      </c>
      <c r="Q509" t="s">
        <v>1660</v>
      </c>
      <c r="R509" t="s">
        <v>1657</v>
      </c>
    </row>
    <row r="510" spans="1:18" x14ac:dyDescent="0.35">
      <c r="A510" t="s">
        <v>1642</v>
      </c>
      <c r="B510" s="19">
        <v>46261</v>
      </c>
      <c r="C510" t="s">
        <v>1075</v>
      </c>
      <c r="D510" t="s">
        <v>202</v>
      </c>
      <c r="E510" t="s">
        <v>71</v>
      </c>
      <c r="F510" t="s">
        <v>24</v>
      </c>
      <c r="G510">
        <v>0.3125</v>
      </c>
      <c r="H510">
        <v>0.31319444444444439</v>
      </c>
      <c r="I510">
        <v>7</v>
      </c>
      <c r="J510" t="s">
        <v>18</v>
      </c>
      <c r="K510" t="s">
        <v>19</v>
      </c>
      <c r="L510">
        <v>1199</v>
      </c>
      <c r="M510">
        <v>1</v>
      </c>
      <c r="N510" t="s">
        <v>1681</v>
      </c>
      <c r="O510" t="s">
        <v>1664</v>
      </c>
      <c r="P510">
        <v>1</v>
      </c>
      <c r="Q510" t="s">
        <v>1660</v>
      </c>
    </row>
    <row r="511" spans="1:18" x14ac:dyDescent="0.35">
      <c r="A511" t="s">
        <v>979</v>
      </c>
      <c r="B511" s="19">
        <v>46080</v>
      </c>
      <c r="C511" t="s">
        <v>424</v>
      </c>
      <c r="D511" t="s">
        <v>226</v>
      </c>
      <c r="E511" t="s">
        <v>71</v>
      </c>
      <c r="F511" t="s">
        <v>17</v>
      </c>
      <c r="G511">
        <v>0.72569444444444442</v>
      </c>
      <c r="H511">
        <v>0.72916666666666663</v>
      </c>
      <c r="I511">
        <v>10</v>
      </c>
      <c r="J511" t="s">
        <v>18</v>
      </c>
      <c r="K511" t="s">
        <v>19</v>
      </c>
      <c r="L511">
        <v>886</v>
      </c>
      <c r="M511">
        <v>5</v>
      </c>
      <c r="N511" t="s">
        <v>1675</v>
      </c>
      <c r="O511" t="s">
        <v>1666</v>
      </c>
      <c r="P511">
        <v>1</v>
      </c>
      <c r="Q511" t="s">
        <v>1665</v>
      </c>
    </row>
    <row r="512" spans="1:18" x14ac:dyDescent="0.35">
      <c r="A512" t="s">
        <v>980</v>
      </c>
      <c r="B512" s="19">
        <v>46080</v>
      </c>
      <c r="C512" t="s">
        <v>981</v>
      </c>
      <c r="D512" t="s">
        <v>202</v>
      </c>
      <c r="E512" t="s">
        <v>71</v>
      </c>
      <c r="F512" t="s">
        <v>28</v>
      </c>
      <c r="G512">
        <v>0.74305555555555558</v>
      </c>
      <c r="H512">
        <v>0.78055555555555556</v>
      </c>
      <c r="I512">
        <v>48</v>
      </c>
      <c r="J512" t="s">
        <v>54</v>
      </c>
      <c r="K512" t="s">
        <v>19</v>
      </c>
      <c r="L512">
        <v>1199</v>
      </c>
      <c r="M512">
        <v>54</v>
      </c>
      <c r="N512" t="s">
        <v>1675</v>
      </c>
      <c r="O512" t="s">
        <v>1666</v>
      </c>
      <c r="P512">
        <v>0</v>
      </c>
      <c r="Q512" t="s">
        <v>1665</v>
      </c>
      <c r="R512" t="s">
        <v>1657</v>
      </c>
    </row>
    <row r="513" spans="1:18" x14ac:dyDescent="0.35">
      <c r="A513" t="s">
        <v>982</v>
      </c>
      <c r="B513" s="19">
        <v>46081</v>
      </c>
      <c r="C513" t="s">
        <v>983</v>
      </c>
      <c r="D513" t="s">
        <v>1171</v>
      </c>
      <c r="E513" t="s">
        <v>588</v>
      </c>
      <c r="F513" t="s">
        <v>38</v>
      </c>
      <c r="G513">
        <v>0.53125</v>
      </c>
      <c r="H513">
        <v>0.53680555555555554</v>
      </c>
      <c r="I513">
        <v>4</v>
      </c>
      <c r="J513" t="s">
        <v>18</v>
      </c>
      <c r="K513" t="s">
        <v>19</v>
      </c>
      <c r="L513">
        <v>866</v>
      </c>
      <c r="M513">
        <v>8</v>
      </c>
      <c r="N513" t="s">
        <v>1675</v>
      </c>
      <c r="O513" t="s">
        <v>1667</v>
      </c>
      <c r="P513">
        <v>1</v>
      </c>
      <c r="Q513" t="s">
        <v>1663</v>
      </c>
    </row>
    <row r="514" spans="1:18" x14ac:dyDescent="0.35">
      <c r="A514" t="s">
        <v>1641</v>
      </c>
      <c r="B514" s="19">
        <v>46259</v>
      </c>
      <c r="C514" t="s">
        <v>721</v>
      </c>
      <c r="D514" t="s">
        <v>413</v>
      </c>
      <c r="E514" t="s">
        <v>202</v>
      </c>
      <c r="F514" t="s">
        <v>17</v>
      </c>
      <c r="G514">
        <v>0.64930555555555558</v>
      </c>
      <c r="H514">
        <v>0.65069444444444446</v>
      </c>
      <c r="I514">
        <v>-9</v>
      </c>
      <c r="J514" t="s">
        <v>18</v>
      </c>
      <c r="K514" t="s">
        <v>19</v>
      </c>
      <c r="L514">
        <v>2338</v>
      </c>
      <c r="M514">
        <v>2</v>
      </c>
      <c r="N514" t="s">
        <v>1681</v>
      </c>
      <c r="O514" t="s">
        <v>1661</v>
      </c>
      <c r="P514">
        <v>1</v>
      </c>
      <c r="Q514" t="s">
        <v>1663</v>
      </c>
    </row>
    <row r="515" spans="1:18" x14ac:dyDescent="0.35">
      <c r="A515" t="s">
        <v>985</v>
      </c>
      <c r="B515" s="19">
        <v>46081</v>
      </c>
      <c r="C515" t="s">
        <v>986</v>
      </c>
      <c r="D515" t="s">
        <v>413</v>
      </c>
      <c r="E515" t="s">
        <v>1171</v>
      </c>
      <c r="F515" t="s">
        <v>38</v>
      </c>
      <c r="G515">
        <v>0.74305555555555558</v>
      </c>
      <c r="H515">
        <v>0.76458333333333328</v>
      </c>
      <c r="I515">
        <v>31</v>
      </c>
      <c r="J515" t="s">
        <v>60</v>
      </c>
      <c r="K515" t="s">
        <v>19</v>
      </c>
      <c r="L515">
        <v>370</v>
      </c>
      <c r="M515">
        <v>31</v>
      </c>
      <c r="N515" t="s">
        <v>1675</v>
      </c>
      <c r="O515" t="s">
        <v>1667</v>
      </c>
      <c r="P515">
        <v>0</v>
      </c>
      <c r="Q515" t="s">
        <v>1665</v>
      </c>
      <c r="R515" t="s">
        <v>1657</v>
      </c>
    </row>
    <row r="516" spans="1:18" x14ac:dyDescent="0.35">
      <c r="A516" t="s">
        <v>987</v>
      </c>
      <c r="B516" s="19">
        <v>46082</v>
      </c>
      <c r="C516" t="s">
        <v>988</v>
      </c>
      <c r="D516" t="s">
        <v>588</v>
      </c>
      <c r="E516" t="s">
        <v>226</v>
      </c>
      <c r="F516" t="s">
        <v>17</v>
      </c>
      <c r="G516">
        <v>0.27430555555555558</v>
      </c>
      <c r="H516">
        <v>0.27638888888888891</v>
      </c>
      <c r="I516">
        <v>-5</v>
      </c>
      <c r="J516" t="s">
        <v>18</v>
      </c>
      <c r="K516" t="s">
        <v>19</v>
      </c>
      <c r="L516">
        <v>641</v>
      </c>
      <c r="M516">
        <v>3</v>
      </c>
      <c r="N516" t="s">
        <v>1676</v>
      </c>
      <c r="O516" t="s">
        <v>1668</v>
      </c>
      <c r="P516">
        <v>1</v>
      </c>
      <c r="Q516" t="s">
        <v>1660</v>
      </c>
    </row>
    <row r="517" spans="1:18" x14ac:dyDescent="0.35">
      <c r="A517" t="s">
        <v>989</v>
      </c>
      <c r="B517" s="19">
        <v>46082</v>
      </c>
      <c r="C517" t="s">
        <v>139</v>
      </c>
      <c r="D517" t="s">
        <v>71</v>
      </c>
      <c r="E517" t="s">
        <v>1295</v>
      </c>
      <c r="F517" t="s">
        <v>24</v>
      </c>
      <c r="G517">
        <v>0.3923611111111111</v>
      </c>
      <c r="H517">
        <v>0.39444444444444438</v>
      </c>
      <c r="I517">
        <v>-9</v>
      </c>
      <c r="J517" t="s">
        <v>18</v>
      </c>
      <c r="K517" t="s">
        <v>19</v>
      </c>
      <c r="L517">
        <v>1842</v>
      </c>
      <c r="M517">
        <v>3</v>
      </c>
      <c r="N517" t="s">
        <v>1676</v>
      </c>
      <c r="O517" t="s">
        <v>1668</v>
      </c>
      <c r="P517">
        <v>1</v>
      </c>
      <c r="Q517" t="s">
        <v>1660</v>
      </c>
    </row>
    <row r="518" spans="1:18" x14ac:dyDescent="0.35">
      <c r="A518" t="s">
        <v>990</v>
      </c>
      <c r="B518" s="19">
        <v>46082</v>
      </c>
      <c r="C518" t="s">
        <v>991</v>
      </c>
      <c r="D518" t="s">
        <v>84</v>
      </c>
      <c r="E518" t="s">
        <v>71</v>
      </c>
      <c r="F518" t="s">
        <v>17</v>
      </c>
      <c r="G518">
        <v>0.41666666666666669</v>
      </c>
      <c r="H518">
        <v>0.41597222222222219</v>
      </c>
      <c r="I518">
        <v>-10</v>
      </c>
      <c r="J518" t="s">
        <v>18</v>
      </c>
      <c r="K518" t="s">
        <v>19</v>
      </c>
      <c r="L518">
        <v>1717</v>
      </c>
      <c r="M518">
        <v>-1</v>
      </c>
      <c r="N518" t="s">
        <v>1676</v>
      </c>
      <c r="O518" t="s">
        <v>1668</v>
      </c>
      <c r="P518">
        <v>1</v>
      </c>
      <c r="Q518" t="s">
        <v>1660</v>
      </c>
    </row>
    <row r="519" spans="1:18" x14ac:dyDescent="0.35">
      <c r="A519" t="s">
        <v>992</v>
      </c>
      <c r="B519" s="19">
        <v>46082</v>
      </c>
      <c r="C519" t="s">
        <v>605</v>
      </c>
      <c r="D519" t="s">
        <v>413</v>
      </c>
      <c r="E519" t="s">
        <v>71</v>
      </c>
      <c r="F519" t="s">
        <v>28</v>
      </c>
      <c r="G519">
        <v>0.71875</v>
      </c>
      <c r="H519">
        <v>0.73611111111111116</v>
      </c>
      <c r="I519">
        <v>16</v>
      </c>
      <c r="J519" t="s">
        <v>54</v>
      </c>
      <c r="K519" t="s">
        <v>19</v>
      </c>
      <c r="L519">
        <v>1742</v>
      </c>
      <c r="M519">
        <v>25</v>
      </c>
      <c r="N519" t="s">
        <v>1676</v>
      </c>
      <c r="O519" t="s">
        <v>1668</v>
      </c>
      <c r="P519">
        <v>0</v>
      </c>
      <c r="Q519" t="s">
        <v>1665</v>
      </c>
      <c r="R519" t="s">
        <v>1657</v>
      </c>
    </row>
    <row r="520" spans="1:18" x14ac:dyDescent="0.35">
      <c r="A520" t="s">
        <v>993</v>
      </c>
      <c r="B520" s="19">
        <v>46083</v>
      </c>
      <c r="C520" t="s">
        <v>994</v>
      </c>
      <c r="D520" t="s">
        <v>1171</v>
      </c>
      <c r="E520" t="s">
        <v>84</v>
      </c>
      <c r="F520" t="s">
        <v>38</v>
      </c>
      <c r="G520">
        <v>0.30902777777777779</v>
      </c>
      <c r="H520">
        <v>0.3125</v>
      </c>
      <c r="I520">
        <v>2</v>
      </c>
      <c r="J520" t="s">
        <v>18</v>
      </c>
      <c r="K520" t="s">
        <v>19</v>
      </c>
      <c r="L520">
        <v>1108</v>
      </c>
      <c r="M520">
        <v>5</v>
      </c>
      <c r="N520" t="s">
        <v>1676</v>
      </c>
      <c r="O520" t="s">
        <v>1659</v>
      </c>
      <c r="P520">
        <v>1</v>
      </c>
      <c r="Q520" t="s">
        <v>1660</v>
      </c>
    </row>
    <row r="521" spans="1:18" x14ac:dyDescent="0.35">
      <c r="A521" t="s">
        <v>995</v>
      </c>
      <c r="B521" s="19">
        <v>46083</v>
      </c>
      <c r="C521" t="s">
        <v>996</v>
      </c>
      <c r="D521" t="s">
        <v>79</v>
      </c>
      <c r="E521" t="s">
        <v>588</v>
      </c>
      <c r="F521" t="s">
        <v>17</v>
      </c>
      <c r="G521">
        <v>0.46875</v>
      </c>
      <c r="H521">
        <v>0.47152777777777782</v>
      </c>
      <c r="I521">
        <v>9</v>
      </c>
      <c r="J521" t="s">
        <v>18</v>
      </c>
      <c r="K521" t="s">
        <v>19</v>
      </c>
      <c r="L521">
        <v>730</v>
      </c>
      <c r="M521">
        <v>4</v>
      </c>
      <c r="N521" t="s">
        <v>1676</v>
      </c>
      <c r="O521" t="s">
        <v>1659</v>
      </c>
      <c r="P521">
        <v>1</v>
      </c>
      <c r="Q521" t="s">
        <v>1660</v>
      </c>
    </row>
    <row r="522" spans="1:18" x14ac:dyDescent="0.35">
      <c r="A522" t="s">
        <v>997</v>
      </c>
      <c r="B522" s="19">
        <v>46083</v>
      </c>
      <c r="C522" t="s">
        <v>998</v>
      </c>
      <c r="D522" t="s">
        <v>413</v>
      </c>
      <c r="E522" t="s">
        <v>79</v>
      </c>
      <c r="F522" t="s">
        <v>24</v>
      </c>
      <c r="G522">
        <v>0.71180555555555558</v>
      </c>
      <c r="H522">
        <v>0.70833333333333337</v>
      </c>
      <c r="I522">
        <v>4</v>
      </c>
      <c r="J522" t="s">
        <v>18</v>
      </c>
      <c r="K522" t="s">
        <v>19</v>
      </c>
      <c r="L522">
        <v>1942</v>
      </c>
      <c r="M522">
        <v>-5</v>
      </c>
      <c r="N522" t="s">
        <v>1676</v>
      </c>
      <c r="O522" t="s">
        <v>1659</v>
      </c>
      <c r="P522">
        <v>1</v>
      </c>
      <c r="Q522" t="s">
        <v>1665</v>
      </c>
    </row>
    <row r="523" spans="1:18" x14ac:dyDescent="0.35">
      <c r="A523" t="s">
        <v>999</v>
      </c>
      <c r="B523" s="19">
        <v>46083</v>
      </c>
      <c r="C523" t="s">
        <v>1000</v>
      </c>
      <c r="D523" t="s">
        <v>226</v>
      </c>
      <c r="E523" t="s">
        <v>79</v>
      </c>
      <c r="F523" t="s">
        <v>38</v>
      </c>
      <c r="G523">
        <v>0.73611111111111116</v>
      </c>
      <c r="H523">
        <v>0.82361111111111107</v>
      </c>
      <c r="I523">
        <v>127</v>
      </c>
      <c r="J523" t="s">
        <v>54</v>
      </c>
      <c r="K523" t="s">
        <v>19</v>
      </c>
      <c r="L523">
        <v>1197</v>
      </c>
      <c r="M523">
        <v>126</v>
      </c>
      <c r="N523" t="s">
        <v>1676</v>
      </c>
      <c r="O523" t="s">
        <v>1659</v>
      </c>
      <c r="P523">
        <v>0</v>
      </c>
      <c r="Q523" t="s">
        <v>1665</v>
      </c>
      <c r="R523" t="s">
        <v>1657</v>
      </c>
    </row>
    <row r="524" spans="1:18" x14ac:dyDescent="0.35">
      <c r="A524" t="s">
        <v>1001</v>
      </c>
      <c r="B524" s="19">
        <v>46083</v>
      </c>
      <c r="C524" t="s">
        <v>381</v>
      </c>
      <c r="D524" t="s">
        <v>588</v>
      </c>
      <c r="E524" t="s">
        <v>79</v>
      </c>
      <c r="F524" t="s">
        <v>17</v>
      </c>
      <c r="G524">
        <v>0.74305555555555558</v>
      </c>
      <c r="H524">
        <v>0.74375000000000002</v>
      </c>
      <c r="I524">
        <v>4</v>
      </c>
      <c r="J524" t="s">
        <v>18</v>
      </c>
      <c r="K524" t="s">
        <v>19</v>
      </c>
      <c r="L524">
        <v>730</v>
      </c>
      <c r="M524">
        <v>1</v>
      </c>
      <c r="N524" t="s">
        <v>1676</v>
      </c>
      <c r="O524" t="s">
        <v>1659</v>
      </c>
      <c r="P524">
        <v>1</v>
      </c>
      <c r="Q524" t="s">
        <v>1665</v>
      </c>
    </row>
    <row r="525" spans="1:18" x14ac:dyDescent="0.35">
      <c r="A525" t="s">
        <v>1002</v>
      </c>
      <c r="B525" s="19">
        <v>46084</v>
      </c>
      <c r="C525" t="s">
        <v>1003</v>
      </c>
      <c r="D525" t="s">
        <v>71</v>
      </c>
      <c r="E525" t="s">
        <v>413</v>
      </c>
      <c r="F525" t="s">
        <v>24</v>
      </c>
      <c r="G525">
        <v>0.32291666666666669</v>
      </c>
      <c r="H525">
        <v>0.31944444444444442</v>
      </c>
      <c r="I525">
        <v>-6</v>
      </c>
      <c r="J525" t="s">
        <v>18</v>
      </c>
      <c r="K525" t="s">
        <v>19</v>
      </c>
      <c r="L525">
        <v>1742</v>
      </c>
      <c r="M525">
        <v>-5</v>
      </c>
      <c r="N525" t="s">
        <v>1676</v>
      </c>
      <c r="O525" t="s">
        <v>1661</v>
      </c>
      <c r="P525">
        <v>1</v>
      </c>
      <c r="Q525" t="s">
        <v>1660</v>
      </c>
    </row>
    <row r="526" spans="1:18" x14ac:dyDescent="0.35">
      <c r="A526" t="s">
        <v>1004</v>
      </c>
      <c r="B526" s="19">
        <v>46084</v>
      </c>
      <c r="C526" t="s">
        <v>1005</v>
      </c>
      <c r="D526" t="s">
        <v>588</v>
      </c>
      <c r="E526" t="s">
        <v>79</v>
      </c>
      <c r="F526" t="s">
        <v>17</v>
      </c>
      <c r="G526">
        <v>0.51736111111111116</v>
      </c>
      <c r="H526">
        <v>0.54305555555555551</v>
      </c>
      <c r="I526">
        <v>32</v>
      </c>
      <c r="J526" t="s">
        <v>129</v>
      </c>
      <c r="K526" t="s">
        <v>19</v>
      </c>
      <c r="L526">
        <v>730</v>
      </c>
      <c r="M526">
        <v>37</v>
      </c>
      <c r="N526" t="s">
        <v>1676</v>
      </c>
      <c r="O526" t="s">
        <v>1661</v>
      </c>
      <c r="P526">
        <v>0</v>
      </c>
      <c r="Q526" t="s">
        <v>1663</v>
      </c>
      <c r="R526" t="s">
        <v>1670</v>
      </c>
    </row>
    <row r="527" spans="1:18" x14ac:dyDescent="0.35">
      <c r="A527" t="s">
        <v>1006</v>
      </c>
      <c r="B527" s="19">
        <v>46085</v>
      </c>
      <c r="C527" t="s">
        <v>994</v>
      </c>
      <c r="D527" t="s">
        <v>226</v>
      </c>
      <c r="E527" t="s">
        <v>197</v>
      </c>
      <c r="F527" t="s">
        <v>38</v>
      </c>
      <c r="G527">
        <v>0.35416666666666669</v>
      </c>
      <c r="H527">
        <v>0.35138888888888892</v>
      </c>
      <c r="I527">
        <v>-11</v>
      </c>
      <c r="J527" t="s">
        <v>18</v>
      </c>
      <c r="K527" t="s">
        <v>19</v>
      </c>
      <c r="L527">
        <v>1622</v>
      </c>
      <c r="M527">
        <v>-4</v>
      </c>
      <c r="N527" t="s">
        <v>1676</v>
      </c>
      <c r="O527" t="s">
        <v>1662</v>
      </c>
      <c r="P527">
        <v>1</v>
      </c>
      <c r="Q527" t="s">
        <v>1660</v>
      </c>
    </row>
    <row r="528" spans="1:18" x14ac:dyDescent="0.35">
      <c r="A528" t="s">
        <v>1007</v>
      </c>
      <c r="B528" s="19">
        <v>46085</v>
      </c>
      <c r="C528" t="s">
        <v>770</v>
      </c>
      <c r="D528" t="s">
        <v>226</v>
      </c>
      <c r="E528" t="s">
        <v>413</v>
      </c>
      <c r="F528" t="s">
        <v>17</v>
      </c>
      <c r="G528">
        <v>0.4826388888888889</v>
      </c>
      <c r="H528">
        <v>0.47986111111111113</v>
      </c>
      <c r="I528">
        <v>-1</v>
      </c>
      <c r="J528" t="s">
        <v>18</v>
      </c>
      <c r="K528" t="s">
        <v>19</v>
      </c>
      <c r="L528">
        <v>861</v>
      </c>
      <c r="M528">
        <v>-4</v>
      </c>
      <c r="N528" t="s">
        <v>1676</v>
      </c>
      <c r="O528" t="s">
        <v>1662</v>
      </c>
      <c r="P528">
        <v>1</v>
      </c>
      <c r="Q528" t="s">
        <v>1660</v>
      </c>
    </row>
    <row r="529" spans="1:18" x14ac:dyDescent="0.35">
      <c r="A529" t="s">
        <v>1008</v>
      </c>
      <c r="B529" s="19">
        <v>46085</v>
      </c>
      <c r="C529" t="s">
        <v>30</v>
      </c>
      <c r="D529" t="s">
        <v>588</v>
      </c>
      <c r="E529" t="s">
        <v>79</v>
      </c>
      <c r="F529" t="s">
        <v>17</v>
      </c>
      <c r="G529">
        <v>0.71875</v>
      </c>
      <c r="H529">
        <v>0.71527777777777779</v>
      </c>
      <c r="I529">
        <v>-9</v>
      </c>
      <c r="J529" t="s">
        <v>18</v>
      </c>
      <c r="K529" t="s">
        <v>19</v>
      </c>
      <c r="L529">
        <v>730</v>
      </c>
      <c r="M529">
        <v>-5</v>
      </c>
      <c r="N529" t="s">
        <v>1676</v>
      </c>
      <c r="O529" t="s">
        <v>1662</v>
      </c>
      <c r="P529">
        <v>1</v>
      </c>
      <c r="Q529" t="s">
        <v>1665</v>
      </c>
    </row>
    <row r="530" spans="1:18" x14ac:dyDescent="0.35">
      <c r="A530" t="s">
        <v>1009</v>
      </c>
      <c r="B530" s="19">
        <v>46085</v>
      </c>
      <c r="C530" t="s">
        <v>1010</v>
      </c>
      <c r="D530" t="s">
        <v>413</v>
      </c>
      <c r="E530" t="s">
        <v>202</v>
      </c>
      <c r="F530" t="s">
        <v>17</v>
      </c>
      <c r="G530">
        <v>0.92708333333333337</v>
      </c>
      <c r="H530">
        <v>0.9291666666666667</v>
      </c>
      <c r="I530">
        <v>9</v>
      </c>
      <c r="J530" t="s">
        <v>18</v>
      </c>
      <c r="K530" t="s">
        <v>19</v>
      </c>
      <c r="L530">
        <v>2338</v>
      </c>
      <c r="M530">
        <v>3</v>
      </c>
      <c r="N530" t="s">
        <v>1676</v>
      </c>
      <c r="O530" t="s">
        <v>1662</v>
      </c>
      <c r="P530">
        <v>1</v>
      </c>
      <c r="Q530" t="s">
        <v>1669</v>
      </c>
    </row>
    <row r="531" spans="1:18" x14ac:dyDescent="0.35">
      <c r="A531" t="s">
        <v>1011</v>
      </c>
      <c r="B531" s="19">
        <v>46087</v>
      </c>
      <c r="C531" t="s">
        <v>1012</v>
      </c>
      <c r="D531" t="s">
        <v>226</v>
      </c>
      <c r="E531" t="s">
        <v>79</v>
      </c>
      <c r="F531" t="s">
        <v>24</v>
      </c>
      <c r="G531">
        <v>0.51041666666666663</v>
      </c>
      <c r="H531">
        <v>0.5131944444444444</v>
      </c>
      <c r="I531">
        <v>8</v>
      </c>
      <c r="J531" t="s">
        <v>18</v>
      </c>
      <c r="K531" t="s">
        <v>19</v>
      </c>
      <c r="L531">
        <v>1197</v>
      </c>
      <c r="M531">
        <v>4</v>
      </c>
      <c r="N531" t="s">
        <v>1676</v>
      </c>
      <c r="O531" t="s">
        <v>1666</v>
      </c>
      <c r="P531">
        <v>1</v>
      </c>
      <c r="Q531" t="s">
        <v>1663</v>
      </c>
    </row>
    <row r="532" spans="1:18" x14ac:dyDescent="0.35">
      <c r="A532" t="s">
        <v>1013</v>
      </c>
      <c r="B532" s="19">
        <v>46088</v>
      </c>
      <c r="C532" t="s">
        <v>1014</v>
      </c>
      <c r="D532" t="s">
        <v>84</v>
      </c>
      <c r="E532" t="s">
        <v>413</v>
      </c>
      <c r="F532" t="s">
        <v>17</v>
      </c>
      <c r="G532">
        <v>0.31944444444444442</v>
      </c>
      <c r="H532">
        <v>0.3215277777777778</v>
      </c>
      <c r="I532">
        <v>-8</v>
      </c>
      <c r="J532" t="s">
        <v>18</v>
      </c>
      <c r="K532" t="s">
        <v>19</v>
      </c>
      <c r="L532">
        <v>955</v>
      </c>
      <c r="M532">
        <v>3</v>
      </c>
      <c r="N532" t="s">
        <v>1676</v>
      </c>
      <c r="O532" t="s">
        <v>1667</v>
      </c>
      <c r="P532">
        <v>1</v>
      </c>
      <c r="Q532" t="s">
        <v>1660</v>
      </c>
    </row>
    <row r="533" spans="1:18" x14ac:dyDescent="0.35">
      <c r="A533" t="s">
        <v>1015</v>
      </c>
      <c r="B533" s="19">
        <v>46088</v>
      </c>
      <c r="C533" t="s">
        <v>188</v>
      </c>
      <c r="D533" t="s">
        <v>79</v>
      </c>
      <c r="E533" t="s">
        <v>1171</v>
      </c>
      <c r="F533" t="s">
        <v>38</v>
      </c>
      <c r="G533">
        <v>0.4861111111111111</v>
      </c>
      <c r="H533">
        <v>0.49791666666666667</v>
      </c>
      <c r="I533">
        <v>2</v>
      </c>
      <c r="J533" t="s">
        <v>54</v>
      </c>
      <c r="K533" t="s">
        <v>19</v>
      </c>
      <c r="L533">
        <v>1584</v>
      </c>
      <c r="M533">
        <v>17</v>
      </c>
      <c r="N533" t="s">
        <v>1676</v>
      </c>
      <c r="O533" t="s">
        <v>1667</v>
      </c>
      <c r="P533">
        <v>1</v>
      </c>
      <c r="Q533" t="s">
        <v>1660</v>
      </c>
      <c r="R533" t="s">
        <v>1657</v>
      </c>
    </row>
    <row r="534" spans="1:18" x14ac:dyDescent="0.35">
      <c r="A534" t="s">
        <v>1016</v>
      </c>
      <c r="B534" s="19">
        <v>46089</v>
      </c>
      <c r="C534" t="s">
        <v>1017</v>
      </c>
      <c r="D534" t="s">
        <v>413</v>
      </c>
      <c r="E534" t="s">
        <v>588</v>
      </c>
      <c r="F534" t="s">
        <v>24</v>
      </c>
      <c r="G534">
        <v>0.47916666666666669</v>
      </c>
      <c r="H534">
        <v>0.47986111111111113</v>
      </c>
      <c r="I534">
        <v>4</v>
      </c>
      <c r="J534" t="s">
        <v>18</v>
      </c>
      <c r="K534" t="s">
        <v>19</v>
      </c>
      <c r="L534">
        <v>1232</v>
      </c>
      <c r="M534">
        <v>1</v>
      </c>
      <c r="N534" t="s">
        <v>1676</v>
      </c>
      <c r="O534" t="s">
        <v>1668</v>
      </c>
      <c r="P534">
        <v>1</v>
      </c>
      <c r="Q534" t="s">
        <v>1660</v>
      </c>
    </row>
    <row r="535" spans="1:18" x14ac:dyDescent="0.35">
      <c r="A535" t="s">
        <v>1018</v>
      </c>
      <c r="B535" s="19">
        <v>46090</v>
      </c>
      <c r="C535" t="s">
        <v>1019</v>
      </c>
      <c r="D535" t="s">
        <v>202</v>
      </c>
      <c r="E535" t="s">
        <v>1171</v>
      </c>
      <c r="F535" t="s">
        <v>17</v>
      </c>
      <c r="G535">
        <v>0.77083333333333337</v>
      </c>
      <c r="H535">
        <v>0.84236111111111112</v>
      </c>
      <c r="I535">
        <v>100</v>
      </c>
      <c r="J535" t="s">
        <v>477</v>
      </c>
      <c r="K535" t="s">
        <v>19</v>
      </c>
      <c r="L535">
        <v>1969</v>
      </c>
      <c r="M535">
        <v>103</v>
      </c>
      <c r="N535" t="s">
        <v>1676</v>
      </c>
      <c r="O535" t="s">
        <v>1659</v>
      </c>
      <c r="P535">
        <v>0</v>
      </c>
      <c r="Q535" t="s">
        <v>1665</v>
      </c>
      <c r="R535" t="s">
        <v>1670</v>
      </c>
    </row>
    <row r="536" spans="1:18" x14ac:dyDescent="0.35">
      <c r="A536" t="s">
        <v>1021</v>
      </c>
      <c r="B536" s="19">
        <v>46091</v>
      </c>
      <c r="C536" t="s">
        <v>596</v>
      </c>
      <c r="D536" t="s">
        <v>197</v>
      </c>
      <c r="E536" t="s">
        <v>226</v>
      </c>
      <c r="F536" t="s">
        <v>24</v>
      </c>
      <c r="G536">
        <v>0.59027777777777779</v>
      </c>
      <c r="H536">
        <v>0.59861111111111109</v>
      </c>
      <c r="I536">
        <v>13</v>
      </c>
      <c r="J536" t="s">
        <v>18</v>
      </c>
      <c r="K536" t="s">
        <v>19</v>
      </c>
      <c r="L536">
        <v>1622</v>
      </c>
      <c r="M536">
        <v>12</v>
      </c>
      <c r="N536" t="s">
        <v>1676</v>
      </c>
      <c r="O536" t="s">
        <v>1661</v>
      </c>
      <c r="P536">
        <v>1</v>
      </c>
      <c r="Q536" t="s">
        <v>1663</v>
      </c>
    </row>
    <row r="537" spans="1:18" x14ac:dyDescent="0.35">
      <c r="A537" t="s">
        <v>1022</v>
      </c>
      <c r="B537" s="19">
        <v>46091</v>
      </c>
      <c r="C537" t="s">
        <v>494</v>
      </c>
      <c r="D537" t="s">
        <v>588</v>
      </c>
      <c r="E537" t="s">
        <v>1295</v>
      </c>
      <c r="F537" t="s">
        <v>17</v>
      </c>
      <c r="G537">
        <v>0.79513888888888884</v>
      </c>
      <c r="H537">
        <v>0.7993055555555556</v>
      </c>
      <c r="I537">
        <v>8</v>
      </c>
      <c r="J537" t="s">
        <v>18</v>
      </c>
      <c r="K537" t="s">
        <v>19</v>
      </c>
      <c r="L537">
        <v>1462</v>
      </c>
      <c r="M537">
        <v>6</v>
      </c>
      <c r="N537" t="s">
        <v>1676</v>
      </c>
      <c r="O537" t="s">
        <v>1661</v>
      </c>
      <c r="P537">
        <v>1</v>
      </c>
      <c r="Q537" t="s">
        <v>1665</v>
      </c>
    </row>
    <row r="538" spans="1:18" x14ac:dyDescent="0.35">
      <c r="A538" t="s">
        <v>1023</v>
      </c>
      <c r="B538" s="19">
        <v>46092</v>
      </c>
      <c r="C538" t="s">
        <v>1024</v>
      </c>
      <c r="D538" t="s">
        <v>79</v>
      </c>
      <c r="E538" t="s">
        <v>588</v>
      </c>
      <c r="F538" t="s">
        <v>17</v>
      </c>
      <c r="G538">
        <v>0.39930555555555558</v>
      </c>
      <c r="H538">
        <v>0.39583333333333331</v>
      </c>
      <c r="I538">
        <v>-3</v>
      </c>
      <c r="J538" t="s">
        <v>18</v>
      </c>
      <c r="K538" t="s">
        <v>19</v>
      </c>
      <c r="L538">
        <v>730</v>
      </c>
      <c r="M538">
        <v>-5</v>
      </c>
      <c r="N538" t="s">
        <v>1676</v>
      </c>
      <c r="O538" t="s">
        <v>1662</v>
      </c>
      <c r="P538">
        <v>1</v>
      </c>
      <c r="Q538" t="s">
        <v>1660</v>
      </c>
    </row>
    <row r="539" spans="1:18" x14ac:dyDescent="0.35">
      <c r="A539" t="s">
        <v>1025</v>
      </c>
      <c r="B539" s="19">
        <v>46092</v>
      </c>
      <c r="C539" t="s">
        <v>539</v>
      </c>
      <c r="D539" t="s">
        <v>197</v>
      </c>
      <c r="E539" t="s">
        <v>413</v>
      </c>
      <c r="F539" t="s">
        <v>17</v>
      </c>
      <c r="G539">
        <v>0.49305555555555558</v>
      </c>
      <c r="H539">
        <v>0.49166666666666659</v>
      </c>
      <c r="I539">
        <v>0</v>
      </c>
      <c r="J539" t="s">
        <v>18</v>
      </c>
      <c r="K539" t="s">
        <v>19</v>
      </c>
      <c r="L539">
        <v>2470</v>
      </c>
      <c r="M539">
        <v>-2</v>
      </c>
      <c r="N539" t="s">
        <v>1676</v>
      </c>
      <c r="O539" t="s">
        <v>1662</v>
      </c>
      <c r="P539">
        <v>1</v>
      </c>
      <c r="Q539" t="s">
        <v>1660</v>
      </c>
    </row>
    <row r="540" spans="1:18" x14ac:dyDescent="0.35">
      <c r="A540" t="s">
        <v>1026</v>
      </c>
      <c r="B540" s="19">
        <v>46093</v>
      </c>
      <c r="C540" t="s">
        <v>1027</v>
      </c>
      <c r="D540" t="s">
        <v>71</v>
      </c>
      <c r="E540" t="s">
        <v>588</v>
      </c>
      <c r="F540" t="s">
        <v>24</v>
      </c>
      <c r="G540">
        <v>0.72569444444444442</v>
      </c>
      <c r="H540">
        <v>0.72847222222222219</v>
      </c>
      <c r="I540">
        <v>3</v>
      </c>
      <c r="J540" t="s">
        <v>18</v>
      </c>
      <c r="K540" t="s">
        <v>19</v>
      </c>
      <c r="L540">
        <v>802</v>
      </c>
      <c r="M540">
        <v>4</v>
      </c>
      <c r="N540" t="s">
        <v>1676</v>
      </c>
      <c r="O540" t="s">
        <v>1664</v>
      </c>
      <c r="P540">
        <v>1</v>
      </c>
      <c r="Q540" t="s">
        <v>1665</v>
      </c>
    </row>
    <row r="541" spans="1:18" x14ac:dyDescent="0.35">
      <c r="A541" t="s">
        <v>1028</v>
      </c>
      <c r="B541" s="19">
        <v>46093</v>
      </c>
      <c r="C541" t="s">
        <v>122</v>
      </c>
      <c r="D541" t="s">
        <v>71</v>
      </c>
      <c r="E541" t="s">
        <v>79</v>
      </c>
      <c r="F541" t="s">
        <v>24</v>
      </c>
      <c r="G541">
        <v>0.77083333333333337</v>
      </c>
      <c r="H541">
        <v>0.77500000000000002</v>
      </c>
      <c r="I541">
        <v>4</v>
      </c>
      <c r="J541" t="s">
        <v>18</v>
      </c>
      <c r="K541" t="s">
        <v>19</v>
      </c>
      <c r="L541">
        <v>606</v>
      </c>
      <c r="M541">
        <v>6</v>
      </c>
      <c r="N541" t="s">
        <v>1676</v>
      </c>
      <c r="O541" t="s">
        <v>1664</v>
      </c>
      <c r="P541">
        <v>1</v>
      </c>
      <c r="Q541" t="s">
        <v>1665</v>
      </c>
    </row>
    <row r="542" spans="1:18" x14ac:dyDescent="0.35">
      <c r="A542" t="s">
        <v>1029</v>
      </c>
      <c r="B542" s="19">
        <v>46095</v>
      </c>
      <c r="C542" t="s">
        <v>645</v>
      </c>
      <c r="D542" t="s">
        <v>71</v>
      </c>
      <c r="E542" t="s">
        <v>84</v>
      </c>
      <c r="F542" t="s">
        <v>24</v>
      </c>
      <c r="G542">
        <v>0.31944444444444442</v>
      </c>
      <c r="H542">
        <v>0.33750000000000002</v>
      </c>
      <c r="I542">
        <v>26</v>
      </c>
      <c r="J542" t="s">
        <v>129</v>
      </c>
      <c r="K542" t="s">
        <v>19</v>
      </c>
      <c r="L542">
        <v>1717</v>
      </c>
      <c r="M542">
        <v>26</v>
      </c>
      <c r="N542" t="s">
        <v>1676</v>
      </c>
      <c r="O542" t="s">
        <v>1667</v>
      </c>
      <c r="P542">
        <v>0</v>
      </c>
      <c r="Q542" t="s">
        <v>1660</v>
      </c>
      <c r="R542" t="s">
        <v>1670</v>
      </c>
    </row>
    <row r="543" spans="1:18" x14ac:dyDescent="0.35">
      <c r="A543" t="s">
        <v>1030</v>
      </c>
      <c r="B543" s="19">
        <v>46095</v>
      </c>
      <c r="C543" t="s">
        <v>1031</v>
      </c>
      <c r="D543" t="s">
        <v>413</v>
      </c>
      <c r="E543" t="s">
        <v>1171</v>
      </c>
      <c r="F543" t="s">
        <v>38</v>
      </c>
      <c r="G543">
        <v>0.63888888888888884</v>
      </c>
      <c r="H543">
        <v>0.63402777777777775</v>
      </c>
      <c r="I543">
        <v>-16</v>
      </c>
      <c r="J543" t="s">
        <v>18</v>
      </c>
      <c r="K543" t="s">
        <v>19</v>
      </c>
      <c r="L543">
        <v>370</v>
      </c>
      <c r="M543">
        <v>-7</v>
      </c>
      <c r="N543" t="s">
        <v>1676</v>
      </c>
      <c r="O543" t="s">
        <v>1667</v>
      </c>
      <c r="P543">
        <v>1</v>
      </c>
      <c r="Q543" t="s">
        <v>1663</v>
      </c>
    </row>
    <row r="544" spans="1:18" x14ac:dyDescent="0.35">
      <c r="A544" t="s">
        <v>1032</v>
      </c>
      <c r="B544" s="19">
        <v>46095</v>
      </c>
      <c r="C544" t="s">
        <v>1033</v>
      </c>
      <c r="D544" t="s">
        <v>413</v>
      </c>
      <c r="E544" t="s">
        <v>79</v>
      </c>
      <c r="F544" t="s">
        <v>28</v>
      </c>
      <c r="G544">
        <v>0.80208333333333337</v>
      </c>
      <c r="H544">
        <v>0.80486111111111114</v>
      </c>
      <c r="I544">
        <v>-5</v>
      </c>
      <c r="J544" t="s">
        <v>18</v>
      </c>
      <c r="K544" t="s">
        <v>19</v>
      </c>
      <c r="L544">
        <v>1942</v>
      </c>
      <c r="M544">
        <v>4</v>
      </c>
      <c r="N544" t="s">
        <v>1676</v>
      </c>
      <c r="O544" t="s">
        <v>1667</v>
      </c>
      <c r="P544">
        <v>1</v>
      </c>
      <c r="Q544" t="s">
        <v>1665</v>
      </c>
    </row>
    <row r="545" spans="1:18" x14ac:dyDescent="0.35">
      <c r="A545" t="s">
        <v>1034</v>
      </c>
      <c r="B545" s="19">
        <v>46096</v>
      </c>
      <c r="C545" t="s">
        <v>1035</v>
      </c>
      <c r="D545" t="s">
        <v>71</v>
      </c>
      <c r="E545" t="s">
        <v>79</v>
      </c>
      <c r="F545" t="s">
        <v>17</v>
      </c>
      <c r="G545">
        <v>0.57291666666666663</v>
      </c>
      <c r="H545">
        <v>0.59861111111111109</v>
      </c>
      <c r="I545">
        <v>35</v>
      </c>
      <c r="J545" t="s">
        <v>60</v>
      </c>
      <c r="K545" t="s">
        <v>19</v>
      </c>
      <c r="L545">
        <v>606</v>
      </c>
      <c r="M545">
        <v>37</v>
      </c>
      <c r="N545" t="s">
        <v>1676</v>
      </c>
      <c r="O545" t="s">
        <v>1668</v>
      </c>
      <c r="P545">
        <v>0</v>
      </c>
      <c r="Q545" t="s">
        <v>1663</v>
      </c>
      <c r="R545" t="s">
        <v>1657</v>
      </c>
    </row>
    <row r="546" spans="1:18" x14ac:dyDescent="0.35">
      <c r="A546" t="s">
        <v>1640</v>
      </c>
      <c r="B546" s="19">
        <v>46259</v>
      </c>
      <c r="C546" t="s">
        <v>207</v>
      </c>
      <c r="D546" t="s">
        <v>197</v>
      </c>
      <c r="E546" t="s">
        <v>588</v>
      </c>
      <c r="F546" t="s">
        <v>17</v>
      </c>
      <c r="G546">
        <v>0.32291666666666669</v>
      </c>
      <c r="H546">
        <v>0.32222222222222219</v>
      </c>
      <c r="I546">
        <v>-4</v>
      </c>
      <c r="J546" t="s">
        <v>18</v>
      </c>
      <c r="K546" t="s">
        <v>19</v>
      </c>
      <c r="L546">
        <v>1389</v>
      </c>
      <c r="M546">
        <v>-1</v>
      </c>
      <c r="N546" t="s">
        <v>1681</v>
      </c>
      <c r="O546" t="s">
        <v>1661</v>
      </c>
      <c r="P546">
        <v>1</v>
      </c>
      <c r="Q546" t="s">
        <v>1660</v>
      </c>
    </row>
    <row r="547" spans="1:18" x14ac:dyDescent="0.35">
      <c r="A547" t="s">
        <v>1038</v>
      </c>
      <c r="B547" s="19">
        <v>46097</v>
      </c>
      <c r="C547" t="s">
        <v>773</v>
      </c>
      <c r="D547" t="s">
        <v>197</v>
      </c>
      <c r="E547" t="s">
        <v>413</v>
      </c>
      <c r="F547" t="s">
        <v>28</v>
      </c>
      <c r="G547">
        <v>0.25</v>
      </c>
      <c r="H547">
        <v>0.32430555555555562</v>
      </c>
      <c r="I547">
        <v>95</v>
      </c>
      <c r="J547" t="s">
        <v>60</v>
      </c>
      <c r="K547" t="s">
        <v>19</v>
      </c>
      <c r="L547">
        <v>2470</v>
      </c>
      <c r="M547">
        <v>107</v>
      </c>
      <c r="N547" t="s">
        <v>1676</v>
      </c>
      <c r="O547" t="s">
        <v>1659</v>
      </c>
      <c r="P547">
        <v>0</v>
      </c>
      <c r="Q547" t="s">
        <v>1660</v>
      </c>
      <c r="R547" t="s">
        <v>1657</v>
      </c>
    </row>
    <row r="548" spans="1:18" x14ac:dyDescent="0.35">
      <c r="A548" t="s">
        <v>1039</v>
      </c>
      <c r="B548" s="19">
        <v>46097</v>
      </c>
      <c r="C548" t="s">
        <v>1040</v>
      </c>
      <c r="D548" t="s">
        <v>588</v>
      </c>
      <c r="E548" t="s">
        <v>71</v>
      </c>
      <c r="F548" t="s">
        <v>38</v>
      </c>
      <c r="G548">
        <v>0.78819444444444442</v>
      </c>
      <c r="H548">
        <v>0.80277777777777781</v>
      </c>
      <c r="I548">
        <v>19</v>
      </c>
      <c r="J548" t="s">
        <v>477</v>
      </c>
      <c r="K548" t="s">
        <v>19</v>
      </c>
      <c r="L548">
        <v>802</v>
      </c>
      <c r="M548">
        <v>21</v>
      </c>
      <c r="N548" t="s">
        <v>1676</v>
      </c>
      <c r="O548" t="s">
        <v>1659</v>
      </c>
      <c r="P548">
        <v>0</v>
      </c>
      <c r="Q548" t="s">
        <v>1665</v>
      </c>
      <c r="R548" t="s">
        <v>1670</v>
      </c>
    </row>
    <row r="549" spans="1:18" x14ac:dyDescent="0.35">
      <c r="A549" t="s">
        <v>1041</v>
      </c>
      <c r="B549" s="19">
        <v>46098</v>
      </c>
      <c r="C549" t="s">
        <v>1042</v>
      </c>
      <c r="D549" t="s">
        <v>71</v>
      </c>
      <c r="E549" t="s">
        <v>1295</v>
      </c>
      <c r="F549" t="s">
        <v>28</v>
      </c>
      <c r="G549">
        <v>0.5625</v>
      </c>
      <c r="H549">
        <v>0.56944444444444442</v>
      </c>
      <c r="I549">
        <v>17</v>
      </c>
      <c r="J549" t="s">
        <v>18</v>
      </c>
      <c r="K549" t="s">
        <v>19</v>
      </c>
      <c r="L549">
        <v>1842</v>
      </c>
      <c r="M549">
        <v>10</v>
      </c>
      <c r="N549" t="s">
        <v>1676</v>
      </c>
      <c r="O549" t="s">
        <v>1661</v>
      </c>
      <c r="P549">
        <v>0</v>
      </c>
      <c r="Q549" t="s">
        <v>1663</v>
      </c>
    </row>
    <row r="550" spans="1:18" x14ac:dyDescent="0.35">
      <c r="A550" t="s">
        <v>1043</v>
      </c>
      <c r="B550" s="19">
        <v>46098</v>
      </c>
      <c r="C550" t="s">
        <v>1044</v>
      </c>
      <c r="D550" t="s">
        <v>1549</v>
      </c>
      <c r="E550" t="s">
        <v>71</v>
      </c>
      <c r="F550" t="s">
        <v>24</v>
      </c>
      <c r="G550">
        <v>0.66319444444444442</v>
      </c>
      <c r="H550">
        <v>0.66041666666666665</v>
      </c>
      <c r="I550">
        <v>-4</v>
      </c>
      <c r="J550" t="s">
        <v>18</v>
      </c>
      <c r="K550" t="s">
        <v>19</v>
      </c>
      <c r="L550">
        <v>864</v>
      </c>
      <c r="M550">
        <v>-4</v>
      </c>
      <c r="N550" t="s">
        <v>1676</v>
      </c>
      <c r="O550" t="s">
        <v>1661</v>
      </c>
      <c r="P550">
        <v>1</v>
      </c>
      <c r="Q550" t="s">
        <v>1663</v>
      </c>
    </row>
    <row r="551" spans="1:18" x14ac:dyDescent="0.35">
      <c r="A551" t="s">
        <v>1045</v>
      </c>
      <c r="B551" s="19">
        <v>46098</v>
      </c>
      <c r="C551" t="s">
        <v>1046</v>
      </c>
      <c r="D551" t="s">
        <v>71</v>
      </c>
      <c r="E551" t="s">
        <v>588</v>
      </c>
      <c r="F551" t="s">
        <v>24</v>
      </c>
      <c r="G551">
        <v>0.78125</v>
      </c>
      <c r="H551">
        <v>0.78472222222222221</v>
      </c>
      <c r="I551">
        <v>-2</v>
      </c>
      <c r="J551" t="s">
        <v>18</v>
      </c>
      <c r="K551" t="s">
        <v>19</v>
      </c>
      <c r="L551">
        <v>802</v>
      </c>
      <c r="M551">
        <v>5</v>
      </c>
      <c r="N551" t="s">
        <v>1676</v>
      </c>
      <c r="O551" t="s">
        <v>1661</v>
      </c>
      <c r="P551">
        <v>1</v>
      </c>
      <c r="Q551" t="s">
        <v>1665</v>
      </c>
    </row>
    <row r="552" spans="1:18" x14ac:dyDescent="0.35">
      <c r="A552" t="s">
        <v>1047</v>
      </c>
      <c r="B552" s="19">
        <v>46099</v>
      </c>
      <c r="C552" t="s">
        <v>716</v>
      </c>
      <c r="D552" t="s">
        <v>71</v>
      </c>
      <c r="E552" t="s">
        <v>197</v>
      </c>
      <c r="F552" t="s">
        <v>28</v>
      </c>
      <c r="G552">
        <v>0.2638888888888889</v>
      </c>
      <c r="H552">
        <v>0.2951388888888889</v>
      </c>
      <c r="I552">
        <v>50</v>
      </c>
      <c r="J552" t="s">
        <v>60</v>
      </c>
      <c r="K552" t="s">
        <v>19</v>
      </c>
      <c r="L552">
        <v>738</v>
      </c>
      <c r="M552">
        <v>45</v>
      </c>
      <c r="N552" t="s">
        <v>1676</v>
      </c>
      <c r="O552" t="s">
        <v>1662</v>
      </c>
      <c r="P552">
        <v>0</v>
      </c>
      <c r="Q552" t="s">
        <v>1660</v>
      </c>
      <c r="R552" t="s">
        <v>1657</v>
      </c>
    </row>
    <row r="553" spans="1:18" x14ac:dyDescent="0.35">
      <c r="A553" t="s">
        <v>1048</v>
      </c>
      <c r="B553" s="19">
        <v>46099</v>
      </c>
      <c r="C553" t="s">
        <v>1049</v>
      </c>
      <c r="D553" t="s">
        <v>226</v>
      </c>
      <c r="E553" t="s">
        <v>1295</v>
      </c>
      <c r="F553" t="s">
        <v>28</v>
      </c>
      <c r="G553">
        <v>0.46875</v>
      </c>
      <c r="H553">
        <v>0.46666666666666667</v>
      </c>
      <c r="I553">
        <v>-7</v>
      </c>
      <c r="J553" t="s">
        <v>18</v>
      </c>
      <c r="K553" t="s">
        <v>19</v>
      </c>
      <c r="L553">
        <v>965</v>
      </c>
      <c r="M553">
        <v>-3</v>
      </c>
      <c r="N553" t="s">
        <v>1676</v>
      </c>
      <c r="O553" t="s">
        <v>1662</v>
      </c>
      <c r="P553">
        <v>1</v>
      </c>
      <c r="Q553" t="s">
        <v>1660</v>
      </c>
    </row>
    <row r="554" spans="1:18" x14ac:dyDescent="0.35">
      <c r="A554" t="s">
        <v>1050</v>
      </c>
      <c r="B554" s="19">
        <v>46099</v>
      </c>
      <c r="C554" t="s">
        <v>543</v>
      </c>
      <c r="D554" t="s">
        <v>79</v>
      </c>
      <c r="E554" t="s">
        <v>1549</v>
      </c>
      <c r="F554" t="s">
        <v>28</v>
      </c>
      <c r="G554">
        <v>0.59722222222222221</v>
      </c>
      <c r="H554">
        <v>0.70416666666666672</v>
      </c>
      <c r="I554">
        <v>153</v>
      </c>
      <c r="J554" t="s">
        <v>54</v>
      </c>
      <c r="K554" t="s">
        <v>19</v>
      </c>
      <c r="L554">
        <v>945</v>
      </c>
      <c r="M554">
        <v>154</v>
      </c>
      <c r="N554" t="s">
        <v>1676</v>
      </c>
      <c r="O554" t="s">
        <v>1662</v>
      </c>
      <c r="P554">
        <v>0</v>
      </c>
      <c r="Q554" t="s">
        <v>1663</v>
      </c>
      <c r="R554" t="s">
        <v>1657</v>
      </c>
    </row>
    <row r="555" spans="1:18" x14ac:dyDescent="0.35">
      <c r="A555" t="s">
        <v>1051</v>
      </c>
      <c r="B555" s="19">
        <v>46099</v>
      </c>
      <c r="C555" t="s">
        <v>1052</v>
      </c>
      <c r="D555" t="s">
        <v>79</v>
      </c>
      <c r="E555" t="s">
        <v>71</v>
      </c>
      <c r="F555" t="s">
        <v>28</v>
      </c>
      <c r="G555">
        <v>0.60069444444444442</v>
      </c>
      <c r="H555">
        <v>0.60555555555555551</v>
      </c>
      <c r="I555">
        <v>-1</v>
      </c>
      <c r="J555" t="s">
        <v>18</v>
      </c>
      <c r="K555" t="s">
        <v>19</v>
      </c>
      <c r="L555">
        <v>606</v>
      </c>
      <c r="M555">
        <v>7</v>
      </c>
      <c r="N555" t="s">
        <v>1676</v>
      </c>
      <c r="O555" t="s">
        <v>1662</v>
      </c>
      <c r="P555">
        <v>1</v>
      </c>
      <c r="Q555" t="s">
        <v>1663</v>
      </c>
    </row>
    <row r="556" spans="1:18" x14ac:dyDescent="0.35">
      <c r="A556" t="s">
        <v>1053</v>
      </c>
      <c r="B556" s="19">
        <v>46100</v>
      </c>
      <c r="C556" t="s">
        <v>535</v>
      </c>
      <c r="D556" t="s">
        <v>202</v>
      </c>
      <c r="E556" t="s">
        <v>71</v>
      </c>
      <c r="F556" t="s">
        <v>24</v>
      </c>
      <c r="G556">
        <v>0.4826388888888889</v>
      </c>
      <c r="H556">
        <v>0.48194444444444451</v>
      </c>
      <c r="I556">
        <v>-3</v>
      </c>
      <c r="J556" t="s">
        <v>18</v>
      </c>
      <c r="K556" t="s">
        <v>19</v>
      </c>
      <c r="L556">
        <v>1199</v>
      </c>
      <c r="M556">
        <v>-1</v>
      </c>
      <c r="N556" t="s">
        <v>1676</v>
      </c>
      <c r="O556" t="s">
        <v>1664</v>
      </c>
      <c r="P556">
        <v>1</v>
      </c>
      <c r="Q556" t="s">
        <v>1660</v>
      </c>
    </row>
    <row r="557" spans="1:18" x14ac:dyDescent="0.35">
      <c r="A557" t="s">
        <v>1054</v>
      </c>
      <c r="B557" s="19">
        <v>46100</v>
      </c>
      <c r="C557" t="s">
        <v>34</v>
      </c>
      <c r="D557" t="s">
        <v>79</v>
      </c>
      <c r="E557" t="s">
        <v>197</v>
      </c>
      <c r="F557" t="s">
        <v>17</v>
      </c>
      <c r="G557">
        <v>0.64930555555555558</v>
      </c>
      <c r="H557">
        <v>0.64652777777777781</v>
      </c>
      <c r="I557">
        <v>-1</v>
      </c>
      <c r="J557" t="s">
        <v>18</v>
      </c>
      <c r="K557" t="s">
        <v>19</v>
      </c>
      <c r="L557">
        <v>759</v>
      </c>
      <c r="M557">
        <v>-4</v>
      </c>
      <c r="N557" t="s">
        <v>1676</v>
      </c>
      <c r="O557" t="s">
        <v>1664</v>
      </c>
      <c r="P557">
        <v>1</v>
      </c>
      <c r="Q557" t="s">
        <v>1663</v>
      </c>
    </row>
    <row r="558" spans="1:18" x14ac:dyDescent="0.35">
      <c r="A558" t="s">
        <v>1055</v>
      </c>
      <c r="B558" s="19">
        <v>46100</v>
      </c>
      <c r="C558" t="s">
        <v>43</v>
      </c>
      <c r="D558" t="s">
        <v>71</v>
      </c>
      <c r="E558" t="s">
        <v>79</v>
      </c>
      <c r="F558" t="s">
        <v>28</v>
      </c>
      <c r="G558">
        <v>0.76736111111111116</v>
      </c>
      <c r="H558">
        <v>0.76458333333333328</v>
      </c>
      <c r="I558">
        <v>-9</v>
      </c>
      <c r="J558" t="s">
        <v>18</v>
      </c>
      <c r="K558" t="s">
        <v>19</v>
      </c>
      <c r="L558">
        <v>606</v>
      </c>
      <c r="M558">
        <v>-4</v>
      </c>
      <c r="N558" t="s">
        <v>1676</v>
      </c>
      <c r="O558" t="s">
        <v>1664</v>
      </c>
      <c r="P558">
        <v>1</v>
      </c>
      <c r="Q558" t="s">
        <v>1665</v>
      </c>
    </row>
    <row r="559" spans="1:18" x14ac:dyDescent="0.35">
      <c r="A559" t="s">
        <v>1056</v>
      </c>
      <c r="B559" s="19">
        <v>46101</v>
      </c>
      <c r="C559" t="s">
        <v>796</v>
      </c>
      <c r="D559" t="s">
        <v>588</v>
      </c>
      <c r="E559" t="s">
        <v>71</v>
      </c>
      <c r="F559" t="s">
        <v>28</v>
      </c>
      <c r="G559">
        <v>0.47569444444444442</v>
      </c>
      <c r="H559">
        <v>0.4826388888888889</v>
      </c>
      <c r="I559">
        <v>6</v>
      </c>
      <c r="J559" t="s">
        <v>18</v>
      </c>
      <c r="K559" t="s">
        <v>19</v>
      </c>
      <c r="L559">
        <v>802</v>
      </c>
      <c r="M559">
        <v>10</v>
      </c>
      <c r="N559" t="s">
        <v>1676</v>
      </c>
      <c r="O559" t="s">
        <v>1666</v>
      </c>
      <c r="P559">
        <v>1</v>
      </c>
      <c r="Q559" t="s">
        <v>1660</v>
      </c>
    </row>
    <row r="560" spans="1:18" x14ac:dyDescent="0.35">
      <c r="A560" t="s">
        <v>1057</v>
      </c>
      <c r="B560" s="19">
        <v>46101</v>
      </c>
      <c r="C560" t="s">
        <v>1058</v>
      </c>
      <c r="D560" t="s">
        <v>226</v>
      </c>
      <c r="E560" t="s">
        <v>197</v>
      </c>
      <c r="F560" t="s">
        <v>17</v>
      </c>
      <c r="G560">
        <v>0.65277777777777779</v>
      </c>
      <c r="H560">
        <v>0.65</v>
      </c>
      <c r="I560">
        <v>-14</v>
      </c>
      <c r="J560" t="s">
        <v>18</v>
      </c>
      <c r="K560" t="s">
        <v>19</v>
      </c>
      <c r="L560">
        <v>1622</v>
      </c>
      <c r="M560">
        <v>-4</v>
      </c>
      <c r="N560" t="s">
        <v>1676</v>
      </c>
      <c r="O560" t="s">
        <v>1666</v>
      </c>
      <c r="P560">
        <v>1</v>
      </c>
      <c r="Q560" t="s">
        <v>1663</v>
      </c>
    </row>
    <row r="561" spans="1:18" x14ac:dyDescent="0.35">
      <c r="A561" t="s">
        <v>1059</v>
      </c>
      <c r="B561" s="19">
        <v>46102</v>
      </c>
      <c r="C561" t="s">
        <v>1060</v>
      </c>
      <c r="D561" t="s">
        <v>1549</v>
      </c>
      <c r="E561" t="s">
        <v>79</v>
      </c>
      <c r="F561" t="s">
        <v>24</v>
      </c>
      <c r="G561">
        <v>0.34722222222222221</v>
      </c>
      <c r="H561">
        <v>0.35347222222222219</v>
      </c>
      <c r="I561">
        <v>-2</v>
      </c>
      <c r="J561" t="s">
        <v>18</v>
      </c>
      <c r="K561" t="s">
        <v>19</v>
      </c>
      <c r="L561">
        <v>945</v>
      </c>
      <c r="M561">
        <v>9</v>
      </c>
      <c r="N561" t="s">
        <v>1676</v>
      </c>
      <c r="O561" t="s">
        <v>1667</v>
      </c>
      <c r="P561">
        <v>1</v>
      </c>
      <c r="Q561" t="s">
        <v>1660</v>
      </c>
    </row>
    <row r="562" spans="1:18" x14ac:dyDescent="0.35">
      <c r="A562" t="s">
        <v>1061</v>
      </c>
      <c r="B562" s="19">
        <v>46102</v>
      </c>
      <c r="C562" t="s">
        <v>1062</v>
      </c>
      <c r="D562" t="s">
        <v>226</v>
      </c>
      <c r="E562" t="s">
        <v>71</v>
      </c>
      <c r="F562" t="s">
        <v>24</v>
      </c>
      <c r="G562">
        <v>0.74305555555555558</v>
      </c>
      <c r="H562">
        <v>0.73819444444444449</v>
      </c>
      <c r="I562">
        <v>-16</v>
      </c>
      <c r="J562" t="s">
        <v>18</v>
      </c>
      <c r="K562" t="s">
        <v>19</v>
      </c>
      <c r="L562">
        <v>886</v>
      </c>
      <c r="M562">
        <v>-7</v>
      </c>
      <c r="N562" t="s">
        <v>1676</v>
      </c>
      <c r="O562" t="s">
        <v>1667</v>
      </c>
      <c r="P562">
        <v>1</v>
      </c>
      <c r="Q562" t="s">
        <v>1665</v>
      </c>
    </row>
    <row r="563" spans="1:18" x14ac:dyDescent="0.35">
      <c r="A563" t="s">
        <v>1063</v>
      </c>
      <c r="B563" s="19">
        <v>46103</v>
      </c>
      <c r="C563" t="s">
        <v>1064</v>
      </c>
      <c r="D563" t="s">
        <v>79</v>
      </c>
      <c r="E563" t="s">
        <v>197</v>
      </c>
      <c r="F563" t="s">
        <v>28</v>
      </c>
      <c r="G563">
        <v>0.30208333333333331</v>
      </c>
      <c r="H563">
        <v>0.31041666666666667</v>
      </c>
      <c r="I563">
        <v>17</v>
      </c>
      <c r="J563" t="s">
        <v>18</v>
      </c>
      <c r="K563" t="s">
        <v>19</v>
      </c>
      <c r="L563">
        <v>759</v>
      </c>
      <c r="M563">
        <v>12</v>
      </c>
      <c r="N563" t="s">
        <v>1676</v>
      </c>
      <c r="O563" t="s">
        <v>1668</v>
      </c>
      <c r="P563">
        <v>0</v>
      </c>
      <c r="Q563" t="s">
        <v>1660</v>
      </c>
    </row>
    <row r="564" spans="1:18" x14ac:dyDescent="0.35">
      <c r="A564" t="s">
        <v>1065</v>
      </c>
      <c r="B564" s="19">
        <v>46103</v>
      </c>
      <c r="C564" t="s">
        <v>1005</v>
      </c>
      <c r="D564" t="s">
        <v>79</v>
      </c>
      <c r="E564" t="s">
        <v>71</v>
      </c>
      <c r="F564" t="s">
        <v>28</v>
      </c>
      <c r="G564">
        <v>0.46180555555555558</v>
      </c>
      <c r="H564">
        <v>0.46944444444444439</v>
      </c>
      <c r="I564">
        <v>18</v>
      </c>
      <c r="J564" t="s">
        <v>18</v>
      </c>
      <c r="K564" t="s">
        <v>19</v>
      </c>
      <c r="L564">
        <v>606</v>
      </c>
      <c r="M564">
        <v>11</v>
      </c>
      <c r="N564" t="s">
        <v>1676</v>
      </c>
      <c r="O564" t="s">
        <v>1668</v>
      </c>
      <c r="P564">
        <v>0</v>
      </c>
      <c r="Q564" t="s">
        <v>1660</v>
      </c>
    </row>
    <row r="565" spans="1:18" x14ac:dyDescent="0.35">
      <c r="A565" t="s">
        <v>1066</v>
      </c>
      <c r="B565" s="19">
        <v>46103</v>
      </c>
      <c r="C565" t="s">
        <v>962</v>
      </c>
      <c r="D565" t="s">
        <v>413</v>
      </c>
      <c r="E565" t="s">
        <v>1171</v>
      </c>
      <c r="F565" t="s">
        <v>24</v>
      </c>
      <c r="G565">
        <v>0.67708333333333337</v>
      </c>
      <c r="H565">
        <v>0.68263888888888891</v>
      </c>
      <c r="I565">
        <v>9</v>
      </c>
      <c r="J565" t="s">
        <v>18</v>
      </c>
      <c r="K565" t="s">
        <v>19</v>
      </c>
      <c r="L565">
        <v>370</v>
      </c>
      <c r="M565">
        <v>8</v>
      </c>
      <c r="N565" t="s">
        <v>1676</v>
      </c>
      <c r="O565" t="s">
        <v>1668</v>
      </c>
      <c r="P565">
        <v>1</v>
      </c>
      <c r="Q565" t="s">
        <v>1663</v>
      </c>
    </row>
    <row r="566" spans="1:18" x14ac:dyDescent="0.35">
      <c r="A566" t="s">
        <v>1067</v>
      </c>
      <c r="B566" s="19">
        <v>46103</v>
      </c>
      <c r="C566" t="s">
        <v>1044</v>
      </c>
      <c r="D566" t="s">
        <v>588</v>
      </c>
      <c r="E566" t="s">
        <v>79</v>
      </c>
      <c r="F566" t="s">
        <v>17</v>
      </c>
      <c r="G566">
        <v>0.76041666666666663</v>
      </c>
      <c r="H566">
        <v>0.77777777777777779</v>
      </c>
      <c r="I566">
        <v>10</v>
      </c>
      <c r="J566" t="s">
        <v>60</v>
      </c>
      <c r="K566" t="s">
        <v>19</v>
      </c>
      <c r="L566">
        <v>730</v>
      </c>
      <c r="M566">
        <v>25</v>
      </c>
      <c r="N566" t="s">
        <v>1676</v>
      </c>
      <c r="O566" t="s">
        <v>1668</v>
      </c>
      <c r="P566">
        <v>1</v>
      </c>
      <c r="Q566" t="s">
        <v>1665</v>
      </c>
      <c r="R566" t="s">
        <v>1657</v>
      </c>
    </row>
    <row r="567" spans="1:18" x14ac:dyDescent="0.35">
      <c r="A567" t="s">
        <v>1068</v>
      </c>
      <c r="B567" s="19">
        <v>46103</v>
      </c>
      <c r="C567" t="s">
        <v>1062</v>
      </c>
      <c r="D567" t="s">
        <v>1171</v>
      </c>
      <c r="E567" t="s">
        <v>588</v>
      </c>
      <c r="F567" t="s">
        <v>24</v>
      </c>
      <c r="G567">
        <v>0.77083333333333337</v>
      </c>
      <c r="H567">
        <v>0.81805555555555554</v>
      </c>
      <c r="I567">
        <v>59</v>
      </c>
      <c r="J567" t="s">
        <v>60</v>
      </c>
      <c r="K567" t="s">
        <v>19</v>
      </c>
      <c r="L567">
        <v>866</v>
      </c>
      <c r="M567">
        <v>68</v>
      </c>
      <c r="N567" t="s">
        <v>1676</v>
      </c>
      <c r="O567" t="s">
        <v>1668</v>
      </c>
      <c r="P567">
        <v>0</v>
      </c>
      <c r="Q567" t="s">
        <v>1665</v>
      </c>
      <c r="R567" t="s">
        <v>1657</v>
      </c>
    </row>
    <row r="568" spans="1:18" x14ac:dyDescent="0.35">
      <c r="A568" t="s">
        <v>1069</v>
      </c>
      <c r="B568" s="19">
        <v>46103</v>
      </c>
      <c r="C568" t="s">
        <v>864</v>
      </c>
      <c r="D568" t="s">
        <v>588</v>
      </c>
      <c r="E568" t="s">
        <v>1171</v>
      </c>
      <c r="F568" t="s">
        <v>28</v>
      </c>
      <c r="G568">
        <v>0.90972222222222221</v>
      </c>
      <c r="H568">
        <v>0.91527777777777775</v>
      </c>
      <c r="I568">
        <v>14</v>
      </c>
      <c r="J568" t="s">
        <v>18</v>
      </c>
      <c r="K568" t="s">
        <v>19</v>
      </c>
      <c r="L568">
        <v>866</v>
      </c>
      <c r="M568">
        <v>8</v>
      </c>
      <c r="N568" t="s">
        <v>1676</v>
      </c>
      <c r="O568" t="s">
        <v>1668</v>
      </c>
      <c r="P568">
        <v>1</v>
      </c>
      <c r="Q568" t="s">
        <v>1669</v>
      </c>
    </row>
    <row r="569" spans="1:18" x14ac:dyDescent="0.35">
      <c r="A569" t="s">
        <v>1070</v>
      </c>
      <c r="B569" s="19">
        <v>46103</v>
      </c>
      <c r="C569" t="s">
        <v>823</v>
      </c>
      <c r="D569" t="s">
        <v>84</v>
      </c>
      <c r="E569" t="s">
        <v>1171</v>
      </c>
      <c r="F569" t="s">
        <v>28</v>
      </c>
      <c r="G569">
        <v>0.95138888888888884</v>
      </c>
      <c r="H569">
        <v>0.99583333333333335</v>
      </c>
      <c r="I569">
        <v>62</v>
      </c>
      <c r="J569" t="s">
        <v>60</v>
      </c>
      <c r="K569" t="s">
        <v>19</v>
      </c>
      <c r="L569">
        <v>1108</v>
      </c>
      <c r="M569">
        <v>64</v>
      </c>
      <c r="N569" t="s">
        <v>1676</v>
      </c>
      <c r="O569" t="s">
        <v>1668</v>
      </c>
      <c r="P569">
        <v>0</v>
      </c>
      <c r="Q569" t="s">
        <v>1669</v>
      </c>
      <c r="R569" t="s">
        <v>1657</v>
      </c>
    </row>
    <row r="570" spans="1:18" x14ac:dyDescent="0.35">
      <c r="A570" t="s">
        <v>1071</v>
      </c>
      <c r="B570" s="19">
        <v>46104</v>
      </c>
      <c r="C570" t="s">
        <v>110</v>
      </c>
      <c r="D570" t="s">
        <v>226</v>
      </c>
      <c r="E570" t="s">
        <v>588</v>
      </c>
      <c r="F570" t="s">
        <v>28</v>
      </c>
      <c r="G570">
        <v>0.35416666666666669</v>
      </c>
      <c r="H570">
        <v>0.44861111111111113</v>
      </c>
      <c r="I570">
        <v>140</v>
      </c>
      <c r="J570" t="s">
        <v>54</v>
      </c>
      <c r="K570" t="s">
        <v>19</v>
      </c>
      <c r="L570">
        <v>641</v>
      </c>
      <c r="M570">
        <v>136</v>
      </c>
      <c r="N570" t="s">
        <v>1676</v>
      </c>
      <c r="O570" t="s">
        <v>1659</v>
      </c>
      <c r="P570">
        <v>0</v>
      </c>
      <c r="Q570" t="s">
        <v>1660</v>
      </c>
      <c r="R570" t="s">
        <v>1657</v>
      </c>
    </row>
    <row r="571" spans="1:18" x14ac:dyDescent="0.35">
      <c r="A571" t="s">
        <v>1639</v>
      </c>
      <c r="B571" s="19">
        <v>46258</v>
      </c>
      <c r="C571" t="s">
        <v>479</v>
      </c>
      <c r="D571" t="s">
        <v>197</v>
      </c>
      <c r="E571" t="s">
        <v>84</v>
      </c>
      <c r="F571" t="s">
        <v>17</v>
      </c>
      <c r="G571">
        <v>0.86458333333333337</v>
      </c>
      <c r="H571">
        <v>0.87222222222222223</v>
      </c>
      <c r="I571">
        <v>4</v>
      </c>
      <c r="J571" t="s">
        <v>18</v>
      </c>
      <c r="K571" t="s">
        <v>19</v>
      </c>
      <c r="L571">
        <v>2415</v>
      </c>
      <c r="M571">
        <v>11</v>
      </c>
      <c r="N571" t="s">
        <v>1681</v>
      </c>
      <c r="O571" t="s">
        <v>1659</v>
      </c>
      <c r="P571">
        <v>1</v>
      </c>
      <c r="Q571" t="s">
        <v>1665</v>
      </c>
    </row>
    <row r="572" spans="1:18" x14ac:dyDescent="0.35">
      <c r="A572" t="s">
        <v>1074</v>
      </c>
      <c r="B572" s="19">
        <v>46106</v>
      </c>
      <c r="C572" t="s">
        <v>1075</v>
      </c>
      <c r="D572" t="s">
        <v>1549</v>
      </c>
      <c r="E572" t="s">
        <v>84</v>
      </c>
      <c r="F572" t="s">
        <v>24</v>
      </c>
      <c r="G572">
        <v>0.2986111111111111</v>
      </c>
      <c r="H572">
        <v>0.30625000000000002</v>
      </c>
      <c r="I572">
        <v>8</v>
      </c>
      <c r="J572" t="s">
        <v>18</v>
      </c>
      <c r="K572" t="s">
        <v>19</v>
      </c>
      <c r="L572">
        <v>2489</v>
      </c>
      <c r="M572">
        <v>11</v>
      </c>
      <c r="N572" t="s">
        <v>1676</v>
      </c>
      <c r="O572" t="s">
        <v>1662</v>
      </c>
      <c r="P572">
        <v>1</v>
      </c>
      <c r="Q572" t="s">
        <v>1660</v>
      </c>
    </row>
    <row r="573" spans="1:18" x14ac:dyDescent="0.35">
      <c r="A573" t="s">
        <v>1076</v>
      </c>
      <c r="B573" s="19">
        <v>46106</v>
      </c>
      <c r="C573" t="s">
        <v>1077</v>
      </c>
      <c r="D573" t="s">
        <v>413</v>
      </c>
      <c r="E573" t="s">
        <v>197</v>
      </c>
      <c r="F573" t="s">
        <v>24</v>
      </c>
      <c r="G573">
        <v>0.39583333333333331</v>
      </c>
      <c r="H573">
        <v>0.3972222222222222</v>
      </c>
      <c r="I573">
        <v>12</v>
      </c>
      <c r="J573" t="s">
        <v>18</v>
      </c>
      <c r="K573" t="s">
        <v>19</v>
      </c>
      <c r="L573">
        <v>2470</v>
      </c>
      <c r="M573">
        <v>2</v>
      </c>
      <c r="N573" t="s">
        <v>1676</v>
      </c>
      <c r="O573" t="s">
        <v>1662</v>
      </c>
      <c r="P573">
        <v>1</v>
      </c>
      <c r="Q573" t="s">
        <v>1660</v>
      </c>
    </row>
    <row r="574" spans="1:18" x14ac:dyDescent="0.35">
      <c r="A574" t="s">
        <v>1078</v>
      </c>
      <c r="B574" s="19">
        <v>46107</v>
      </c>
      <c r="C574" t="s">
        <v>1079</v>
      </c>
      <c r="D574" t="s">
        <v>588</v>
      </c>
      <c r="E574" t="s">
        <v>71</v>
      </c>
      <c r="F574" t="s">
        <v>17</v>
      </c>
      <c r="G574">
        <v>0.64930555555555558</v>
      </c>
      <c r="H574">
        <v>0.65416666666666667</v>
      </c>
      <c r="I574">
        <v>3</v>
      </c>
      <c r="J574" t="s">
        <v>18</v>
      </c>
      <c r="K574" t="s">
        <v>19</v>
      </c>
      <c r="L574">
        <v>802</v>
      </c>
      <c r="M574">
        <v>7</v>
      </c>
      <c r="N574" t="s">
        <v>1676</v>
      </c>
      <c r="O574" t="s">
        <v>1664</v>
      </c>
      <c r="P574">
        <v>1</v>
      </c>
      <c r="Q574" t="s">
        <v>1663</v>
      </c>
    </row>
    <row r="575" spans="1:18" x14ac:dyDescent="0.35">
      <c r="A575" t="s">
        <v>1080</v>
      </c>
      <c r="B575" s="19">
        <v>46107</v>
      </c>
      <c r="C575" t="s">
        <v>1081</v>
      </c>
      <c r="D575" t="s">
        <v>71</v>
      </c>
      <c r="E575" t="s">
        <v>197</v>
      </c>
      <c r="F575" t="s">
        <v>24</v>
      </c>
      <c r="G575">
        <v>0.86458333333333337</v>
      </c>
      <c r="H575">
        <v>0.88541666666666663</v>
      </c>
      <c r="I575">
        <v>17</v>
      </c>
      <c r="J575" t="s">
        <v>54</v>
      </c>
      <c r="K575" t="s">
        <v>19</v>
      </c>
      <c r="L575">
        <v>738</v>
      </c>
      <c r="M575">
        <v>30</v>
      </c>
      <c r="N575" t="s">
        <v>1676</v>
      </c>
      <c r="O575" t="s">
        <v>1664</v>
      </c>
      <c r="P575">
        <v>0</v>
      </c>
      <c r="Q575" t="s">
        <v>1665</v>
      </c>
      <c r="R575" t="s">
        <v>1657</v>
      </c>
    </row>
    <row r="576" spans="1:18" x14ac:dyDescent="0.35">
      <c r="A576" t="s">
        <v>1082</v>
      </c>
      <c r="B576" s="19">
        <v>46108</v>
      </c>
      <c r="C576" t="s">
        <v>883</v>
      </c>
      <c r="D576" t="s">
        <v>71</v>
      </c>
      <c r="E576" t="s">
        <v>79</v>
      </c>
      <c r="F576" t="s">
        <v>17</v>
      </c>
      <c r="G576">
        <v>0.55902777777777779</v>
      </c>
      <c r="H576">
        <v>0.56180555555555556</v>
      </c>
      <c r="I576">
        <v>3</v>
      </c>
      <c r="J576" t="s">
        <v>18</v>
      </c>
      <c r="K576" t="s">
        <v>19</v>
      </c>
      <c r="L576">
        <v>606</v>
      </c>
      <c r="M576">
        <v>4</v>
      </c>
      <c r="N576" t="s">
        <v>1676</v>
      </c>
      <c r="O576" t="s">
        <v>1666</v>
      </c>
      <c r="P576">
        <v>1</v>
      </c>
      <c r="Q576" t="s">
        <v>1663</v>
      </c>
    </row>
    <row r="577" spans="1:18" x14ac:dyDescent="0.35">
      <c r="A577" t="s">
        <v>1083</v>
      </c>
      <c r="B577" s="19">
        <v>46108</v>
      </c>
      <c r="C577" t="s">
        <v>716</v>
      </c>
      <c r="D577" t="s">
        <v>197</v>
      </c>
      <c r="E577" t="s">
        <v>84</v>
      </c>
      <c r="F577" t="s">
        <v>28</v>
      </c>
      <c r="G577">
        <v>0.60069444444444442</v>
      </c>
      <c r="H577">
        <v>0.63888888888888884</v>
      </c>
      <c r="I577">
        <v>51</v>
      </c>
      <c r="J577" t="s">
        <v>60</v>
      </c>
      <c r="K577" t="s">
        <v>19</v>
      </c>
      <c r="L577">
        <v>2415</v>
      </c>
      <c r="N577" t="s">
        <v>1676</v>
      </c>
      <c r="O577" t="s">
        <v>1666</v>
      </c>
      <c r="P577">
        <v>0</v>
      </c>
      <c r="Q577" t="s">
        <v>1663</v>
      </c>
      <c r="R577" t="s">
        <v>1657</v>
      </c>
    </row>
    <row r="578" spans="1:18" x14ac:dyDescent="0.35">
      <c r="A578" t="s">
        <v>1084</v>
      </c>
      <c r="B578" s="19">
        <v>46108</v>
      </c>
      <c r="C578" t="s">
        <v>1049</v>
      </c>
      <c r="D578" t="s">
        <v>71</v>
      </c>
      <c r="E578" t="s">
        <v>1549</v>
      </c>
      <c r="F578" t="s">
        <v>28</v>
      </c>
      <c r="G578">
        <v>0.72916666666666663</v>
      </c>
      <c r="H578">
        <v>0.73402777777777772</v>
      </c>
      <c r="I578">
        <v>-1</v>
      </c>
      <c r="J578" t="s">
        <v>18</v>
      </c>
      <c r="K578" t="s">
        <v>19</v>
      </c>
      <c r="L578">
        <v>864</v>
      </c>
      <c r="M578">
        <v>7</v>
      </c>
      <c r="N578" t="s">
        <v>1676</v>
      </c>
      <c r="O578" t="s">
        <v>1666</v>
      </c>
      <c r="P578">
        <v>1</v>
      </c>
      <c r="Q578" t="s">
        <v>1665</v>
      </c>
    </row>
    <row r="579" spans="1:18" x14ac:dyDescent="0.35">
      <c r="A579" t="s">
        <v>1085</v>
      </c>
      <c r="B579" s="19">
        <v>46109</v>
      </c>
      <c r="C579" t="s">
        <v>144</v>
      </c>
      <c r="D579" t="s">
        <v>546</v>
      </c>
      <c r="E579" t="s">
        <v>79</v>
      </c>
      <c r="F579" t="s">
        <v>38</v>
      </c>
      <c r="G579">
        <v>0.2673611111111111</v>
      </c>
      <c r="H579">
        <v>0.27986111111111112</v>
      </c>
      <c r="I579">
        <v>13</v>
      </c>
      <c r="J579" t="s">
        <v>54</v>
      </c>
      <c r="K579" t="s">
        <v>19</v>
      </c>
      <c r="L579">
        <v>1743</v>
      </c>
      <c r="M579">
        <v>18</v>
      </c>
      <c r="N579" t="s">
        <v>1676</v>
      </c>
      <c r="O579" t="s">
        <v>1667</v>
      </c>
      <c r="P579">
        <v>1</v>
      </c>
      <c r="Q579" t="s">
        <v>1660</v>
      </c>
      <c r="R579" t="s">
        <v>1657</v>
      </c>
    </row>
    <row r="580" spans="1:18" x14ac:dyDescent="0.35">
      <c r="A580" t="s">
        <v>1086</v>
      </c>
      <c r="B580" s="19">
        <v>46109</v>
      </c>
      <c r="C580" t="s">
        <v>986</v>
      </c>
      <c r="D580" t="s">
        <v>202</v>
      </c>
      <c r="E580" t="s">
        <v>413</v>
      </c>
      <c r="F580" t="s">
        <v>17</v>
      </c>
      <c r="G580">
        <v>0.33333333333333331</v>
      </c>
      <c r="H580">
        <v>0.33124999999999999</v>
      </c>
      <c r="I580">
        <v>-4</v>
      </c>
      <c r="J580" t="s">
        <v>18</v>
      </c>
      <c r="K580" t="s">
        <v>19</v>
      </c>
      <c r="L580">
        <v>2338</v>
      </c>
      <c r="M580">
        <v>-3</v>
      </c>
      <c r="N580" t="s">
        <v>1676</v>
      </c>
      <c r="O580" t="s">
        <v>1667</v>
      </c>
      <c r="P580">
        <v>1</v>
      </c>
      <c r="Q580" t="s">
        <v>1660</v>
      </c>
    </row>
    <row r="581" spans="1:18" x14ac:dyDescent="0.35">
      <c r="A581" t="s">
        <v>1087</v>
      </c>
      <c r="B581" s="19">
        <v>46109</v>
      </c>
      <c r="C581" t="s">
        <v>1037</v>
      </c>
      <c r="D581" t="s">
        <v>413</v>
      </c>
      <c r="E581" t="s">
        <v>71</v>
      </c>
      <c r="F581" t="s">
        <v>28</v>
      </c>
      <c r="G581">
        <v>0.41666666666666669</v>
      </c>
      <c r="H581">
        <v>0.43055555555555558</v>
      </c>
      <c r="I581">
        <v>7</v>
      </c>
      <c r="J581" t="s">
        <v>60</v>
      </c>
      <c r="K581" t="s">
        <v>19</v>
      </c>
      <c r="L581">
        <v>1742</v>
      </c>
      <c r="M581">
        <v>20</v>
      </c>
      <c r="N581" t="s">
        <v>1676</v>
      </c>
      <c r="O581" t="s">
        <v>1667</v>
      </c>
      <c r="P581">
        <v>1</v>
      </c>
      <c r="Q581" t="s">
        <v>1660</v>
      </c>
      <c r="R581" t="s">
        <v>1657</v>
      </c>
    </row>
    <row r="582" spans="1:18" x14ac:dyDescent="0.35">
      <c r="A582" t="s">
        <v>1088</v>
      </c>
      <c r="B582" s="19">
        <v>46109</v>
      </c>
      <c r="C582" t="s">
        <v>1089</v>
      </c>
      <c r="D582" t="s">
        <v>197</v>
      </c>
      <c r="E582" t="s">
        <v>1549</v>
      </c>
      <c r="F582" t="s">
        <v>38</v>
      </c>
      <c r="G582">
        <v>0.62152777777777779</v>
      </c>
      <c r="H582">
        <v>0.62222222222222223</v>
      </c>
      <c r="I582">
        <v>-8</v>
      </c>
      <c r="J582" t="s">
        <v>18</v>
      </c>
      <c r="K582" t="s">
        <v>19</v>
      </c>
      <c r="L582">
        <v>186</v>
      </c>
      <c r="M582">
        <v>1</v>
      </c>
      <c r="N582" t="s">
        <v>1676</v>
      </c>
      <c r="O582" t="s">
        <v>1667</v>
      </c>
      <c r="P582">
        <v>1</v>
      </c>
      <c r="Q582" t="s">
        <v>1663</v>
      </c>
    </row>
    <row r="583" spans="1:18" x14ac:dyDescent="0.35">
      <c r="A583" t="s">
        <v>1090</v>
      </c>
      <c r="B583" s="19">
        <v>46110</v>
      </c>
      <c r="C583" t="s">
        <v>1091</v>
      </c>
      <c r="D583" t="s">
        <v>84</v>
      </c>
      <c r="E583" t="s">
        <v>71</v>
      </c>
      <c r="F583" t="s">
        <v>17</v>
      </c>
      <c r="G583">
        <v>0.30902777777777779</v>
      </c>
      <c r="H583">
        <v>0.3347222222222222</v>
      </c>
      <c r="I583">
        <v>33</v>
      </c>
      <c r="J583" t="s">
        <v>129</v>
      </c>
      <c r="K583" t="s">
        <v>19</v>
      </c>
      <c r="L583">
        <v>1717</v>
      </c>
      <c r="M583">
        <v>37</v>
      </c>
      <c r="N583" t="s">
        <v>1676</v>
      </c>
      <c r="O583" t="s">
        <v>1668</v>
      </c>
      <c r="P583">
        <v>0</v>
      </c>
      <c r="Q583" t="s">
        <v>1660</v>
      </c>
      <c r="R583" t="s">
        <v>1670</v>
      </c>
    </row>
    <row r="584" spans="1:18" x14ac:dyDescent="0.35">
      <c r="A584" t="s">
        <v>1092</v>
      </c>
      <c r="B584" s="19">
        <v>46110</v>
      </c>
      <c r="C584" t="s">
        <v>1093</v>
      </c>
      <c r="D584" t="s">
        <v>197</v>
      </c>
      <c r="E584" t="s">
        <v>71</v>
      </c>
      <c r="F584" t="s">
        <v>24</v>
      </c>
      <c r="G584">
        <v>0.34722222222222221</v>
      </c>
      <c r="H584">
        <v>0.34236111111111112</v>
      </c>
      <c r="I584">
        <v>-12</v>
      </c>
      <c r="J584" t="s">
        <v>18</v>
      </c>
      <c r="K584" t="s">
        <v>19</v>
      </c>
      <c r="L584">
        <v>738</v>
      </c>
      <c r="M584">
        <v>-7</v>
      </c>
      <c r="N584" t="s">
        <v>1676</v>
      </c>
      <c r="O584" t="s">
        <v>1668</v>
      </c>
      <c r="P584">
        <v>1</v>
      </c>
      <c r="Q584" t="s">
        <v>1660</v>
      </c>
    </row>
    <row r="585" spans="1:18" x14ac:dyDescent="0.35">
      <c r="A585" t="s">
        <v>1094</v>
      </c>
      <c r="B585" s="19">
        <v>46110</v>
      </c>
      <c r="C585" t="s">
        <v>1095</v>
      </c>
      <c r="D585" t="s">
        <v>1549</v>
      </c>
      <c r="E585" t="s">
        <v>1295</v>
      </c>
      <c r="F585" t="s">
        <v>38</v>
      </c>
      <c r="G585">
        <v>0.53125</v>
      </c>
      <c r="H585">
        <v>0.53541666666666665</v>
      </c>
      <c r="I585">
        <v>14</v>
      </c>
      <c r="J585" t="s">
        <v>18</v>
      </c>
      <c r="K585" t="s">
        <v>19</v>
      </c>
      <c r="L585">
        <v>2698</v>
      </c>
      <c r="M585">
        <v>6</v>
      </c>
      <c r="N585" t="s">
        <v>1676</v>
      </c>
      <c r="O585" t="s">
        <v>1668</v>
      </c>
      <c r="P585">
        <v>1</v>
      </c>
      <c r="Q585" t="s">
        <v>1663</v>
      </c>
    </row>
    <row r="586" spans="1:18" x14ac:dyDescent="0.35">
      <c r="A586" t="s">
        <v>1096</v>
      </c>
      <c r="B586" s="19">
        <v>46111</v>
      </c>
      <c r="C586" t="s">
        <v>692</v>
      </c>
      <c r="D586" t="s">
        <v>546</v>
      </c>
      <c r="E586" t="s">
        <v>1549</v>
      </c>
      <c r="F586" t="s">
        <v>24</v>
      </c>
      <c r="G586">
        <v>0.27083333333333331</v>
      </c>
      <c r="H586">
        <v>0.26805555555555549</v>
      </c>
      <c r="I586">
        <v>-8</v>
      </c>
      <c r="J586" t="s">
        <v>18</v>
      </c>
      <c r="K586" t="s">
        <v>19</v>
      </c>
      <c r="L586">
        <v>2375</v>
      </c>
      <c r="M586">
        <v>-4</v>
      </c>
      <c r="N586" t="s">
        <v>1676</v>
      </c>
      <c r="O586" t="s">
        <v>1659</v>
      </c>
      <c r="P586">
        <v>1</v>
      </c>
      <c r="Q586" t="s">
        <v>1660</v>
      </c>
    </row>
    <row r="587" spans="1:18" x14ac:dyDescent="0.35">
      <c r="A587" t="s">
        <v>1097</v>
      </c>
      <c r="B587" s="19">
        <v>46111</v>
      </c>
      <c r="C587" t="s">
        <v>1098</v>
      </c>
      <c r="D587" t="s">
        <v>588</v>
      </c>
      <c r="E587" t="s">
        <v>84</v>
      </c>
      <c r="F587" t="s">
        <v>17</v>
      </c>
      <c r="G587">
        <v>0.58333333333333337</v>
      </c>
      <c r="H587">
        <v>0.59097222222222223</v>
      </c>
      <c r="I587">
        <v>3</v>
      </c>
      <c r="J587" t="s">
        <v>18</v>
      </c>
      <c r="K587" t="s">
        <v>19</v>
      </c>
      <c r="L587">
        <v>1658</v>
      </c>
      <c r="M587">
        <v>11</v>
      </c>
      <c r="N587" t="s">
        <v>1676</v>
      </c>
      <c r="O587" t="s">
        <v>1659</v>
      </c>
      <c r="P587">
        <v>1</v>
      </c>
      <c r="Q587" t="s">
        <v>1663</v>
      </c>
    </row>
    <row r="588" spans="1:18" x14ac:dyDescent="0.35">
      <c r="A588" t="s">
        <v>1099</v>
      </c>
      <c r="B588" s="19">
        <v>46112</v>
      </c>
      <c r="C588" t="s">
        <v>770</v>
      </c>
      <c r="D588" t="s">
        <v>79</v>
      </c>
      <c r="E588" t="s">
        <v>71</v>
      </c>
      <c r="F588" t="s">
        <v>24</v>
      </c>
      <c r="G588">
        <v>0.46180555555555558</v>
      </c>
      <c r="H588">
        <v>0.46597222222222218</v>
      </c>
      <c r="I588">
        <v>-1</v>
      </c>
      <c r="J588" t="s">
        <v>18</v>
      </c>
      <c r="K588" t="s">
        <v>19</v>
      </c>
      <c r="L588">
        <v>606</v>
      </c>
      <c r="M588">
        <v>6</v>
      </c>
      <c r="N588" t="s">
        <v>1676</v>
      </c>
      <c r="O588" t="s">
        <v>1661</v>
      </c>
      <c r="P588">
        <v>1</v>
      </c>
      <c r="Q588" t="s">
        <v>1660</v>
      </c>
    </row>
    <row r="589" spans="1:18" x14ac:dyDescent="0.35">
      <c r="A589" t="s">
        <v>1100</v>
      </c>
      <c r="B589" s="19">
        <v>46112</v>
      </c>
      <c r="C589" t="s">
        <v>1101</v>
      </c>
      <c r="D589" t="s">
        <v>197</v>
      </c>
      <c r="E589" t="s">
        <v>1295</v>
      </c>
      <c r="F589" t="s">
        <v>38</v>
      </c>
      <c r="G589">
        <v>0.70833333333333337</v>
      </c>
      <c r="H589">
        <v>0.7055555555555556</v>
      </c>
      <c r="I589">
        <v>-14</v>
      </c>
      <c r="J589" t="s">
        <v>18</v>
      </c>
      <c r="K589" t="s">
        <v>19</v>
      </c>
      <c r="L589">
        <v>2580</v>
      </c>
      <c r="M589">
        <v>-4</v>
      </c>
      <c r="N589" t="s">
        <v>1676</v>
      </c>
      <c r="O589" t="s">
        <v>1661</v>
      </c>
      <c r="P589">
        <v>1</v>
      </c>
      <c r="Q589" t="s">
        <v>1665</v>
      </c>
    </row>
    <row r="590" spans="1:18" x14ac:dyDescent="0.35">
      <c r="A590" t="s">
        <v>1102</v>
      </c>
      <c r="B590" s="19">
        <v>46113</v>
      </c>
      <c r="C590" t="s">
        <v>1101</v>
      </c>
      <c r="D590" t="s">
        <v>79</v>
      </c>
      <c r="E590" t="s">
        <v>84</v>
      </c>
      <c r="F590" t="s">
        <v>24</v>
      </c>
      <c r="G590">
        <v>0.40277777777777779</v>
      </c>
      <c r="H590">
        <v>0.4</v>
      </c>
      <c r="I590">
        <v>2</v>
      </c>
      <c r="J590" t="s">
        <v>18</v>
      </c>
      <c r="K590" t="s">
        <v>19</v>
      </c>
      <c r="L590">
        <v>2178</v>
      </c>
      <c r="M590">
        <v>-4</v>
      </c>
      <c r="N590" t="s">
        <v>1677</v>
      </c>
      <c r="O590" t="s">
        <v>1662</v>
      </c>
      <c r="P590">
        <v>1</v>
      </c>
      <c r="Q590" t="s">
        <v>1660</v>
      </c>
    </row>
    <row r="591" spans="1:18" x14ac:dyDescent="0.35">
      <c r="A591" t="s">
        <v>1103</v>
      </c>
      <c r="B591" s="19">
        <v>46113</v>
      </c>
      <c r="C591" t="s">
        <v>236</v>
      </c>
      <c r="D591" t="s">
        <v>71</v>
      </c>
      <c r="E591" t="s">
        <v>588</v>
      </c>
      <c r="F591" t="s">
        <v>28</v>
      </c>
      <c r="G591">
        <v>0.46527777777777779</v>
      </c>
      <c r="H591">
        <v>0.46666666666666667</v>
      </c>
      <c r="I591">
        <v>2</v>
      </c>
      <c r="J591" t="s">
        <v>18</v>
      </c>
      <c r="K591" t="s">
        <v>19</v>
      </c>
      <c r="L591">
        <v>802</v>
      </c>
      <c r="M591">
        <v>2</v>
      </c>
      <c r="N591" t="s">
        <v>1677</v>
      </c>
      <c r="O591" t="s">
        <v>1662</v>
      </c>
      <c r="P591">
        <v>1</v>
      </c>
      <c r="Q591" t="s">
        <v>1660</v>
      </c>
    </row>
    <row r="592" spans="1:18" x14ac:dyDescent="0.35">
      <c r="A592" t="s">
        <v>1104</v>
      </c>
      <c r="B592" s="19">
        <v>46113</v>
      </c>
      <c r="C592" t="s">
        <v>1105</v>
      </c>
      <c r="D592" t="s">
        <v>79</v>
      </c>
      <c r="E592" t="s">
        <v>197</v>
      </c>
      <c r="F592" t="s">
        <v>17</v>
      </c>
      <c r="G592">
        <v>0.53819444444444442</v>
      </c>
      <c r="H592">
        <v>0.54305555555555551</v>
      </c>
      <c r="I592">
        <v>5</v>
      </c>
      <c r="J592" t="s">
        <v>18</v>
      </c>
      <c r="K592" t="s">
        <v>19</v>
      </c>
      <c r="L592">
        <v>759</v>
      </c>
      <c r="M592">
        <v>7</v>
      </c>
      <c r="N592" t="s">
        <v>1677</v>
      </c>
      <c r="O592" t="s">
        <v>1662</v>
      </c>
      <c r="P592">
        <v>1</v>
      </c>
      <c r="Q592" t="s">
        <v>1663</v>
      </c>
    </row>
    <row r="593" spans="1:18" x14ac:dyDescent="0.35">
      <c r="A593" t="s">
        <v>1106</v>
      </c>
      <c r="B593" s="19">
        <v>46113</v>
      </c>
      <c r="C593" t="s">
        <v>218</v>
      </c>
      <c r="D593" t="s">
        <v>588</v>
      </c>
      <c r="E593" t="s">
        <v>1295</v>
      </c>
      <c r="F593" t="s">
        <v>38</v>
      </c>
      <c r="G593">
        <v>0.65625</v>
      </c>
      <c r="H593">
        <v>0.65486111111111112</v>
      </c>
      <c r="I593">
        <v>-6</v>
      </c>
      <c r="J593" t="s">
        <v>18</v>
      </c>
      <c r="K593" t="s">
        <v>19</v>
      </c>
      <c r="L593">
        <v>1462</v>
      </c>
      <c r="M593">
        <v>-2</v>
      </c>
      <c r="N593" t="s">
        <v>1677</v>
      </c>
      <c r="O593" t="s">
        <v>1662</v>
      </c>
      <c r="P593">
        <v>1</v>
      </c>
      <c r="Q593" t="s">
        <v>1663</v>
      </c>
    </row>
    <row r="594" spans="1:18" x14ac:dyDescent="0.35">
      <c r="A594" t="s">
        <v>1107</v>
      </c>
      <c r="B594" s="19">
        <v>46113</v>
      </c>
      <c r="C594" t="s">
        <v>278</v>
      </c>
      <c r="D594" t="s">
        <v>1549</v>
      </c>
      <c r="E594" t="s">
        <v>1171</v>
      </c>
      <c r="F594" t="s">
        <v>24</v>
      </c>
      <c r="G594">
        <v>0.87847222222222221</v>
      </c>
      <c r="H594">
        <v>0.89444444444444449</v>
      </c>
      <c r="I594">
        <v>11</v>
      </c>
      <c r="J594" t="s">
        <v>60</v>
      </c>
      <c r="K594" t="s">
        <v>19</v>
      </c>
      <c r="L594">
        <v>2295</v>
      </c>
      <c r="M594">
        <v>23</v>
      </c>
      <c r="N594" t="s">
        <v>1677</v>
      </c>
      <c r="O594" t="s">
        <v>1662</v>
      </c>
      <c r="P594">
        <v>1</v>
      </c>
      <c r="Q594" t="s">
        <v>1669</v>
      </c>
      <c r="R594" t="s">
        <v>1657</v>
      </c>
    </row>
    <row r="595" spans="1:18" x14ac:dyDescent="0.35">
      <c r="A595" t="s">
        <v>1108</v>
      </c>
      <c r="B595" s="19">
        <v>46114</v>
      </c>
      <c r="C595" t="s">
        <v>26</v>
      </c>
      <c r="D595" t="s">
        <v>1295</v>
      </c>
      <c r="E595" t="s">
        <v>79</v>
      </c>
      <c r="F595" t="s">
        <v>28</v>
      </c>
      <c r="G595">
        <v>0.46180555555555558</v>
      </c>
      <c r="H595">
        <v>0.50555555555555554</v>
      </c>
      <c r="I595">
        <v>67</v>
      </c>
      <c r="J595" t="s">
        <v>54</v>
      </c>
      <c r="K595" t="s">
        <v>19</v>
      </c>
      <c r="L595">
        <v>2134</v>
      </c>
      <c r="M595">
        <v>63</v>
      </c>
      <c r="N595" t="s">
        <v>1677</v>
      </c>
      <c r="O595" t="s">
        <v>1664</v>
      </c>
      <c r="P595">
        <v>0</v>
      </c>
      <c r="Q595" t="s">
        <v>1660</v>
      </c>
      <c r="R595" t="s">
        <v>1657</v>
      </c>
    </row>
    <row r="596" spans="1:18" x14ac:dyDescent="0.35">
      <c r="A596" t="s">
        <v>1109</v>
      </c>
      <c r="B596" s="19">
        <v>46115</v>
      </c>
      <c r="C596" t="s">
        <v>1110</v>
      </c>
      <c r="D596" t="s">
        <v>79</v>
      </c>
      <c r="E596" t="s">
        <v>1171</v>
      </c>
      <c r="F596" t="s">
        <v>28</v>
      </c>
      <c r="G596">
        <v>0.3611111111111111</v>
      </c>
      <c r="H596">
        <v>0.3611111111111111</v>
      </c>
      <c r="I596">
        <v>-12</v>
      </c>
      <c r="J596" t="s">
        <v>18</v>
      </c>
      <c r="K596" t="s">
        <v>19</v>
      </c>
      <c r="L596">
        <v>1584</v>
      </c>
      <c r="M596">
        <v>0</v>
      </c>
      <c r="N596" t="s">
        <v>1677</v>
      </c>
      <c r="O596" t="s">
        <v>1666</v>
      </c>
      <c r="P596">
        <v>1</v>
      </c>
      <c r="Q596" t="s">
        <v>1660</v>
      </c>
    </row>
    <row r="597" spans="1:18" x14ac:dyDescent="0.35">
      <c r="A597" t="s">
        <v>1111</v>
      </c>
      <c r="B597" s="19">
        <v>46115</v>
      </c>
      <c r="C597" t="s">
        <v>994</v>
      </c>
      <c r="D597" t="s">
        <v>79</v>
      </c>
      <c r="E597" t="s">
        <v>71</v>
      </c>
      <c r="F597" t="s">
        <v>17</v>
      </c>
      <c r="G597">
        <v>0.86111111111111116</v>
      </c>
      <c r="H597">
        <v>0.91388888888888886</v>
      </c>
      <c r="I597">
        <v>65</v>
      </c>
      <c r="J597" t="s">
        <v>477</v>
      </c>
      <c r="K597" t="s">
        <v>19</v>
      </c>
      <c r="L597">
        <v>606</v>
      </c>
      <c r="M597">
        <v>76</v>
      </c>
      <c r="N597" t="s">
        <v>1677</v>
      </c>
      <c r="O597" t="s">
        <v>1666</v>
      </c>
      <c r="P597">
        <v>0</v>
      </c>
      <c r="Q597" t="s">
        <v>1665</v>
      </c>
      <c r="R597" t="s">
        <v>1670</v>
      </c>
    </row>
    <row r="598" spans="1:18" x14ac:dyDescent="0.35">
      <c r="A598" t="s">
        <v>1112</v>
      </c>
      <c r="B598" s="19">
        <v>46116</v>
      </c>
      <c r="C598" t="s">
        <v>1113</v>
      </c>
      <c r="D598" t="s">
        <v>226</v>
      </c>
      <c r="E598" t="s">
        <v>1295</v>
      </c>
      <c r="F598" t="s">
        <v>17</v>
      </c>
      <c r="G598">
        <v>0.31597222222222221</v>
      </c>
      <c r="H598">
        <v>0.33055555555555549</v>
      </c>
      <c r="I598">
        <v>13</v>
      </c>
      <c r="J598" t="s">
        <v>477</v>
      </c>
      <c r="K598" t="s">
        <v>19</v>
      </c>
      <c r="L598">
        <v>965</v>
      </c>
      <c r="M598">
        <v>21</v>
      </c>
      <c r="N598" t="s">
        <v>1677</v>
      </c>
      <c r="O598" t="s">
        <v>1667</v>
      </c>
      <c r="P598">
        <v>1</v>
      </c>
      <c r="Q598" t="s">
        <v>1660</v>
      </c>
      <c r="R598" t="s">
        <v>1670</v>
      </c>
    </row>
    <row r="599" spans="1:18" x14ac:dyDescent="0.35">
      <c r="A599" t="s">
        <v>1114</v>
      </c>
      <c r="B599" s="19">
        <v>46116</v>
      </c>
      <c r="C599" t="s">
        <v>1115</v>
      </c>
      <c r="D599" t="s">
        <v>84</v>
      </c>
      <c r="E599" t="s">
        <v>1295</v>
      </c>
      <c r="F599" t="s">
        <v>24</v>
      </c>
      <c r="G599">
        <v>0.87152777777777779</v>
      </c>
      <c r="H599">
        <v>0.87291666666666667</v>
      </c>
      <c r="I599">
        <v>7</v>
      </c>
      <c r="J599" t="s">
        <v>18</v>
      </c>
      <c r="K599" t="s">
        <v>19</v>
      </c>
      <c r="L599">
        <v>679</v>
      </c>
      <c r="M599">
        <v>2</v>
      </c>
      <c r="N599" t="s">
        <v>1677</v>
      </c>
      <c r="O599" t="s">
        <v>1667</v>
      </c>
      <c r="P599">
        <v>1</v>
      </c>
      <c r="Q599" t="s">
        <v>1665</v>
      </c>
    </row>
    <row r="600" spans="1:18" x14ac:dyDescent="0.35">
      <c r="A600" t="s">
        <v>1116</v>
      </c>
      <c r="B600" s="19">
        <v>46117</v>
      </c>
      <c r="C600" t="s">
        <v>978</v>
      </c>
      <c r="D600" t="s">
        <v>413</v>
      </c>
      <c r="E600" t="s">
        <v>84</v>
      </c>
      <c r="F600" t="s">
        <v>17</v>
      </c>
      <c r="G600">
        <v>0.4548611111111111</v>
      </c>
      <c r="H600">
        <v>0.53541666666666665</v>
      </c>
      <c r="I600">
        <v>112</v>
      </c>
      <c r="J600" t="s">
        <v>129</v>
      </c>
      <c r="K600" t="s">
        <v>19</v>
      </c>
      <c r="L600">
        <v>955</v>
      </c>
      <c r="M600">
        <v>116</v>
      </c>
      <c r="N600" t="s">
        <v>1677</v>
      </c>
      <c r="O600" t="s">
        <v>1668</v>
      </c>
      <c r="P600">
        <v>0</v>
      </c>
      <c r="Q600" t="s">
        <v>1660</v>
      </c>
      <c r="R600" t="s">
        <v>1670</v>
      </c>
    </row>
    <row r="601" spans="1:18" x14ac:dyDescent="0.35">
      <c r="A601" t="s">
        <v>1117</v>
      </c>
      <c r="B601" s="19">
        <v>46117</v>
      </c>
      <c r="C601" t="s">
        <v>1118</v>
      </c>
      <c r="D601" t="s">
        <v>84</v>
      </c>
      <c r="E601" t="s">
        <v>1549</v>
      </c>
      <c r="F601" t="s">
        <v>17</v>
      </c>
      <c r="G601">
        <v>0.69444444444444442</v>
      </c>
      <c r="H601">
        <v>0.70902777777777781</v>
      </c>
      <c r="I601">
        <v>18</v>
      </c>
      <c r="J601" t="s">
        <v>60</v>
      </c>
      <c r="K601" t="s">
        <v>19</v>
      </c>
      <c r="L601">
        <v>2489</v>
      </c>
      <c r="M601">
        <v>21</v>
      </c>
      <c r="N601" t="s">
        <v>1677</v>
      </c>
      <c r="O601" t="s">
        <v>1668</v>
      </c>
      <c r="P601">
        <v>0</v>
      </c>
      <c r="Q601" t="s">
        <v>1663</v>
      </c>
      <c r="R601" t="s">
        <v>1657</v>
      </c>
    </row>
    <row r="602" spans="1:18" x14ac:dyDescent="0.35">
      <c r="A602" t="s">
        <v>1119</v>
      </c>
      <c r="B602" s="19">
        <v>46118</v>
      </c>
      <c r="C602" t="s">
        <v>1120</v>
      </c>
      <c r="D602" t="s">
        <v>226</v>
      </c>
      <c r="E602" t="s">
        <v>79</v>
      </c>
      <c r="F602" t="s">
        <v>17</v>
      </c>
      <c r="G602">
        <v>0.45833333333333331</v>
      </c>
      <c r="H602">
        <v>0.49236111111111108</v>
      </c>
      <c r="I602">
        <v>41</v>
      </c>
      <c r="J602" t="s">
        <v>129</v>
      </c>
      <c r="K602" t="s">
        <v>19</v>
      </c>
      <c r="L602">
        <v>1197</v>
      </c>
      <c r="M602">
        <v>49</v>
      </c>
      <c r="N602" t="s">
        <v>1677</v>
      </c>
      <c r="O602" t="s">
        <v>1659</v>
      </c>
      <c r="P602">
        <v>0</v>
      </c>
      <c r="Q602" t="s">
        <v>1660</v>
      </c>
      <c r="R602" t="s">
        <v>1670</v>
      </c>
    </row>
    <row r="603" spans="1:18" x14ac:dyDescent="0.35">
      <c r="A603" t="s">
        <v>1121</v>
      </c>
      <c r="B603" s="19">
        <v>46118</v>
      </c>
      <c r="C603" t="s">
        <v>125</v>
      </c>
      <c r="D603" t="s">
        <v>1171</v>
      </c>
      <c r="E603" t="s">
        <v>226</v>
      </c>
      <c r="F603" t="s">
        <v>38</v>
      </c>
      <c r="G603">
        <v>0.63194444444444442</v>
      </c>
      <c r="H603">
        <v>0.6333333333333333</v>
      </c>
      <c r="I603">
        <v>10</v>
      </c>
      <c r="J603" t="s">
        <v>18</v>
      </c>
      <c r="K603" t="s">
        <v>19</v>
      </c>
      <c r="L603">
        <v>602</v>
      </c>
      <c r="M603">
        <v>2</v>
      </c>
      <c r="N603" t="s">
        <v>1677</v>
      </c>
      <c r="O603" t="s">
        <v>1659</v>
      </c>
      <c r="P603">
        <v>1</v>
      </c>
      <c r="Q603" t="s">
        <v>1663</v>
      </c>
    </row>
    <row r="604" spans="1:18" x14ac:dyDescent="0.35">
      <c r="A604" t="s">
        <v>1122</v>
      </c>
      <c r="B604" s="19">
        <v>46118</v>
      </c>
      <c r="C604" t="s">
        <v>1123</v>
      </c>
      <c r="D604" t="s">
        <v>79</v>
      </c>
      <c r="E604" t="s">
        <v>226</v>
      </c>
      <c r="F604" t="s">
        <v>28</v>
      </c>
      <c r="G604">
        <v>0.66319444444444442</v>
      </c>
      <c r="H604">
        <v>0.66111111111111109</v>
      </c>
      <c r="I604">
        <v>-8</v>
      </c>
      <c r="J604" t="s">
        <v>18</v>
      </c>
      <c r="K604" t="s">
        <v>19</v>
      </c>
      <c r="L604">
        <v>1197</v>
      </c>
      <c r="M604">
        <v>-3</v>
      </c>
      <c r="N604" t="s">
        <v>1677</v>
      </c>
      <c r="O604" t="s">
        <v>1659</v>
      </c>
      <c r="P604">
        <v>1</v>
      </c>
      <c r="Q604" t="s">
        <v>1663</v>
      </c>
    </row>
    <row r="605" spans="1:18" x14ac:dyDescent="0.35">
      <c r="A605" t="s">
        <v>1124</v>
      </c>
      <c r="B605" s="19">
        <v>46118</v>
      </c>
      <c r="C605" t="s">
        <v>1125</v>
      </c>
      <c r="D605" t="s">
        <v>1171</v>
      </c>
      <c r="E605" t="s">
        <v>197</v>
      </c>
      <c r="F605" t="s">
        <v>24</v>
      </c>
      <c r="G605">
        <v>0.73958333333333337</v>
      </c>
      <c r="H605">
        <v>0.74236111111111114</v>
      </c>
      <c r="I605">
        <v>9</v>
      </c>
      <c r="J605" t="s">
        <v>18</v>
      </c>
      <c r="K605" t="s">
        <v>19</v>
      </c>
      <c r="L605">
        <v>2149</v>
      </c>
      <c r="M605">
        <v>4</v>
      </c>
      <c r="N605" t="s">
        <v>1677</v>
      </c>
      <c r="O605" t="s">
        <v>1659</v>
      </c>
      <c r="P605">
        <v>1</v>
      </c>
      <c r="Q605" t="s">
        <v>1665</v>
      </c>
    </row>
    <row r="606" spans="1:18" x14ac:dyDescent="0.35">
      <c r="A606" t="s">
        <v>1127</v>
      </c>
      <c r="B606" s="19">
        <v>46119</v>
      </c>
      <c r="C606" t="s">
        <v>282</v>
      </c>
      <c r="D606" t="s">
        <v>79</v>
      </c>
      <c r="E606" t="s">
        <v>413</v>
      </c>
      <c r="F606" t="s">
        <v>24</v>
      </c>
      <c r="G606">
        <v>0.26041666666666669</v>
      </c>
      <c r="H606">
        <v>0.25763888888888892</v>
      </c>
      <c r="I606">
        <v>-15</v>
      </c>
      <c r="J606" t="s">
        <v>18</v>
      </c>
      <c r="K606" t="s">
        <v>19</v>
      </c>
      <c r="L606">
        <v>1942</v>
      </c>
      <c r="M606">
        <v>-4</v>
      </c>
      <c r="N606" t="s">
        <v>1677</v>
      </c>
      <c r="O606" t="s">
        <v>1661</v>
      </c>
      <c r="P606">
        <v>1</v>
      </c>
      <c r="Q606" t="s">
        <v>1660</v>
      </c>
    </row>
    <row r="607" spans="1:18" x14ac:dyDescent="0.35">
      <c r="A607" t="s">
        <v>1128</v>
      </c>
      <c r="B607" s="19">
        <v>46119</v>
      </c>
      <c r="C607" t="s">
        <v>1129</v>
      </c>
      <c r="D607" t="s">
        <v>226</v>
      </c>
      <c r="E607" t="s">
        <v>413</v>
      </c>
      <c r="F607" t="s">
        <v>17</v>
      </c>
      <c r="G607">
        <v>0.51388888888888884</v>
      </c>
      <c r="H607">
        <v>0.52083333333333337</v>
      </c>
      <c r="I607">
        <v>9</v>
      </c>
      <c r="J607" t="s">
        <v>18</v>
      </c>
      <c r="K607" t="s">
        <v>19</v>
      </c>
      <c r="L607">
        <v>861</v>
      </c>
      <c r="M607">
        <v>10</v>
      </c>
      <c r="N607" t="s">
        <v>1677</v>
      </c>
      <c r="O607" t="s">
        <v>1661</v>
      </c>
      <c r="P607">
        <v>1</v>
      </c>
      <c r="Q607" t="s">
        <v>1663</v>
      </c>
    </row>
    <row r="608" spans="1:18" x14ac:dyDescent="0.35">
      <c r="A608" t="s">
        <v>1130</v>
      </c>
      <c r="B608" s="19">
        <v>46119</v>
      </c>
      <c r="C608" t="s">
        <v>1131</v>
      </c>
      <c r="D608" t="s">
        <v>588</v>
      </c>
      <c r="E608" t="s">
        <v>1549</v>
      </c>
      <c r="F608" t="s">
        <v>28</v>
      </c>
      <c r="G608">
        <v>0.51736111111111116</v>
      </c>
      <c r="H608">
        <v>0.5180555555555556</v>
      </c>
      <c r="I608">
        <v>4</v>
      </c>
      <c r="J608" t="s">
        <v>18</v>
      </c>
      <c r="K608" t="s">
        <v>19</v>
      </c>
      <c r="L608">
        <v>1559</v>
      </c>
      <c r="M608">
        <v>1</v>
      </c>
      <c r="N608" t="s">
        <v>1677</v>
      </c>
      <c r="O608" t="s">
        <v>1661</v>
      </c>
      <c r="P608">
        <v>1</v>
      </c>
      <c r="Q608" t="s">
        <v>1663</v>
      </c>
    </row>
    <row r="609" spans="1:18" x14ac:dyDescent="0.35">
      <c r="A609" t="s">
        <v>1132</v>
      </c>
      <c r="B609" s="19">
        <v>46119</v>
      </c>
      <c r="C609" t="s">
        <v>1012</v>
      </c>
      <c r="D609" t="s">
        <v>588</v>
      </c>
      <c r="E609" t="s">
        <v>71</v>
      </c>
      <c r="F609" t="s">
        <v>28</v>
      </c>
      <c r="G609">
        <v>0.58333333333333337</v>
      </c>
      <c r="H609">
        <v>0.60486111111111107</v>
      </c>
      <c r="I609">
        <v>21</v>
      </c>
      <c r="J609" t="s">
        <v>54</v>
      </c>
      <c r="K609" t="s">
        <v>19</v>
      </c>
      <c r="L609">
        <v>802</v>
      </c>
      <c r="M609">
        <v>31</v>
      </c>
      <c r="N609" t="s">
        <v>1677</v>
      </c>
      <c r="O609" t="s">
        <v>1661</v>
      </c>
      <c r="P609">
        <v>0</v>
      </c>
      <c r="Q609" t="s">
        <v>1663</v>
      </c>
      <c r="R609" t="s">
        <v>1657</v>
      </c>
    </row>
    <row r="610" spans="1:18" x14ac:dyDescent="0.35">
      <c r="A610" t="s">
        <v>1133</v>
      </c>
      <c r="B610" s="19">
        <v>46119</v>
      </c>
      <c r="C610" t="s">
        <v>1012</v>
      </c>
      <c r="D610" t="s">
        <v>202</v>
      </c>
      <c r="E610" t="s">
        <v>1549</v>
      </c>
      <c r="F610" t="s">
        <v>24</v>
      </c>
      <c r="G610">
        <v>0.76041666666666663</v>
      </c>
      <c r="H610">
        <v>0.75763888888888886</v>
      </c>
      <c r="I610">
        <v>4</v>
      </c>
      <c r="J610" t="s">
        <v>18</v>
      </c>
      <c r="K610" t="s">
        <v>19</v>
      </c>
      <c r="L610">
        <v>1260</v>
      </c>
      <c r="M610">
        <v>-4</v>
      </c>
      <c r="N610" t="s">
        <v>1677</v>
      </c>
      <c r="O610" t="s">
        <v>1661</v>
      </c>
      <c r="P610">
        <v>1</v>
      </c>
      <c r="Q610" t="s">
        <v>1665</v>
      </c>
    </row>
    <row r="611" spans="1:18" x14ac:dyDescent="0.35">
      <c r="A611" t="s">
        <v>1134</v>
      </c>
      <c r="B611" s="19">
        <v>46119</v>
      </c>
      <c r="C611" t="s">
        <v>773</v>
      </c>
      <c r="D611" t="s">
        <v>413</v>
      </c>
      <c r="E611" t="s">
        <v>71</v>
      </c>
      <c r="F611" t="s">
        <v>17</v>
      </c>
      <c r="G611">
        <v>0.86458333333333337</v>
      </c>
      <c r="H611">
        <v>0.90694444444444444</v>
      </c>
      <c r="I611">
        <v>49</v>
      </c>
      <c r="J611" t="s">
        <v>54</v>
      </c>
      <c r="K611" t="s">
        <v>19</v>
      </c>
      <c r="L611">
        <v>1742</v>
      </c>
      <c r="M611">
        <v>61</v>
      </c>
      <c r="N611" t="s">
        <v>1677</v>
      </c>
      <c r="O611" t="s">
        <v>1661</v>
      </c>
      <c r="P611">
        <v>0</v>
      </c>
      <c r="Q611" t="s">
        <v>1665</v>
      </c>
      <c r="R611" t="s">
        <v>1657</v>
      </c>
    </row>
    <row r="612" spans="1:18" x14ac:dyDescent="0.35">
      <c r="A612" t="s">
        <v>1135</v>
      </c>
      <c r="B612" s="19">
        <v>46120</v>
      </c>
      <c r="C612" t="s">
        <v>1060</v>
      </c>
      <c r="D612" t="s">
        <v>413</v>
      </c>
      <c r="E612" t="s">
        <v>588</v>
      </c>
      <c r="F612" t="s">
        <v>24</v>
      </c>
      <c r="G612">
        <v>0.59375</v>
      </c>
      <c r="H612">
        <v>0.58819444444444446</v>
      </c>
      <c r="I612">
        <v>-9</v>
      </c>
      <c r="J612" t="s">
        <v>18</v>
      </c>
      <c r="K612" t="s">
        <v>19</v>
      </c>
      <c r="L612">
        <v>1232</v>
      </c>
      <c r="M612">
        <v>-8</v>
      </c>
      <c r="N612" t="s">
        <v>1677</v>
      </c>
      <c r="O612" t="s">
        <v>1662</v>
      </c>
      <c r="P612">
        <v>1</v>
      </c>
      <c r="Q612" t="s">
        <v>1663</v>
      </c>
    </row>
    <row r="613" spans="1:18" x14ac:dyDescent="0.35">
      <c r="A613" t="s">
        <v>1136</v>
      </c>
      <c r="B613" s="19">
        <v>46120</v>
      </c>
      <c r="C613" t="s">
        <v>1137</v>
      </c>
      <c r="D613" t="s">
        <v>202</v>
      </c>
      <c r="E613" t="s">
        <v>71</v>
      </c>
      <c r="F613" t="s">
        <v>28</v>
      </c>
      <c r="G613">
        <v>0.64236111111111116</v>
      </c>
      <c r="H613">
        <v>0.64930555555555558</v>
      </c>
      <c r="I613">
        <v>16</v>
      </c>
      <c r="J613" t="s">
        <v>18</v>
      </c>
      <c r="K613" t="s">
        <v>19</v>
      </c>
      <c r="L613">
        <v>1199</v>
      </c>
      <c r="M613">
        <v>10</v>
      </c>
      <c r="N613" t="s">
        <v>1677</v>
      </c>
      <c r="O613" t="s">
        <v>1662</v>
      </c>
      <c r="P613">
        <v>0</v>
      </c>
      <c r="Q613" t="s">
        <v>1663</v>
      </c>
    </row>
    <row r="614" spans="1:18" x14ac:dyDescent="0.35">
      <c r="A614" t="s">
        <v>1138</v>
      </c>
      <c r="B614" s="19">
        <v>46121</v>
      </c>
      <c r="C614" t="s">
        <v>1017</v>
      </c>
      <c r="D614" t="s">
        <v>79</v>
      </c>
      <c r="E614" t="s">
        <v>588</v>
      </c>
      <c r="F614" t="s">
        <v>38</v>
      </c>
      <c r="G614">
        <v>0.79513888888888884</v>
      </c>
      <c r="H614">
        <v>0.7944444444444444</v>
      </c>
      <c r="I614">
        <v>-9</v>
      </c>
      <c r="J614" t="s">
        <v>18</v>
      </c>
      <c r="K614" t="s">
        <v>19</v>
      </c>
      <c r="L614">
        <v>730</v>
      </c>
      <c r="N614" t="s">
        <v>1677</v>
      </c>
      <c r="O614" t="s">
        <v>1664</v>
      </c>
      <c r="P614">
        <v>1</v>
      </c>
      <c r="Q614" t="s">
        <v>1665</v>
      </c>
    </row>
    <row r="615" spans="1:18" x14ac:dyDescent="0.35">
      <c r="A615" t="s">
        <v>1139</v>
      </c>
      <c r="B615" s="19">
        <v>46122</v>
      </c>
      <c r="C615" t="s">
        <v>768</v>
      </c>
      <c r="D615" t="s">
        <v>84</v>
      </c>
      <c r="E615" t="s">
        <v>197</v>
      </c>
      <c r="F615" t="s">
        <v>38</v>
      </c>
      <c r="G615">
        <v>0.63888888888888884</v>
      </c>
      <c r="H615">
        <v>0.65069444444444446</v>
      </c>
      <c r="I615">
        <v>13</v>
      </c>
      <c r="J615" t="s">
        <v>60</v>
      </c>
      <c r="K615" t="s">
        <v>19</v>
      </c>
      <c r="L615">
        <v>2415</v>
      </c>
      <c r="M615">
        <v>17</v>
      </c>
      <c r="N615" t="s">
        <v>1677</v>
      </c>
      <c r="O615" t="s">
        <v>1666</v>
      </c>
      <c r="P615">
        <v>1</v>
      </c>
      <c r="Q615" t="s">
        <v>1663</v>
      </c>
      <c r="R615" t="s">
        <v>1657</v>
      </c>
    </row>
    <row r="616" spans="1:18" x14ac:dyDescent="0.35">
      <c r="A616" t="s">
        <v>1140</v>
      </c>
      <c r="B616" s="19">
        <v>46123</v>
      </c>
      <c r="C616" t="s">
        <v>180</v>
      </c>
      <c r="D616" t="s">
        <v>1295</v>
      </c>
      <c r="E616" t="s">
        <v>197</v>
      </c>
      <c r="F616" t="s">
        <v>24</v>
      </c>
      <c r="G616">
        <v>0.25347222222222221</v>
      </c>
      <c r="H616">
        <v>0.25347222222222221</v>
      </c>
      <c r="I616">
        <v>-1</v>
      </c>
      <c r="J616" t="s">
        <v>18</v>
      </c>
      <c r="K616" t="s">
        <v>19</v>
      </c>
      <c r="L616">
        <v>2580</v>
      </c>
      <c r="M616">
        <v>0</v>
      </c>
      <c r="N616" t="s">
        <v>1677</v>
      </c>
      <c r="O616" t="s">
        <v>1667</v>
      </c>
      <c r="P616">
        <v>1</v>
      </c>
      <c r="Q616" t="s">
        <v>1660</v>
      </c>
    </row>
    <row r="617" spans="1:18" x14ac:dyDescent="0.35">
      <c r="A617" t="s">
        <v>1141</v>
      </c>
      <c r="B617" s="19">
        <v>46123</v>
      </c>
      <c r="C617" t="s">
        <v>1142</v>
      </c>
      <c r="D617" t="s">
        <v>1549</v>
      </c>
      <c r="E617" t="s">
        <v>79</v>
      </c>
      <c r="F617" t="s">
        <v>38</v>
      </c>
      <c r="G617">
        <v>0.29166666666666669</v>
      </c>
      <c r="H617">
        <v>0.28958333333333341</v>
      </c>
      <c r="I617">
        <v>2</v>
      </c>
      <c r="J617" t="s">
        <v>18</v>
      </c>
      <c r="K617" t="s">
        <v>19</v>
      </c>
      <c r="L617">
        <v>945</v>
      </c>
      <c r="M617">
        <v>-3</v>
      </c>
      <c r="N617" t="s">
        <v>1677</v>
      </c>
      <c r="O617" t="s">
        <v>1667</v>
      </c>
      <c r="P617">
        <v>1</v>
      </c>
      <c r="Q617" t="s">
        <v>1660</v>
      </c>
    </row>
    <row r="618" spans="1:18" x14ac:dyDescent="0.35">
      <c r="A618" t="s">
        <v>1143</v>
      </c>
      <c r="B618" s="19">
        <v>46123</v>
      </c>
      <c r="C618" t="s">
        <v>1144</v>
      </c>
      <c r="D618" t="s">
        <v>197</v>
      </c>
      <c r="E618" t="s">
        <v>71</v>
      </c>
      <c r="F618" t="s">
        <v>28</v>
      </c>
      <c r="G618">
        <v>0.30555555555555558</v>
      </c>
      <c r="H618">
        <v>0.31388888888888888</v>
      </c>
      <c r="I618">
        <v>18</v>
      </c>
      <c r="J618" t="s">
        <v>18</v>
      </c>
      <c r="K618" t="s">
        <v>19</v>
      </c>
      <c r="L618">
        <v>738</v>
      </c>
      <c r="M618">
        <v>12</v>
      </c>
      <c r="N618" t="s">
        <v>1677</v>
      </c>
      <c r="O618" t="s">
        <v>1667</v>
      </c>
      <c r="P618">
        <v>0</v>
      </c>
      <c r="Q618" t="s">
        <v>1660</v>
      </c>
    </row>
    <row r="619" spans="1:18" x14ac:dyDescent="0.35">
      <c r="A619" t="s">
        <v>1637</v>
      </c>
      <c r="B619" s="19">
        <v>46258</v>
      </c>
      <c r="C619" t="s">
        <v>1638</v>
      </c>
      <c r="D619" t="s">
        <v>588</v>
      </c>
      <c r="E619" t="s">
        <v>84</v>
      </c>
      <c r="F619" t="s">
        <v>17</v>
      </c>
      <c r="G619">
        <v>0.34722222222222221</v>
      </c>
      <c r="H619">
        <v>0.37986111111111109</v>
      </c>
      <c r="I619">
        <v>35</v>
      </c>
      <c r="J619" t="s">
        <v>54</v>
      </c>
      <c r="K619" t="s">
        <v>19</v>
      </c>
      <c r="L619">
        <v>1658</v>
      </c>
      <c r="M619">
        <v>47</v>
      </c>
      <c r="N619" t="s">
        <v>1681</v>
      </c>
      <c r="O619" t="s">
        <v>1659</v>
      </c>
      <c r="P619">
        <v>0</v>
      </c>
      <c r="Q619" t="s">
        <v>1660</v>
      </c>
      <c r="R619" t="s">
        <v>1657</v>
      </c>
    </row>
    <row r="620" spans="1:18" x14ac:dyDescent="0.35">
      <c r="A620" t="s">
        <v>1146</v>
      </c>
      <c r="B620" s="19">
        <v>46123</v>
      </c>
      <c r="C620" t="s">
        <v>1147</v>
      </c>
      <c r="D620" t="s">
        <v>226</v>
      </c>
      <c r="E620" t="s">
        <v>202</v>
      </c>
      <c r="F620" t="s">
        <v>28</v>
      </c>
      <c r="G620">
        <v>0.82638888888888884</v>
      </c>
      <c r="H620">
        <v>0.83125000000000004</v>
      </c>
      <c r="I620">
        <v>8</v>
      </c>
      <c r="J620" t="s">
        <v>18</v>
      </c>
      <c r="K620" t="s">
        <v>19</v>
      </c>
      <c r="L620">
        <v>1708</v>
      </c>
      <c r="M620">
        <v>7</v>
      </c>
      <c r="N620" t="s">
        <v>1677</v>
      </c>
      <c r="O620" t="s">
        <v>1667</v>
      </c>
      <c r="P620">
        <v>1</v>
      </c>
      <c r="Q620" t="s">
        <v>1665</v>
      </c>
    </row>
    <row r="621" spans="1:18" x14ac:dyDescent="0.35">
      <c r="A621" t="s">
        <v>1148</v>
      </c>
      <c r="B621" s="19">
        <v>46124</v>
      </c>
      <c r="C621" t="s">
        <v>692</v>
      </c>
      <c r="D621" t="s">
        <v>71</v>
      </c>
      <c r="E621" t="s">
        <v>79</v>
      </c>
      <c r="F621" t="s">
        <v>24</v>
      </c>
      <c r="G621">
        <v>0.72916666666666663</v>
      </c>
      <c r="H621">
        <v>0.73333333333333328</v>
      </c>
      <c r="I621">
        <v>13</v>
      </c>
      <c r="J621" t="s">
        <v>18</v>
      </c>
      <c r="K621" t="s">
        <v>19</v>
      </c>
      <c r="L621">
        <v>606</v>
      </c>
      <c r="M621">
        <v>6</v>
      </c>
      <c r="N621" t="s">
        <v>1677</v>
      </c>
      <c r="O621" t="s">
        <v>1668</v>
      </c>
      <c r="P621">
        <v>1</v>
      </c>
      <c r="Q621" t="s">
        <v>1665</v>
      </c>
    </row>
    <row r="622" spans="1:18" x14ac:dyDescent="0.35">
      <c r="A622" t="s">
        <v>1636</v>
      </c>
      <c r="B622" s="19">
        <v>46258</v>
      </c>
      <c r="C622" t="s">
        <v>122</v>
      </c>
      <c r="D622" t="s">
        <v>413</v>
      </c>
      <c r="E622" t="s">
        <v>226</v>
      </c>
      <c r="F622" t="s">
        <v>24</v>
      </c>
      <c r="G622">
        <v>0.25694444444444442</v>
      </c>
      <c r="H622">
        <v>0.25138888888888888</v>
      </c>
      <c r="I622">
        <v>-9</v>
      </c>
      <c r="J622" t="s">
        <v>18</v>
      </c>
      <c r="K622" t="s">
        <v>19</v>
      </c>
      <c r="L622">
        <v>861</v>
      </c>
      <c r="M622">
        <v>-8</v>
      </c>
      <c r="N622" t="s">
        <v>1681</v>
      </c>
      <c r="O622" t="s">
        <v>1659</v>
      </c>
      <c r="P622">
        <v>1</v>
      </c>
      <c r="Q622" t="s">
        <v>1660</v>
      </c>
    </row>
    <row r="623" spans="1:18" x14ac:dyDescent="0.35">
      <c r="A623" t="s">
        <v>1151</v>
      </c>
      <c r="B623" s="19">
        <v>46125</v>
      </c>
      <c r="C623" t="s">
        <v>1152</v>
      </c>
      <c r="D623" t="s">
        <v>226</v>
      </c>
      <c r="E623" t="s">
        <v>413</v>
      </c>
      <c r="F623" t="s">
        <v>17</v>
      </c>
      <c r="G623">
        <v>0.4236111111111111</v>
      </c>
      <c r="H623">
        <v>0.42152777777777778</v>
      </c>
      <c r="I623">
        <v>0</v>
      </c>
      <c r="J623" t="s">
        <v>18</v>
      </c>
      <c r="K623" t="s">
        <v>19</v>
      </c>
      <c r="L623">
        <v>861</v>
      </c>
      <c r="M623">
        <v>-3</v>
      </c>
      <c r="N623" t="s">
        <v>1677</v>
      </c>
      <c r="O623" t="s">
        <v>1659</v>
      </c>
      <c r="P623">
        <v>1</v>
      </c>
      <c r="Q623" t="s">
        <v>1660</v>
      </c>
    </row>
    <row r="624" spans="1:18" x14ac:dyDescent="0.35">
      <c r="A624" t="s">
        <v>1153</v>
      </c>
      <c r="B624" s="19">
        <v>46125</v>
      </c>
      <c r="C624" t="s">
        <v>694</v>
      </c>
      <c r="D624" t="s">
        <v>79</v>
      </c>
      <c r="E624" t="s">
        <v>588</v>
      </c>
      <c r="F624" t="s">
        <v>38</v>
      </c>
      <c r="G624">
        <v>0.87847222222222221</v>
      </c>
      <c r="H624">
        <v>0.90555555555555556</v>
      </c>
      <c r="I624">
        <v>33</v>
      </c>
      <c r="J624" t="s">
        <v>54</v>
      </c>
      <c r="K624" t="s">
        <v>19</v>
      </c>
      <c r="L624">
        <v>730</v>
      </c>
      <c r="M624">
        <v>39</v>
      </c>
      <c r="N624" t="s">
        <v>1677</v>
      </c>
      <c r="O624" t="s">
        <v>1659</v>
      </c>
      <c r="P624">
        <v>0</v>
      </c>
      <c r="Q624" t="s">
        <v>1669</v>
      </c>
      <c r="R624" t="s">
        <v>1657</v>
      </c>
    </row>
    <row r="625" spans="1:18" x14ac:dyDescent="0.35">
      <c r="A625" t="s">
        <v>1154</v>
      </c>
      <c r="B625" s="19">
        <v>46125</v>
      </c>
      <c r="C625" t="s">
        <v>971</v>
      </c>
      <c r="D625" t="s">
        <v>71</v>
      </c>
      <c r="E625" t="s">
        <v>202</v>
      </c>
      <c r="F625" t="s">
        <v>28</v>
      </c>
      <c r="G625">
        <v>0.87847222222222221</v>
      </c>
      <c r="H625">
        <v>0.87777777777777777</v>
      </c>
      <c r="I625">
        <v>-5</v>
      </c>
      <c r="J625" t="s">
        <v>18</v>
      </c>
      <c r="K625" t="s">
        <v>19</v>
      </c>
      <c r="L625">
        <v>1199</v>
      </c>
      <c r="M625">
        <v>-1</v>
      </c>
      <c r="N625" t="s">
        <v>1677</v>
      </c>
      <c r="O625" t="s">
        <v>1659</v>
      </c>
      <c r="P625">
        <v>1</v>
      </c>
      <c r="Q625" t="s">
        <v>1669</v>
      </c>
    </row>
    <row r="626" spans="1:18" x14ac:dyDescent="0.35">
      <c r="A626" t="s">
        <v>1155</v>
      </c>
      <c r="B626" s="19">
        <v>46126</v>
      </c>
      <c r="C626" t="s">
        <v>118</v>
      </c>
      <c r="D626" t="s">
        <v>1549</v>
      </c>
      <c r="E626" t="s">
        <v>413</v>
      </c>
      <c r="F626" t="s">
        <v>28</v>
      </c>
      <c r="G626">
        <v>0.625</v>
      </c>
      <c r="H626">
        <v>0.63263888888888886</v>
      </c>
      <c r="I626">
        <v>8</v>
      </c>
      <c r="J626" t="s">
        <v>18</v>
      </c>
      <c r="K626" t="s">
        <v>19</v>
      </c>
      <c r="L626">
        <v>2606</v>
      </c>
      <c r="M626">
        <v>11</v>
      </c>
      <c r="N626" t="s">
        <v>1677</v>
      </c>
      <c r="O626" t="s">
        <v>1661</v>
      </c>
      <c r="P626">
        <v>1</v>
      </c>
      <c r="Q626" t="s">
        <v>1663</v>
      </c>
    </row>
    <row r="627" spans="1:18" x14ac:dyDescent="0.35">
      <c r="A627" t="s">
        <v>1156</v>
      </c>
      <c r="B627" s="19">
        <v>46126</v>
      </c>
      <c r="C627" t="s">
        <v>1157</v>
      </c>
      <c r="D627" t="s">
        <v>226</v>
      </c>
      <c r="E627" t="s">
        <v>546</v>
      </c>
      <c r="F627" t="s">
        <v>38</v>
      </c>
      <c r="G627">
        <v>0.75</v>
      </c>
      <c r="H627">
        <v>0.81736111111111109</v>
      </c>
      <c r="I627">
        <v>105</v>
      </c>
      <c r="J627" t="s">
        <v>54</v>
      </c>
      <c r="K627" t="s">
        <v>19</v>
      </c>
      <c r="L627">
        <v>627</v>
      </c>
      <c r="M627">
        <v>97</v>
      </c>
      <c r="N627" t="s">
        <v>1677</v>
      </c>
      <c r="O627" t="s">
        <v>1661</v>
      </c>
      <c r="P627">
        <v>0</v>
      </c>
      <c r="Q627" t="s">
        <v>1665</v>
      </c>
      <c r="R627" t="s">
        <v>1657</v>
      </c>
    </row>
    <row r="628" spans="1:18" x14ac:dyDescent="0.35">
      <c r="A628" t="s">
        <v>1158</v>
      </c>
      <c r="B628" s="19">
        <v>46126</v>
      </c>
      <c r="C628" t="s">
        <v>603</v>
      </c>
      <c r="D628" t="s">
        <v>79</v>
      </c>
      <c r="E628" t="s">
        <v>226</v>
      </c>
      <c r="F628" t="s">
        <v>17</v>
      </c>
      <c r="G628">
        <v>0.83333333333333337</v>
      </c>
      <c r="H628">
        <v>0.82777777777777772</v>
      </c>
      <c r="I628">
        <v>-2</v>
      </c>
      <c r="J628" t="s">
        <v>18</v>
      </c>
      <c r="K628" t="s">
        <v>19</v>
      </c>
      <c r="L628">
        <v>1197</v>
      </c>
      <c r="M628">
        <v>-8</v>
      </c>
      <c r="N628" t="s">
        <v>1677</v>
      </c>
      <c r="O628" t="s">
        <v>1661</v>
      </c>
      <c r="P628">
        <v>1</v>
      </c>
      <c r="Q628" t="s">
        <v>1665</v>
      </c>
    </row>
    <row r="629" spans="1:18" x14ac:dyDescent="0.35">
      <c r="A629" t="s">
        <v>1159</v>
      </c>
      <c r="B629" s="19">
        <v>46127</v>
      </c>
      <c r="C629" t="s">
        <v>754</v>
      </c>
      <c r="D629" t="s">
        <v>202</v>
      </c>
      <c r="E629" t="s">
        <v>71</v>
      </c>
      <c r="F629" t="s">
        <v>17</v>
      </c>
      <c r="G629">
        <v>0.3611111111111111</v>
      </c>
      <c r="H629">
        <v>0.36319444444444438</v>
      </c>
      <c r="I629">
        <v>11</v>
      </c>
      <c r="J629" t="s">
        <v>18</v>
      </c>
      <c r="K629" t="s">
        <v>19</v>
      </c>
      <c r="L629">
        <v>1199</v>
      </c>
      <c r="M629">
        <v>3</v>
      </c>
      <c r="N629" t="s">
        <v>1677</v>
      </c>
      <c r="O629" t="s">
        <v>1662</v>
      </c>
      <c r="P629">
        <v>1</v>
      </c>
      <c r="Q629" t="s">
        <v>1660</v>
      </c>
    </row>
    <row r="630" spans="1:18" x14ac:dyDescent="0.35">
      <c r="A630" t="s">
        <v>1160</v>
      </c>
      <c r="B630" s="19">
        <v>46127</v>
      </c>
      <c r="C630" t="s">
        <v>1161</v>
      </c>
      <c r="D630" t="s">
        <v>588</v>
      </c>
      <c r="E630" t="s">
        <v>79</v>
      </c>
      <c r="F630" t="s">
        <v>17</v>
      </c>
      <c r="G630">
        <v>0.46180555555555558</v>
      </c>
      <c r="H630">
        <v>0.45694444444444438</v>
      </c>
      <c r="I630">
        <v>-11</v>
      </c>
      <c r="J630" t="s">
        <v>18</v>
      </c>
      <c r="K630" t="s">
        <v>19</v>
      </c>
      <c r="L630">
        <v>730</v>
      </c>
      <c r="M630">
        <v>-7</v>
      </c>
      <c r="N630" t="s">
        <v>1677</v>
      </c>
      <c r="O630" t="s">
        <v>1662</v>
      </c>
      <c r="P630">
        <v>1</v>
      </c>
      <c r="Q630" t="s">
        <v>1660</v>
      </c>
    </row>
    <row r="631" spans="1:18" x14ac:dyDescent="0.35">
      <c r="A631" t="s">
        <v>1162</v>
      </c>
      <c r="B631" s="19">
        <v>46127</v>
      </c>
      <c r="C631" t="s">
        <v>454</v>
      </c>
      <c r="D631" t="s">
        <v>226</v>
      </c>
      <c r="E631" t="s">
        <v>202</v>
      </c>
      <c r="F631" t="s">
        <v>24</v>
      </c>
      <c r="G631">
        <v>0.47916666666666669</v>
      </c>
      <c r="H631">
        <v>0.47986111111111113</v>
      </c>
      <c r="I631">
        <v>3</v>
      </c>
      <c r="J631" t="s">
        <v>18</v>
      </c>
      <c r="K631" t="s">
        <v>19</v>
      </c>
      <c r="L631">
        <v>1708</v>
      </c>
      <c r="M631">
        <v>1</v>
      </c>
      <c r="N631" t="s">
        <v>1677</v>
      </c>
      <c r="O631" t="s">
        <v>1662</v>
      </c>
      <c r="P631">
        <v>1</v>
      </c>
      <c r="Q631" t="s">
        <v>1660</v>
      </c>
    </row>
    <row r="632" spans="1:18" x14ac:dyDescent="0.35">
      <c r="A632" t="s">
        <v>1163</v>
      </c>
      <c r="B632" s="19">
        <v>46127</v>
      </c>
      <c r="C632" t="s">
        <v>649</v>
      </c>
      <c r="D632" t="s">
        <v>413</v>
      </c>
      <c r="E632" t="s">
        <v>226</v>
      </c>
      <c r="F632" t="s">
        <v>17</v>
      </c>
      <c r="G632">
        <v>0.69444444444444442</v>
      </c>
      <c r="H632">
        <v>0.70277777777777772</v>
      </c>
      <c r="I632">
        <v>1</v>
      </c>
      <c r="J632" t="s">
        <v>18</v>
      </c>
      <c r="K632" t="s">
        <v>19</v>
      </c>
      <c r="L632">
        <v>861</v>
      </c>
      <c r="M632">
        <v>12</v>
      </c>
      <c r="N632" t="s">
        <v>1677</v>
      </c>
      <c r="O632" t="s">
        <v>1662</v>
      </c>
      <c r="P632">
        <v>1</v>
      </c>
      <c r="Q632" t="s">
        <v>1663</v>
      </c>
    </row>
    <row r="633" spans="1:18" x14ac:dyDescent="0.35">
      <c r="A633" t="s">
        <v>1164</v>
      </c>
      <c r="B633" s="19">
        <v>46127</v>
      </c>
      <c r="C633" t="s">
        <v>677</v>
      </c>
      <c r="D633" t="s">
        <v>1171</v>
      </c>
      <c r="E633" t="s">
        <v>84</v>
      </c>
      <c r="F633" t="s">
        <v>17</v>
      </c>
      <c r="G633">
        <v>0.72916666666666663</v>
      </c>
      <c r="H633">
        <v>0.74097222222222225</v>
      </c>
      <c r="I633">
        <v>13</v>
      </c>
      <c r="J633" t="s">
        <v>54</v>
      </c>
      <c r="K633" t="s">
        <v>19</v>
      </c>
      <c r="L633">
        <v>1108</v>
      </c>
      <c r="M633">
        <v>17</v>
      </c>
      <c r="N633" t="s">
        <v>1677</v>
      </c>
      <c r="O633" t="s">
        <v>1662</v>
      </c>
      <c r="P633">
        <v>1</v>
      </c>
      <c r="Q633" t="s">
        <v>1665</v>
      </c>
      <c r="R633" t="s">
        <v>1657</v>
      </c>
    </row>
    <row r="634" spans="1:18" x14ac:dyDescent="0.35">
      <c r="A634" t="s">
        <v>1165</v>
      </c>
      <c r="B634" s="19">
        <v>46128</v>
      </c>
      <c r="C634" t="s">
        <v>752</v>
      </c>
      <c r="D634" t="s">
        <v>197</v>
      </c>
      <c r="E634" t="s">
        <v>1549</v>
      </c>
      <c r="F634" t="s">
        <v>17</v>
      </c>
      <c r="G634">
        <v>0.33333333333333331</v>
      </c>
      <c r="H634">
        <v>0.32916666666666672</v>
      </c>
      <c r="I634">
        <v>-16</v>
      </c>
      <c r="J634" t="s">
        <v>18</v>
      </c>
      <c r="K634" t="s">
        <v>19</v>
      </c>
      <c r="L634">
        <v>186</v>
      </c>
      <c r="M634">
        <v>-6</v>
      </c>
      <c r="N634" t="s">
        <v>1677</v>
      </c>
      <c r="O634" t="s">
        <v>1664</v>
      </c>
      <c r="P634">
        <v>1</v>
      </c>
      <c r="Q634" t="s">
        <v>1660</v>
      </c>
    </row>
    <row r="635" spans="1:18" x14ac:dyDescent="0.35">
      <c r="A635" t="s">
        <v>1635</v>
      </c>
      <c r="B635" s="19">
        <v>46257</v>
      </c>
      <c r="C635" t="s">
        <v>1075</v>
      </c>
      <c r="D635" t="s">
        <v>226</v>
      </c>
      <c r="E635" t="s">
        <v>202</v>
      </c>
      <c r="F635" t="s">
        <v>17</v>
      </c>
      <c r="G635">
        <v>0.94791666666666663</v>
      </c>
      <c r="H635">
        <v>0.95347222222222228</v>
      </c>
      <c r="I635">
        <v>16</v>
      </c>
      <c r="J635" t="s">
        <v>18</v>
      </c>
      <c r="K635" t="s">
        <v>19</v>
      </c>
      <c r="L635">
        <v>1708</v>
      </c>
      <c r="M635">
        <v>8</v>
      </c>
      <c r="N635" t="s">
        <v>1681</v>
      </c>
      <c r="O635" t="s">
        <v>1668</v>
      </c>
      <c r="P635">
        <v>0</v>
      </c>
      <c r="Q635" t="s">
        <v>1669</v>
      </c>
    </row>
    <row r="636" spans="1:18" x14ac:dyDescent="0.35">
      <c r="A636" t="s">
        <v>1168</v>
      </c>
      <c r="B636" s="19">
        <v>46129</v>
      </c>
      <c r="C636" t="s">
        <v>919</v>
      </c>
      <c r="D636" t="s">
        <v>413</v>
      </c>
      <c r="E636" t="s">
        <v>197</v>
      </c>
      <c r="F636" t="s">
        <v>24</v>
      </c>
      <c r="G636">
        <v>0.32291666666666669</v>
      </c>
      <c r="H636">
        <v>0.31805555555555548</v>
      </c>
      <c r="I636">
        <v>-12</v>
      </c>
      <c r="J636" t="s">
        <v>18</v>
      </c>
      <c r="K636" t="s">
        <v>19</v>
      </c>
      <c r="L636">
        <v>2470</v>
      </c>
      <c r="M636">
        <v>-7</v>
      </c>
      <c r="N636" t="s">
        <v>1677</v>
      </c>
      <c r="O636" t="s">
        <v>1666</v>
      </c>
      <c r="P636">
        <v>1</v>
      </c>
      <c r="Q636" t="s">
        <v>1660</v>
      </c>
    </row>
    <row r="637" spans="1:18" x14ac:dyDescent="0.35">
      <c r="A637" t="s">
        <v>1169</v>
      </c>
      <c r="B637" s="19">
        <v>46129</v>
      </c>
      <c r="C637" t="s">
        <v>378</v>
      </c>
      <c r="D637" t="s">
        <v>202</v>
      </c>
      <c r="E637" t="s">
        <v>413</v>
      </c>
      <c r="F637" t="s">
        <v>28</v>
      </c>
      <c r="G637">
        <v>0.67361111111111116</v>
      </c>
      <c r="H637">
        <v>0.67291666666666672</v>
      </c>
      <c r="I637">
        <v>-7</v>
      </c>
      <c r="J637" t="s">
        <v>18</v>
      </c>
      <c r="K637" t="s">
        <v>19</v>
      </c>
      <c r="L637">
        <v>2338</v>
      </c>
      <c r="M637">
        <v>-1</v>
      </c>
      <c r="N637" t="s">
        <v>1677</v>
      </c>
      <c r="O637" t="s">
        <v>1666</v>
      </c>
      <c r="P637">
        <v>1</v>
      </c>
      <c r="Q637" t="s">
        <v>1663</v>
      </c>
    </row>
    <row r="638" spans="1:18" x14ac:dyDescent="0.35">
      <c r="A638" t="s">
        <v>1170</v>
      </c>
      <c r="B638" s="19">
        <v>46129</v>
      </c>
      <c r="C638" t="s">
        <v>322</v>
      </c>
      <c r="D638" t="s">
        <v>1171</v>
      </c>
      <c r="E638" t="s">
        <v>226</v>
      </c>
      <c r="F638" t="s">
        <v>28</v>
      </c>
      <c r="G638">
        <v>0.71180555555555558</v>
      </c>
      <c r="H638">
        <v>0.71111111111111114</v>
      </c>
      <c r="I638">
        <v>-6</v>
      </c>
      <c r="J638" t="s">
        <v>18</v>
      </c>
      <c r="K638" t="s">
        <v>19</v>
      </c>
      <c r="L638">
        <v>602</v>
      </c>
      <c r="M638">
        <v>-1</v>
      </c>
      <c r="N638" t="s">
        <v>1677</v>
      </c>
      <c r="O638" t="s">
        <v>1666</v>
      </c>
      <c r="P638">
        <v>1</v>
      </c>
      <c r="Q638" t="s">
        <v>1665</v>
      </c>
    </row>
    <row r="639" spans="1:18" x14ac:dyDescent="0.35">
      <c r="A639" t="s">
        <v>1172</v>
      </c>
      <c r="B639" s="19">
        <v>46130</v>
      </c>
      <c r="C639" t="s">
        <v>1173</v>
      </c>
      <c r="D639" t="s">
        <v>413</v>
      </c>
      <c r="E639" t="s">
        <v>197</v>
      </c>
      <c r="F639" t="s">
        <v>17</v>
      </c>
      <c r="G639">
        <v>0.51041666666666663</v>
      </c>
      <c r="H639">
        <v>0.50972222222222219</v>
      </c>
      <c r="I639">
        <v>9</v>
      </c>
      <c r="J639" t="s">
        <v>18</v>
      </c>
      <c r="K639" t="s">
        <v>19</v>
      </c>
      <c r="L639">
        <v>2470</v>
      </c>
      <c r="M639">
        <v>-1</v>
      </c>
      <c r="N639" t="s">
        <v>1677</v>
      </c>
      <c r="O639" t="s">
        <v>1667</v>
      </c>
      <c r="P639">
        <v>1</v>
      </c>
      <c r="Q639" t="s">
        <v>1663</v>
      </c>
    </row>
    <row r="640" spans="1:18" x14ac:dyDescent="0.35">
      <c r="A640" t="s">
        <v>1174</v>
      </c>
      <c r="B640" s="19">
        <v>46130</v>
      </c>
      <c r="C640" t="s">
        <v>1175</v>
      </c>
      <c r="D640" t="s">
        <v>71</v>
      </c>
      <c r="E640" t="s">
        <v>413</v>
      </c>
      <c r="F640" t="s">
        <v>17</v>
      </c>
      <c r="G640">
        <v>0.63541666666666663</v>
      </c>
      <c r="H640">
        <v>0.7416666666666667</v>
      </c>
      <c r="I640">
        <v>148</v>
      </c>
      <c r="J640" t="s">
        <v>60</v>
      </c>
      <c r="K640" t="s">
        <v>19</v>
      </c>
      <c r="L640">
        <v>1742</v>
      </c>
      <c r="M640">
        <v>153</v>
      </c>
      <c r="N640" t="s">
        <v>1677</v>
      </c>
      <c r="O640" t="s">
        <v>1667</v>
      </c>
      <c r="P640">
        <v>0</v>
      </c>
      <c r="Q640" t="s">
        <v>1663</v>
      </c>
      <c r="R640" t="s">
        <v>1657</v>
      </c>
    </row>
    <row r="641" spans="1:18" x14ac:dyDescent="0.35">
      <c r="A641" t="s">
        <v>1176</v>
      </c>
      <c r="B641" s="19">
        <v>46130</v>
      </c>
      <c r="C641" t="s">
        <v>1075</v>
      </c>
      <c r="D641" t="s">
        <v>79</v>
      </c>
      <c r="E641" t="s">
        <v>1549</v>
      </c>
      <c r="F641" t="s">
        <v>28</v>
      </c>
      <c r="G641">
        <v>0.74652777777777779</v>
      </c>
      <c r="H641">
        <v>0.75208333333333333</v>
      </c>
      <c r="I641">
        <v>11</v>
      </c>
      <c r="J641" t="s">
        <v>18</v>
      </c>
      <c r="K641" t="s">
        <v>19</v>
      </c>
      <c r="L641">
        <v>945</v>
      </c>
      <c r="M641">
        <v>8</v>
      </c>
      <c r="N641" t="s">
        <v>1677</v>
      </c>
      <c r="O641" t="s">
        <v>1667</v>
      </c>
      <c r="P641">
        <v>1</v>
      </c>
      <c r="Q641" t="s">
        <v>1665</v>
      </c>
    </row>
    <row r="642" spans="1:18" x14ac:dyDescent="0.35">
      <c r="A642" t="s">
        <v>1177</v>
      </c>
      <c r="B642" s="19">
        <v>46131</v>
      </c>
      <c r="C642" t="s">
        <v>1178</v>
      </c>
      <c r="D642" t="s">
        <v>1171</v>
      </c>
      <c r="E642" t="s">
        <v>413</v>
      </c>
      <c r="F642" t="s">
        <v>38</v>
      </c>
      <c r="G642">
        <v>0.47916666666666669</v>
      </c>
      <c r="H642">
        <v>0.47361111111111109</v>
      </c>
      <c r="I642">
        <v>0</v>
      </c>
      <c r="J642" t="s">
        <v>18</v>
      </c>
      <c r="K642" t="s">
        <v>19</v>
      </c>
      <c r="L642">
        <v>370</v>
      </c>
      <c r="M642">
        <v>-8</v>
      </c>
      <c r="N642" t="s">
        <v>1677</v>
      </c>
      <c r="O642" t="s">
        <v>1668</v>
      </c>
      <c r="P642">
        <v>1</v>
      </c>
      <c r="Q642" t="s">
        <v>1660</v>
      </c>
    </row>
    <row r="643" spans="1:18" x14ac:dyDescent="0.35">
      <c r="A643" t="s">
        <v>1179</v>
      </c>
      <c r="B643" s="19">
        <v>46131</v>
      </c>
      <c r="C643" t="s">
        <v>446</v>
      </c>
      <c r="D643" t="s">
        <v>71</v>
      </c>
      <c r="E643" t="s">
        <v>79</v>
      </c>
      <c r="F643" t="s">
        <v>38</v>
      </c>
      <c r="G643">
        <v>0.50694444444444442</v>
      </c>
      <c r="H643">
        <v>0.51875000000000004</v>
      </c>
      <c r="I643">
        <v>2</v>
      </c>
      <c r="J643" t="s">
        <v>54</v>
      </c>
      <c r="K643" t="s">
        <v>19</v>
      </c>
      <c r="L643">
        <v>606</v>
      </c>
      <c r="M643">
        <v>17</v>
      </c>
      <c r="N643" t="s">
        <v>1677</v>
      </c>
      <c r="O643" t="s">
        <v>1668</v>
      </c>
      <c r="P643">
        <v>1</v>
      </c>
      <c r="Q643" t="s">
        <v>1663</v>
      </c>
      <c r="R643" t="s">
        <v>1657</v>
      </c>
    </row>
    <row r="644" spans="1:18" x14ac:dyDescent="0.35">
      <c r="A644" t="s">
        <v>1180</v>
      </c>
      <c r="B644" s="19">
        <v>46131</v>
      </c>
      <c r="C644" t="s">
        <v>756</v>
      </c>
      <c r="D644" t="s">
        <v>79</v>
      </c>
      <c r="E644" t="s">
        <v>1549</v>
      </c>
      <c r="F644" t="s">
        <v>24</v>
      </c>
      <c r="G644">
        <v>0.68402777777777779</v>
      </c>
      <c r="H644">
        <v>0.68402777777777779</v>
      </c>
      <c r="I644">
        <v>-12</v>
      </c>
      <c r="J644" t="s">
        <v>18</v>
      </c>
      <c r="K644" t="s">
        <v>19</v>
      </c>
      <c r="L644">
        <v>945</v>
      </c>
      <c r="M644">
        <v>0</v>
      </c>
      <c r="N644" t="s">
        <v>1677</v>
      </c>
      <c r="O644" t="s">
        <v>1668</v>
      </c>
      <c r="P644">
        <v>1</v>
      </c>
      <c r="Q644" t="s">
        <v>1663</v>
      </c>
    </row>
    <row r="645" spans="1:18" x14ac:dyDescent="0.35">
      <c r="A645" t="s">
        <v>1181</v>
      </c>
      <c r="B645" s="19">
        <v>46131</v>
      </c>
      <c r="C645" t="s">
        <v>596</v>
      </c>
      <c r="D645" t="s">
        <v>79</v>
      </c>
      <c r="E645" t="s">
        <v>1295</v>
      </c>
      <c r="F645" t="s">
        <v>24</v>
      </c>
      <c r="G645">
        <v>0.72916666666666663</v>
      </c>
      <c r="H645">
        <v>0.72361111111111109</v>
      </c>
      <c r="I645">
        <v>-1</v>
      </c>
      <c r="J645" t="s">
        <v>18</v>
      </c>
      <c r="K645" t="s">
        <v>19</v>
      </c>
      <c r="L645">
        <v>2134</v>
      </c>
      <c r="M645">
        <v>-8</v>
      </c>
      <c r="N645" t="s">
        <v>1677</v>
      </c>
      <c r="O645" t="s">
        <v>1668</v>
      </c>
      <c r="P645">
        <v>1</v>
      </c>
      <c r="Q645" t="s">
        <v>1665</v>
      </c>
    </row>
    <row r="646" spans="1:18" x14ac:dyDescent="0.35">
      <c r="A646" t="s">
        <v>1182</v>
      </c>
      <c r="B646" s="19">
        <v>46132</v>
      </c>
      <c r="C646" t="s">
        <v>1183</v>
      </c>
      <c r="D646" t="s">
        <v>71</v>
      </c>
      <c r="E646" t="s">
        <v>197</v>
      </c>
      <c r="F646" t="s">
        <v>24</v>
      </c>
      <c r="G646">
        <v>0.22569444444444439</v>
      </c>
      <c r="H646">
        <v>0.22638888888888889</v>
      </c>
      <c r="I646">
        <v>0</v>
      </c>
      <c r="J646" t="s">
        <v>18</v>
      </c>
      <c r="K646" t="s">
        <v>19</v>
      </c>
      <c r="L646">
        <v>738</v>
      </c>
      <c r="M646">
        <v>1</v>
      </c>
      <c r="N646" t="s">
        <v>1677</v>
      </c>
      <c r="O646" t="s">
        <v>1659</v>
      </c>
      <c r="P646">
        <v>1</v>
      </c>
      <c r="Q646" t="s">
        <v>1660</v>
      </c>
    </row>
    <row r="647" spans="1:18" x14ac:dyDescent="0.35">
      <c r="A647" t="s">
        <v>1184</v>
      </c>
      <c r="B647" s="19">
        <v>46132</v>
      </c>
      <c r="C647" t="s">
        <v>1185</v>
      </c>
      <c r="D647" t="s">
        <v>1171</v>
      </c>
      <c r="E647" t="s">
        <v>413</v>
      </c>
      <c r="F647" t="s">
        <v>17</v>
      </c>
      <c r="G647">
        <v>0.37847222222222221</v>
      </c>
      <c r="H647">
        <v>0.37638888888888888</v>
      </c>
      <c r="I647">
        <v>2</v>
      </c>
      <c r="J647" t="s">
        <v>18</v>
      </c>
      <c r="K647" t="s">
        <v>19</v>
      </c>
      <c r="L647">
        <v>370</v>
      </c>
      <c r="M647">
        <v>-3</v>
      </c>
      <c r="N647" t="s">
        <v>1677</v>
      </c>
      <c r="O647" t="s">
        <v>1659</v>
      </c>
      <c r="P647">
        <v>1</v>
      </c>
      <c r="Q647" t="s">
        <v>1660</v>
      </c>
    </row>
    <row r="648" spans="1:18" x14ac:dyDescent="0.35">
      <c r="A648" t="s">
        <v>1186</v>
      </c>
      <c r="B648" s="19">
        <v>46132</v>
      </c>
      <c r="C648" t="s">
        <v>1115</v>
      </c>
      <c r="D648" t="s">
        <v>226</v>
      </c>
      <c r="E648" t="s">
        <v>71</v>
      </c>
      <c r="F648" t="s">
        <v>28</v>
      </c>
      <c r="G648">
        <v>0.63888888888888884</v>
      </c>
      <c r="H648">
        <v>0.64236111111111116</v>
      </c>
      <c r="I648">
        <v>3</v>
      </c>
      <c r="J648" t="s">
        <v>18</v>
      </c>
      <c r="K648" t="s">
        <v>19</v>
      </c>
      <c r="L648">
        <v>886</v>
      </c>
      <c r="M648">
        <v>5</v>
      </c>
      <c r="N648" t="s">
        <v>1677</v>
      </c>
      <c r="O648" t="s">
        <v>1659</v>
      </c>
      <c r="P648">
        <v>1</v>
      </c>
      <c r="Q648" t="s">
        <v>1663</v>
      </c>
    </row>
    <row r="649" spans="1:18" x14ac:dyDescent="0.35">
      <c r="A649" t="s">
        <v>1187</v>
      </c>
      <c r="B649" s="19">
        <v>46132</v>
      </c>
      <c r="C649" t="s">
        <v>1188</v>
      </c>
      <c r="D649" t="s">
        <v>71</v>
      </c>
      <c r="E649" t="s">
        <v>413</v>
      </c>
      <c r="F649" t="s">
        <v>28</v>
      </c>
      <c r="G649">
        <v>0.71180555555555558</v>
      </c>
      <c r="I649">
        <v>-3</v>
      </c>
      <c r="J649" t="s">
        <v>18</v>
      </c>
      <c r="K649" t="s">
        <v>19</v>
      </c>
      <c r="L649">
        <v>1742</v>
      </c>
      <c r="M649">
        <v>2</v>
      </c>
      <c r="N649" t="s">
        <v>1677</v>
      </c>
      <c r="O649" t="s">
        <v>1659</v>
      </c>
      <c r="P649">
        <v>1</v>
      </c>
      <c r="Q649" t="s">
        <v>1665</v>
      </c>
    </row>
    <row r="650" spans="1:18" x14ac:dyDescent="0.35">
      <c r="A650" t="s">
        <v>1189</v>
      </c>
      <c r="B650" s="19">
        <v>46133</v>
      </c>
      <c r="C650" t="s">
        <v>278</v>
      </c>
      <c r="D650" t="s">
        <v>79</v>
      </c>
      <c r="E650" t="s">
        <v>71</v>
      </c>
      <c r="F650" t="s">
        <v>17</v>
      </c>
      <c r="G650">
        <v>0.60416666666666663</v>
      </c>
      <c r="H650">
        <v>0.6166666666666667</v>
      </c>
      <c r="I650">
        <v>7</v>
      </c>
      <c r="J650" t="s">
        <v>54</v>
      </c>
      <c r="K650" t="s">
        <v>19</v>
      </c>
      <c r="L650">
        <v>606</v>
      </c>
      <c r="M650">
        <v>18</v>
      </c>
      <c r="N650" t="s">
        <v>1677</v>
      </c>
      <c r="O650" t="s">
        <v>1661</v>
      </c>
      <c r="P650">
        <v>1</v>
      </c>
      <c r="Q650" t="s">
        <v>1663</v>
      </c>
      <c r="R650" t="s">
        <v>1657</v>
      </c>
    </row>
    <row r="651" spans="1:18" x14ac:dyDescent="0.35">
      <c r="A651" t="s">
        <v>1634</v>
      </c>
      <c r="B651" s="19">
        <v>46257</v>
      </c>
      <c r="C651" t="s">
        <v>1210</v>
      </c>
      <c r="D651" t="s">
        <v>79</v>
      </c>
      <c r="E651" t="s">
        <v>546</v>
      </c>
      <c r="F651" t="s">
        <v>17</v>
      </c>
      <c r="G651">
        <v>0.37847222222222221</v>
      </c>
      <c r="H651">
        <v>0.37708333333333333</v>
      </c>
      <c r="I651">
        <v>-8</v>
      </c>
      <c r="J651" t="s">
        <v>18</v>
      </c>
      <c r="K651" t="s">
        <v>19</v>
      </c>
      <c r="L651">
        <v>1743</v>
      </c>
      <c r="M651">
        <v>-2</v>
      </c>
      <c r="N651" t="s">
        <v>1681</v>
      </c>
      <c r="O651" t="s">
        <v>1668</v>
      </c>
      <c r="P651">
        <v>1</v>
      </c>
      <c r="Q651" t="s">
        <v>1660</v>
      </c>
    </row>
    <row r="652" spans="1:18" x14ac:dyDescent="0.35">
      <c r="A652" t="s">
        <v>1191</v>
      </c>
      <c r="B652" s="19">
        <v>46133</v>
      </c>
      <c r="C652" t="s">
        <v>294</v>
      </c>
      <c r="D652" t="s">
        <v>84</v>
      </c>
      <c r="E652" t="s">
        <v>1549</v>
      </c>
      <c r="F652" t="s">
        <v>17</v>
      </c>
      <c r="G652">
        <v>0.86458333333333337</v>
      </c>
      <c r="H652">
        <v>0.85972222222222228</v>
      </c>
      <c r="I652">
        <v>-12</v>
      </c>
      <c r="J652" t="s">
        <v>18</v>
      </c>
      <c r="K652" t="s">
        <v>19</v>
      </c>
      <c r="L652">
        <v>2489</v>
      </c>
      <c r="M652">
        <v>-7</v>
      </c>
      <c r="N652" t="s">
        <v>1677</v>
      </c>
      <c r="O652" t="s">
        <v>1661</v>
      </c>
      <c r="P652">
        <v>1</v>
      </c>
      <c r="Q652" t="s">
        <v>1665</v>
      </c>
    </row>
    <row r="653" spans="1:18" x14ac:dyDescent="0.35">
      <c r="A653" t="s">
        <v>1192</v>
      </c>
      <c r="B653" s="19">
        <v>46134</v>
      </c>
      <c r="C653" t="s">
        <v>1193</v>
      </c>
      <c r="D653" t="s">
        <v>79</v>
      </c>
      <c r="E653" t="s">
        <v>202</v>
      </c>
      <c r="F653" t="s">
        <v>17</v>
      </c>
      <c r="G653">
        <v>0.31944444444444442</v>
      </c>
      <c r="H653">
        <v>0.32291666666666669</v>
      </c>
      <c r="I653">
        <v>-1</v>
      </c>
      <c r="J653" t="s">
        <v>18</v>
      </c>
      <c r="K653" t="s">
        <v>19</v>
      </c>
      <c r="L653">
        <v>596</v>
      </c>
      <c r="M653">
        <v>5</v>
      </c>
      <c r="N653" t="s">
        <v>1677</v>
      </c>
      <c r="O653" t="s">
        <v>1662</v>
      </c>
      <c r="P653">
        <v>1</v>
      </c>
      <c r="Q653" t="s">
        <v>1660</v>
      </c>
    </row>
    <row r="654" spans="1:18" x14ac:dyDescent="0.35">
      <c r="A654" t="s">
        <v>1194</v>
      </c>
      <c r="B654" s="19">
        <v>46134</v>
      </c>
      <c r="C654" t="s">
        <v>1195</v>
      </c>
      <c r="D654" t="s">
        <v>413</v>
      </c>
      <c r="E654" t="s">
        <v>71</v>
      </c>
      <c r="F654" t="s">
        <v>24</v>
      </c>
      <c r="G654">
        <v>0.53125</v>
      </c>
      <c r="H654">
        <v>0.53333333333333333</v>
      </c>
      <c r="I654">
        <v>13</v>
      </c>
      <c r="J654" t="s">
        <v>18</v>
      </c>
      <c r="K654" t="s">
        <v>19</v>
      </c>
      <c r="L654">
        <v>1742</v>
      </c>
      <c r="M654">
        <v>3</v>
      </c>
      <c r="N654" t="s">
        <v>1677</v>
      </c>
      <c r="O654" t="s">
        <v>1662</v>
      </c>
      <c r="P654">
        <v>1</v>
      </c>
      <c r="Q654" t="s">
        <v>1663</v>
      </c>
    </row>
    <row r="655" spans="1:18" x14ac:dyDescent="0.35">
      <c r="A655" t="s">
        <v>1196</v>
      </c>
      <c r="B655" s="19">
        <v>46134</v>
      </c>
      <c r="C655" t="s">
        <v>171</v>
      </c>
      <c r="D655" t="s">
        <v>546</v>
      </c>
      <c r="E655" t="s">
        <v>79</v>
      </c>
      <c r="F655" t="s">
        <v>17</v>
      </c>
      <c r="G655">
        <v>0.59027777777777779</v>
      </c>
      <c r="H655">
        <v>0.59652777777777777</v>
      </c>
      <c r="I655">
        <v>6</v>
      </c>
      <c r="J655" t="s">
        <v>18</v>
      </c>
      <c r="K655" t="s">
        <v>19</v>
      </c>
      <c r="L655">
        <v>1743</v>
      </c>
      <c r="M655">
        <v>9</v>
      </c>
      <c r="N655" t="s">
        <v>1677</v>
      </c>
      <c r="O655" t="s">
        <v>1662</v>
      </c>
      <c r="P655">
        <v>1</v>
      </c>
      <c r="Q655" t="s">
        <v>1663</v>
      </c>
    </row>
    <row r="656" spans="1:18" x14ac:dyDescent="0.35">
      <c r="A656" t="s">
        <v>1197</v>
      </c>
      <c r="B656" s="19">
        <v>46135</v>
      </c>
      <c r="C656" t="s">
        <v>819</v>
      </c>
      <c r="D656" t="s">
        <v>202</v>
      </c>
      <c r="E656" t="s">
        <v>84</v>
      </c>
      <c r="F656" t="s">
        <v>28</v>
      </c>
      <c r="G656">
        <v>0.46180555555555558</v>
      </c>
      <c r="H656">
        <v>0.46597222222222218</v>
      </c>
      <c r="I656">
        <v>1</v>
      </c>
      <c r="J656" t="s">
        <v>18</v>
      </c>
      <c r="K656" t="s">
        <v>19</v>
      </c>
      <c r="L656">
        <v>2722</v>
      </c>
      <c r="M656">
        <v>6</v>
      </c>
      <c r="N656" t="s">
        <v>1677</v>
      </c>
      <c r="O656" t="s">
        <v>1664</v>
      </c>
      <c r="P656">
        <v>1</v>
      </c>
      <c r="Q656" t="s">
        <v>1660</v>
      </c>
    </row>
    <row r="657" spans="1:18" x14ac:dyDescent="0.35">
      <c r="A657" t="s">
        <v>1198</v>
      </c>
      <c r="B657" s="19">
        <v>46135</v>
      </c>
      <c r="C657" t="s">
        <v>1027</v>
      </c>
      <c r="D657" t="s">
        <v>84</v>
      </c>
      <c r="E657" t="s">
        <v>588</v>
      </c>
      <c r="F657" t="s">
        <v>17</v>
      </c>
      <c r="G657">
        <v>0.625</v>
      </c>
      <c r="H657">
        <v>0.64652777777777781</v>
      </c>
      <c r="I657">
        <v>23</v>
      </c>
      <c r="J657" t="s">
        <v>477</v>
      </c>
      <c r="K657" t="s">
        <v>19</v>
      </c>
      <c r="L657">
        <v>1658</v>
      </c>
      <c r="M657">
        <v>31</v>
      </c>
      <c r="N657" t="s">
        <v>1677</v>
      </c>
      <c r="O657" t="s">
        <v>1664</v>
      </c>
      <c r="P657">
        <v>0</v>
      </c>
      <c r="Q657" t="s">
        <v>1663</v>
      </c>
      <c r="R657" t="s">
        <v>1670</v>
      </c>
    </row>
    <row r="658" spans="1:18" x14ac:dyDescent="0.35">
      <c r="A658" t="s">
        <v>1199</v>
      </c>
      <c r="B658" s="19">
        <v>46135</v>
      </c>
      <c r="C658" t="s">
        <v>548</v>
      </c>
      <c r="D658" t="s">
        <v>197</v>
      </c>
      <c r="E658" t="s">
        <v>71</v>
      </c>
      <c r="F658" t="s">
        <v>24</v>
      </c>
      <c r="G658">
        <v>0.79513888888888884</v>
      </c>
      <c r="H658">
        <v>0.80277777777777781</v>
      </c>
      <c r="I658">
        <v>3</v>
      </c>
      <c r="J658" t="s">
        <v>18</v>
      </c>
      <c r="K658" t="s">
        <v>19</v>
      </c>
      <c r="L658">
        <v>738</v>
      </c>
      <c r="M658">
        <v>11</v>
      </c>
      <c r="N658" t="s">
        <v>1677</v>
      </c>
      <c r="O658" t="s">
        <v>1664</v>
      </c>
      <c r="P658">
        <v>1</v>
      </c>
      <c r="Q658" t="s">
        <v>1665</v>
      </c>
    </row>
    <row r="659" spans="1:18" x14ac:dyDescent="0.35">
      <c r="A659" t="s">
        <v>1200</v>
      </c>
      <c r="B659" s="19">
        <v>46135</v>
      </c>
      <c r="C659" t="s">
        <v>1201</v>
      </c>
      <c r="D659" t="s">
        <v>71</v>
      </c>
      <c r="E659" t="s">
        <v>1171</v>
      </c>
      <c r="F659" t="s">
        <v>24</v>
      </c>
      <c r="G659">
        <v>0.81597222222222221</v>
      </c>
      <c r="H659">
        <v>0.8125</v>
      </c>
      <c r="I659">
        <v>-10</v>
      </c>
      <c r="J659" t="s">
        <v>18</v>
      </c>
      <c r="K659" t="s">
        <v>19</v>
      </c>
      <c r="L659">
        <v>1438</v>
      </c>
      <c r="M659">
        <v>-5</v>
      </c>
      <c r="N659" t="s">
        <v>1677</v>
      </c>
      <c r="O659" t="s">
        <v>1664</v>
      </c>
      <c r="P659">
        <v>1</v>
      </c>
      <c r="Q659" t="s">
        <v>1665</v>
      </c>
    </row>
    <row r="660" spans="1:18" x14ac:dyDescent="0.35">
      <c r="A660" t="s">
        <v>1202</v>
      </c>
      <c r="B660" s="19">
        <v>46136</v>
      </c>
      <c r="C660" t="s">
        <v>207</v>
      </c>
      <c r="D660" t="s">
        <v>79</v>
      </c>
      <c r="E660" t="s">
        <v>1549</v>
      </c>
      <c r="F660" t="s">
        <v>28</v>
      </c>
      <c r="G660">
        <v>0.46527777777777779</v>
      </c>
      <c r="H660">
        <v>0.46805555555555561</v>
      </c>
      <c r="I660">
        <v>14</v>
      </c>
      <c r="J660" t="s">
        <v>18</v>
      </c>
      <c r="K660" t="s">
        <v>19</v>
      </c>
      <c r="L660">
        <v>945</v>
      </c>
      <c r="M660">
        <v>4</v>
      </c>
      <c r="N660" t="s">
        <v>1677</v>
      </c>
      <c r="O660" t="s">
        <v>1666</v>
      </c>
      <c r="P660">
        <v>1</v>
      </c>
      <c r="Q660" t="s">
        <v>1660</v>
      </c>
    </row>
    <row r="661" spans="1:18" x14ac:dyDescent="0.35">
      <c r="A661" t="s">
        <v>1203</v>
      </c>
      <c r="B661" s="19">
        <v>46136</v>
      </c>
      <c r="C661" t="s">
        <v>770</v>
      </c>
      <c r="D661" t="s">
        <v>71</v>
      </c>
      <c r="E661" t="s">
        <v>546</v>
      </c>
      <c r="F661" t="s">
        <v>28</v>
      </c>
      <c r="G661">
        <v>0.53819444444444442</v>
      </c>
      <c r="H661">
        <v>0.56111111111111112</v>
      </c>
      <c r="I661">
        <v>25</v>
      </c>
      <c r="J661" t="s">
        <v>477</v>
      </c>
      <c r="K661" t="s">
        <v>19</v>
      </c>
      <c r="L661">
        <v>1511</v>
      </c>
      <c r="M661">
        <v>33</v>
      </c>
      <c r="N661" t="s">
        <v>1677</v>
      </c>
      <c r="O661" t="s">
        <v>1666</v>
      </c>
      <c r="P661">
        <v>0</v>
      </c>
      <c r="Q661" t="s">
        <v>1663</v>
      </c>
      <c r="R661" t="s">
        <v>1670</v>
      </c>
    </row>
    <row r="662" spans="1:18" x14ac:dyDescent="0.35">
      <c r="A662" t="s">
        <v>1204</v>
      </c>
      <c r="B662" s="19">
        <v>46136</v>
      </c>
      <c r="C662" t="s">
        <v>146</v>
      </c>
      <c r="D662" t="s">
        <v>588</v>
      </c>
      <c r="E662" t="s">
        <v>71</v>
      </c>
      <c r="F662" t="s">
        <v>38</v>
      </c>
      <c r="G662">
        <v>0.73611111111111116</v>
      </c>
      <c r="H662">
        <v>0.8208333333333333</v>
      </c>
      <c r="I662">
        <v>127</v>
      </c>
      <c r="J662" t="s">
        <v>129</v>
      </c>
      <c r="K662" t="s">
        <v>19</v>
      </c>
      <c r="L662">
        <v>802</v>
      </c>
      <c r="M662">
        <v>122</v>
      </c>
      <c r="N662" t="s">
        <v>1677</v>
      </c>
      <c r="O662" t="s">
        <v>1666</v>
      </c>
      <c r="P662">
        <v>0</v>
      </c>
      <c r="Q662" t="s">
        <v>1665</v>
      </c>
      <c r="R662" t="s">
        <v>1670</v>
      </c>
    </row>
    <row r="663" spans="1:18" x14ac:dyDescent="0.35">
      <c r="A663" t="s">
        <v>1205</v>
      </c>
      <c r="B663" s="19">
        <v>46137</v>
      </c>
      <c r="C663" t="s">
        <v>167</v>
      </c>
      <c r="D663" t="s">
        <v>413</v>
      </c>
      <c r="E663" t="s">
        <v>546</v>
      </c>
      <c r="F663" t="s">
        <v>28</v>
      </c>
      <c r="G663">
        <v>0.25347222222222221</v>
      </c>
      <c r="H663">
        <v>0.25069444444444439</v>
      </c>
      <c r="I663">
        <v>6</v>
      </c>
      <c r="J663" t="s">
        <v>18</v>
      </c>
      <c r="K663" t="s">
        <v>19</v>
      </c>
      <c r="L663">
        <v>236</v>
      </c>
      <c r="M663">
        <v>-4</v>
      </c>
      <c r="N663" t="s">
        <v>1677</v>
      </c>
      <c r="O663" t="s">
        <v>1667</v>
      </c>
      <c r="P663">
        <v>1</v>
      </c>
      <c r="Q663" t="s">
        <v>1660</v>
      </c>
    </row>
    <row r="664" spans="1:18" x14ac:dyDescent="0.35">
      <c r="A664" t="s">
        <v>1206</v>
      </c>
      <c r="B664" s="19">
        <v>46137</v>
      </c>
      <c r="C664" t="s">
        <v>1207</v>
      </c>
      <c r="D664" t="s">
        <v>71</v>
      </c>
      <c r="E664" t="s">
        <v>79</v>
      </c>
      <c r="F664" t="s">
        <v>17</v>
      </c>
      <c r="G664">
        <v>0.57638888888888884</v>
      </c>
      <c r="H664">
        <v>0.58263888888888893</v>
      </c>
      <c r="I664">
        <v>0</v>
      </c>
      <c r="J664" t="s">
        <v>18</v>
      </c>
      <c r="K664" t="s">
        <v>19</v>
      </c>
      <c r="L664">
        <v>606</v>
      </c>
      <c r="M664">
        <v>9</v>
      </c>
      <c r="N664" t="s">
        <v>1677</v>
      </c>
      <c r="O664" t="s">
        <v>1667</v>
      </c>
      <c r="P664">
        <v>1</v>
      </c>
      <c r="Q664" t="s">
        <v>1663</v>
      </c>
    </row>
    <row r="665" spans="1:18" x14ac:dyDescent="0.35">
      <c r="A665" t="s">
        <v>1208</v>
      </c>
      <c r="B665" s="19">
        <v>46137</v>
      </c>
      <c r="C665" t="s">
        <v>748</v>
      </c>
      <c r="D665" t="s">
        <v>413</v>
      </c>
      <c r="E665" t="s">
        <v>226</v>
      </c>
      <c r="F665" t="s">
        <v>24</v>
      </c>
      <c r="G665">
        <v>0.68055555555555558</v>
      </c>
      <c r="H665">
        <v>0.69791666666666663</v>
      </c>
      <c r="I665">
        <v>20</v>
      </c>
      <c r="J665" t="s">
        <v>60</v>
      </c>
      <c r="K665" t="s">
        <v>19</v>
      </c>
      <c r="L665">
        <v>861</v>
      </c>
      <c r="M665">
        <v>25</v>
      </c>
      <c r="N665" t="s">
        <v>1677</v>
      </c>
      <c r="O665" t="s">
        <v>1667</v>
      </c>
      <c r="P665">
        <v>0</v>
      </c>
      <c r="Q665" t="s">
        <v>1663</v>
      </c>
      <c r="R665" t="s">
        <v>1657</v>
      </c>
    </row>
    <row r="666" spans="1:18" x14ac:dyDescent="0.35">
      <c r="A666" t="s">
        <v>1209</v>
      </c>
      <c r="B666" s="19">
        <v>46138</v>
      </c>
      <c r="C666" t="s">
        <v>1210</v>
      </c>
      <c r="D666" t="s">
        <v>71</v>
      </c>
      <c r="E666" t="s">
        <v>588</v>
      </c>
      <c r="F666" t="s">
        <v>28</v>
      </c>
      <c r="G666">
        <v>0.64236111111111116</v>
      </c>
      <c r="H666">
        <v>0.64375000000000004</v>
      </c>
      <c r="I666">
        <v>9</v>
      </c>
      <c r="J666" t="s">
        <v>18</v>
      </c>
      <c r="K666" t="s">
        <v>19</v>
      </c>
      <c r="L666">
        <v>802</v>
      </c>
      <c r="M666">
        <v>2</v>
      </c>
      <c r="N666" t="s">
        <v>1677</v>
      </c>
      <c r="O666" t="s">
        <v>1668</v>
      </c>
      <c r="P666">
        <v>1</v>
      </c>
      <c r="Q666" t="s">
        <v>1663</v>
      </c>
    </row>
    <row r="667" spans="1:18" x14ac:dyDescent="0.35">
      <c r="A667" t="s">
        <v>1211</v>
      </c>
      <c r="B667" s="19">
        <v>46139</v>
      </c>
      <c r="C667" t="s">
        <v>1212</v>
      </c>
      <c r="D667" t="s">
        <v>71</v>
      </c>
      <c r="E667" t="s">
        <v>79</v>
      </c>
      <c r="F667" t="s">
        <v>24</v>
      </c>
      <c r="G667">
        <v>0.2673611111111111</v>
      </c>
      <c r="H667">
        <v>0.26805555555555549</v>
      </c>
      <c r="I667">
        <v>10</v>
      </c>
      <c r="J667" t="s">
        <v>18</v>
      </c>
      <c r="K667" t="s">
        <v>19</v>
      </c>
      <c r="L667">
        <v>606</v>
      </c>
      <c r="M667">
        <v>1</v>
      </c>
      <c r="N667" t="s">
        <v>1677</v>
      </c>
      <c r="O667" t="s">
        <v>1659</v>
      </c>
      <c r="P667">
        <v>1</v>
      </c>
      <c r="Q667" t="s">
        <v>1660</v>
      </c>
    </row>
    <row r="668" spans="1:18" x14ac:dyDescent="0.35">
      <c r="A668" t="s">
        <v>1213</v>
      </c>
      <c r="B668" s="19">
        <v>46139</v>
      </c>
      <c r="C668" t="s">
        <v>1214</v>
      </c>
      <c r="D668" t="s">
        <v>588</v>
      </c>
      <c r="E668" t="s">
        <v>413</v>
      </c>
      <c r="F668" t="s">
        <v>24</v>
      </c>
      <c r="G668">
        <v>0.82291666666666663</v>
      </c>
      <c r="H668">
        <v>0.83125000000000004</v>
      </c>
      <c r="I668">
        <v>8</v>
      </c>
      <c r="J668" t="s">
        <v>18</v>
      </c>
      <c r="K668" t="s">
        <v>19</v>
      </c>
      <c r="L668">
        <v>1232</v>
      </c>
      <c r="M668">
        <v>12</v>
      </c>
      <c r="N668" t="s">
        <v>1677</v>
      </c>
      <c r="O668" t="s">
        <v>1659</v>
      </c>
      <c r="P668">
        <v>1</v>
      </c>
      <c r="Q668" t="s">
        <v>1665</v>
      </c>
    </row>
    <row r="669" spans="1:18" x14ac:dyDescent="0.35">
      <c r="A669" t="s">
        <v>1215</v>
      </c>
      <c r="B669" s="19">
        <v>46140</v>
      </c>
      <c r="C669" t="s">
        <v>823</v>
      </c>
      <c r="D669" t="s">
        <v>202</v>
      </c>
      <c r="E669" t="s">
        <v>79</v>
      </c>
      <c r="F669" t="s">
        <v>17</v>
      </c>
      <c r="G669">
        <v>0.41666666666666669</v>
      </c>
      <c r="H669">
        <v>0.42152777777777778</v>
      </c>
      <c r="I669">
        <v>8</v>
      </c>
      <c r="J669" t="s">
        <v>18</v>
      </c>
      <c r="K669" t="s">
        <v>19</v>
      </c>
      <c r="L669">
        <v>596</v>
      </c>
      <c r="M669">
        <v>7</v>
      </c>
      <c r="N669" t="s">
        <v>1677</v>
      </c>
      <c r="O669" t="s">
        <v>1661</v>
      </c>
      <c r="P669">
        <v>1</v>
      </c>
      <c r="Q669" t="s">
        <v>1660</v>
      </c>
    </row>
    <row r="670" spans="1:18" x14ac:dyDescent="0.35">
      <c r="A670" t="s">
        <v>1216</v>
      </c>
      <c r="B670" s="19">
        <v>46140</v>
      </c>
      <c r="C670" t="s">
        <v>1217</v>
      </c>
      <c r="D670" t="s">
        <v>197</v>
      </c>
      <c r="E670" t="s">
        <v>546</v>
      </c>
      <c r="F670" t="s">
        <v>24</v>
      </c>
      <c r="G670">
        <v>0.50347222222222221</v>
      </c>
      <c r="H670">
        <v>0.5083333333333333</v>
      </c>
      <c r="I670">
        <v>-4</v>
      </c>
      <c r="J670" t="s">
        <v>18</v>
      </c>
      <c r="K670" t="s">
        <v>19</v>
      </c>
      <c r="L670">
        <v>2243</v>
      </c>
      <c r="M670">
        <v>7</v>
      </c>
      <c r="N670" t="s">
        <v>1677</v>
      </c>
      <c r="O670" t="s">
        <v>1661</v>
      </c>
      <c r="P670">
        <v>1</v>
      </c>
      <c r="Q670" t="s">
        <v>1663</v>
      </c>
    </row>
    <row r="671" spans="1:18" x14ac:dyDescent="0.35">
      <c r="A671" t="s">
        <v>1218</v>
      </c>
      <c r="B671" s="19">
        <v>46140</v>
      </c>
      <c r="C671" t="s">
        <v>1219</v>
      </c>
      <c r="D671" t="s">
        <v>79</v>
      </c>
      <c r="E671" t="s">
        <v>1295</v>
      </c>
      <c r="F671" t="s">
        <v>17</v>
      </c>
      <c r="G671">
        <v>0.59375</v>
      </c>
      <c r="H671">
        <v>0.59097222222222223</v>
      </c>
      <c r="I671">
        <v>-5</v>
      </c>
      <c r="J671" t="s">
        <v>18</v>
      </c>
      <c r="K671" t="s">
        <v>19</v>
      </c>
      <c r="L671">
        <v>2134</v>
      </c>
      <c r="M671">
        <v>-4</v>
      </c>
      <c r="N671" t="s">
        <v>1677</v>
      </c>
      <c r="O671" t="s">
        <v>1661</v>
      </c>
      <c r="P671">
        <v>1</v>
      </c>
      <c r="Q671" t="s">
        <v>1663</v>
      </c>
    </row>
    <row r="672" spans="1:18" x14ac:dyDescent="0.35">
      <c r="A672" t="s">
        <v>1220</v>
      </c>
      <c r="B672" s="19">
        <v>46140</v>
      </c>
      <c r="C672" t="s">
        <v>819</v>
      </c>
      <c r="D672" t="s">
        <v>413</v>
      </c>
      <c r="E672" t="s">
        <v>588</v>
      </c>
      <c r="F672" t="s">
        <v>24</v>
      </c>
      <c r="G672">
        <v>0.67708333333333337</v>
      </c>
      <c r="H672">
        <v>0.67361111111111116</v>
      </c>
      <c r="I672">
        <v>-4</v>
      </c>
      <c r="J672" t="s">
        <v>18</v>
      </c>
      <c r="K672" t="s">
        <v>19</v>
      </c>
      <c r="L672">
        <v>1232</v>
      </c>
      <c r="M672">
        <v>-5</v>
      </c>
      <c r="N672" t="s">
        <v>1677</v>
      </c>
      <c r="O672" t="s">
        <v>1661</v>
      </c>
      <c r="P672">
        <v>1</v>
      </c>
      <c r="Q672" t="s">
        <v>1663</v>
      </c>
    </row>
    <row r="673" spans="1:18" x14ac:dyDescent="0.35">
      <c r="A673" t="s">
        <v>1221</v>
      </c>
      <c r="B673" s="19">
        <v>46140</v>
      </c>
      <c r="C673" t="s">
        <v>100</v>
      </c>
      <c r="D673" t="s">
        <v>413</v>
      </c>
      <c r="E673" t="s">
        <v>84</v>
      </c>
      <c r="F673" t="s">
        <v>38</v>
      </c>
      <c r="G673">
        <v>0.80208333333333337</v>
      </c>
      <c r="H673">
        <v>0.80347222222222225</v>
      </c>
      <c r="I673">
        <v>-10</v>
      </c>
      <c r="J673" t="s">
        <v>18</v>
      </c>
      <c r="K673" t="s">
        <v>19</v>
      </c>
      <c r="L673">
        <v>955</v>
      </c>
      <c r="M673">
        <v>2</v>
      </c>
      <c r="N673" t="s">
        <v>1677</v>
      </c>
      <c r="O673" t="s">
        <v>1661</v>
      </c>
      <c r="P673">
        <v>1</v>
      </c>
      <c r="Q673" t="s">
        <v>1665</v>
      </c>
    </row>
    <row r="674" spans="1:18" x14ac:dyDescent="0.35">
      <c r="A674" t="s">
        <v>1222</v>
      </c>
      <c r="B674" s="19">
        <v>46140</v>
      </c>
      <c r="C674" t="s">
        <v>1223</v>
      </c>
      <c r="D674" t="s">
        <v>79</v>
      </c>
      <c r="E674" t="s">
        <v>1171</v>
      </c>
      <c r="F674" t="s">
        <v>24</v>
      </c>
      <c r="G674">
        <v>0.82638888888888884</v>
      </c>
      <c r="H674">
        <v>0.8208333333333333</v>
      </c>
      <c r="I674">
        <v>-5</v>
      </c>
      <c r="J674" t="s">
        <v>18</v>
      </c>
      <c r="K674" t="s">
        <v>19</v>
      </c>
      <c r="L674">
        <v>1584</v>
      </c>
      <c r="M674">
        <v>-8</v>
      </c>
      <c r="N674" t="s">
        <v>1677</v>
      </c>
      <c r="O674" t="s">
        <v>1661</v>
      </c>
      <c r="P674">
        <v>1</v>
      </c>
      <c r="Q674" t="s">
        <v>1665</v>
      </c>
    </row>
    <row r="675" spans="1:18" x14ac:dyDescent="0.35">
      <c r="A675" t="s">
        <v>1224</v>
      </c>
      <c r="B675" s="19">
        <v>46141</v>
      </c>
      <c r="C675" t="s">
        <v>1225</v>
      </c>
      <c r="D675" t="s">
        <v>197</v>
      </c>
      <c r="E675" t="s">
        <v>1171</v>
      </c>
      <c r="F675" t="s">
        <v>24</v>
      </c>
      <c r="G675">
        <v>0.3888888888888889</v>
      </c>
      <c r="H675">
        <v>0.38958333333333328</v>
      </c>
      <c r="I675">
        <v>-9</v>
      </c>
      <c r="J675" t="s">
        <v>18</v>
      </c>
      <c r="K675" t="s">
        <v>19</v>
      </c>
      <c r="L675">
        <v>2149</v>
      </c>
      <c r="M675">
        <v>1</v>
      </c>
      <c r="N675" t="s">
        <v>1677</v>
      </c>
      <c r="O675" t="s">
        <v>1662</v>
      </c>
      <c r="P675">
        <v>1</v>
      </c>
      <c r="Q675" t="s">
        <v>1660</v>
      </c>
    </row>
    <row r="676" spans="1:18" x14ac:dyDescent="0.35">
      <c r="A676" t="s">
        <v>1226</v>
      </c>
      <c r="B676" s="19">
        <v>46141</v>
      </c>
      <c r="C676" t="s">
        <v>760</v>
      </c>
      <c r="D676" t="s">
        <v>413</v>
      </c>
      <c r="E676" t="s">
        <v>84</v>
      </c>
      <c r="F676" t="s">
        <v>28</v>
      </c>
      <c r="G676">
        <v>0.66666666666666663</v>
      </c>
      <c r="H676">
        <v>0.67222222222222228</v>
      </c>
      <c r="I676">
        <v>0</v>
      </c>
      <c r="J676" t="s">
        <v>18</v>
      </c>
      <c r="K676" t="s">
        <v>19</v>
      </c>
      <c r="L676">
        <v>955</v>
      </c>
      <c r="M676">
        <v>8</v>
      </c>
      <c r="N676" t="s">
        <v>1677</v>
      </c>
      <c r="O676" t="s">
        <v>1662</v>
      </c>
      <c r="P676">
        <v>1</v>
      </c>
      <c r="Q676" t="s">
        <v>1663</v>
      </c>
    </row>
    <row r="677" spans="1:18" x14ac:dyDescent="0.35">
      <c r="A677" t="s">
        <v>1227</v>
      </c>
      <c r="B677" s="19">
        <v>46141</v>
      </c>
      <c r="C677" t="s">
        <v>137</v>
      </c>
      <c r="D677" t="s">
        <v>197</v>
      </c>
      <c r="E677" t="s">
        <v>84</v>
      </c>
      <c r="F677" t="s">
        <v>24</v>
      </c>
      <c r="G677">
        <v>0.73263888888888884</v>
      </c>
      <c r="H677">
        <v>0.72777777777777775</v>
      </c>
      <c r="I677">
        <v>-13</v>
      </c>
      <c r="J677" t="s">
        <v>18</v>
      </c>
      <c r="K677" t="s">
        <v>19</v>
      </c>
      <c r="L677">
        <v>2415</v>
      </c>
      <c r="M677">
        <v>-7</v>
      </c>
      <c r="N677" t="s">
        <v>1677</v>
      </c>
      <c r="O677" t="s">
        <v>1662</v>
      </c>
      <c r="P677">
        <v>1</v>
      </c>
      <c r="Q677" t="s">
        <v>1665</v>
      </c>
    </row>
    <row r="678" spans="1:18" x14ac:dyDescent="0.35">
      <c r="A678" t="s">
        <v>1228</v>
      </c>
      <c r="B678" s="19">
        <v>46142</v>
      </c>
      <c r="C678" t="s">
        <v>1229</v>
      </c>
      <c r="D678" t="s">
        <v>226</v>
      </c>
      <c r="E678" t="s">
        <v>71</v>
      </c>
      <c r="F678" t="s">
        <v>17</v>
      </c>
      <c r="G678">
        <v>0.59722222222222221</v>
      </c>
      <c r="H678">
        <v>0.6020833333333333</v>
      </c>
      <c r="I678">
        <v>11</v>
      </c>
      <c r="J678" t="s">
        <v>18</v>
      </c>
      <c r="K678" t="s">
        <v>19</v>
      </c>
      <c r="L678">
        <v>886</v>
      </c>
      <c r="M678">
        <v>7</v>
      </c>
      <c r="N678" t="s">
        <v>1677</v>
      </c>
      <c r="O678" t="s">
        <v>1664</v>
      </c>
      <c r="P678">
        <v>1</v>
      </c>
      <c r="Q678" t="s">
        <v>1663</v>
      </c>
    </row>
    <row r="679" spans="1:18" x14ac:dyDescent="0.35">
      <c r="A679" t="s">
        <v>1230</v>
      </c>
      <c r="B679" s="19">
        <v>46142</v>
      </c>
      <c r="C679" t="s">
        <v>1231</v>
      </c>
      <c r="D679" t="s">
        <v>71</v>
      </c>
      <c r="E679" t="s">
        <v>588</v>
      </c>
      <c r="F679" t="s">
        <v>28</v>
      </c>
      <c r="G679">
        <v>0.73611111111111116</v>
      </c>
      <c r="H679">
        <v>0.73958333333333337</v>
      </c>
      <c r="I679">
        <v>7</v>
      </c>
      <c r="J679" t="s">
        <v>18</v>
      </c>
      <c r="K679" t="s">
        <v>19</v>
      </c>
      <c r="L679">
        <v>802</v>
      </c>
      <c r="M679">
        <v>5</v>
      </c>
      <c r="N679" t="s">
        <v>1677</v>
      </c>
      <c r="O679" t="s">
        <v>1664</v>
      </c>
      <c r="P679">
        <v>1</v>
      </c>
      <c r="Q679" t="s">
        <v>1665</v>
      </c>
    </row>
    <row r="680" spans="1:18" x14ac:dyDescent="0.35">
      <c r="A680" t="s">
        <v>1232</v>
      </c>
      <c r="B680" s="19">
        <v>46142</v>
      </c>
      <c r="C680" t="s">
        <v>1233</v>
      </c>
      <c r="D680" t="s">
        <v>1549</v>
      </c>
      <c r="E680" t="s">
        <v>226</v>
      </c>
      <c r="F680" t="s">
        <v>17</v>
      </c>
      <c r="G680">
        <v>0.82291666666666663</v>
      </c>
      <c r="H680">
        <v>0.81874999999999998</v>
      </c>
      <c r="I680">
        <v>-6</v>
      </c>
      <c r="J680" t="s">
        <v>18</v>
      </c>
      <c r="K680" t="s">
        <v>19</v>
      </c>
      <c r="L680">
        <v>1749</v>
      </c>
      <c r="M680">
        <v>-6</v>
      </c>
      <c r="N680" t="s">
        <v>1677</v>
      </c>
      <c r="O680" t="s">
        <v>1664</v>
      </c>
      <c r="P680">
        <v>1</v>
      </c>
      <c r="Q680" t="s">
        <v>1665</v>
      </c>
    </row>
    <row r="681" spans="1:18" x14ac:dyDescent="0.35">
      <c r="A681" t="s">
        <v>1234</v>
      </c>
      <c r="B681" s="19">
        <v>46143</v>
      </c>
      <c r="C681" t="s">
        <v>609</v>
      </c>
      <c r="D681" t="s">
        <v>79</v>
      </c>
      <c r="E681" t="s">
        <v>546</v>
      </c>
      <c r="F681" t="s">
        <v>17</v>
      </c>
      <c r="G681">
        <v>0.3263888888888889</v>
      </c>
      <c r="H681">
        <v>0.3347222222222222</v>
      </c>
      <c r="I681">
        <v>12</v>
      </c>
      <c r="J681" t="s">
        <v>18</v>
      </c>
      <c r="K681" t="s">
        <v>19</v>
      </c>
      <c r="L681">
        <v>1743</v>
      </c>
      <c r="M681">
        <v>12</v>
      </c>
      <c r="N681" t="s">
        <v>1678</v>
      </c>
      <c r="O681" t="s">
        <v>1666</v>
      </c>
      <c r="P681">
        <v>1</v>
      </c>
      <c r="Q681" t="s">
        <v>1660</v>
      </c>
    </row>
    <row r="682" spans="1:18" x14ac:dyDescent="0.35">
      <c r="A682" t="s">
        <v>1235</v>
      </c>
      <c r="B682" s="19">
        <v>46143</v>
      </c>
      <c r="C682" t="s">
        <v>302</v>
      </c>
      <c r="D682" t="s">
        <v>226</v>
      </c>
      <c r="E682" t="s">
        <v>588</v>
      </c>
      <c r="F682" t="s">
        <v>24</v>
      </c>
      <c r="G682">
        <v>0.47916666666666669</v>
      </c>
      <c r="H682">
        <v>0.47430555555555548</v>
      </c>
      <c r="I682">
        <v>-10</v>
      </c>
      <c r="J682" t="s">
        <v>18</v>
      </c>
      <c r="K682" t="s">
        <v>19</v>
      </c>
      <c r="L682">
        <v>641</v>
      </c>
      <c r="M682">
        <v>-7</v>
      </c>
      <c r="N682" t="s">
        <v>1678</v>
      </c>
      <c r="O682" t="s">
        <v>1666</v>
      </c>
      <c r="P682">
        <v>1</v>
      </c>
      <c r="Q682" t="s">
        <v>1660</v>
      </c>
    </row>
    <row r="683" spans="1:18" x14ac:dyDescent="0.35">
      <c r="A683" t="s">
        <v>1236</v>
      </c>
      <c r="B683" s="19">
        <v>46143</v>
      </c>
      <c r="C683" t="s">
        <v>1237</v>
      </c>
      <c r="D683" t="s">
        <v>226</v>
      </c>
      <c r="E683" t="s">
        <v>1171</v>
      </c>
      <c r="F683" t="s">
        <v>38</v>
      </c>
      <c r="G683">
        <v>0.73263888888888884</v>
      </c>
      <c r="H683">
        <v>0.7270833333333333</v>
      </c>
      <c r="I683">
        <v>0</v>
      </c>
      <c r="J683" t="s">
        <v>18</v>
      </c>
      <c r="K683" t="s">
        <v>19</v>
      </c>
      <c r="L683">
        <v>602</v>
      </c>
      <c r="M683">
        <v>-8</v>
      </c>
      <c r="N683" t="s">
        <v>1678</v>
      </c>
      <c r="O683" t="s">
        <v>1666</v>
      </c>
      <c r="P683">
        <v>1</v>
      </c>
      <c r="Q683" t="s">
        <v>1665</v>
      </c>
    </row>
    <row r="684" spans="1:18" x14ac:dyDescent="0.35">
      <c r="A684" t="s">
        <v>1238</v>
      </c>
      <c r="B684" s="19">
        <v>46144</v>
      </c>
      <c r="C684" t="s">
        <v>1123</v>
      </c>
      <c r="D684" t="s">
        <v>413</v>
      </c>
      <c r="E684" t="s">
        <v>1171</v>
      </c>
      <c r="F684" t="s">
        <v>24</v>
      </c>
      <c r="G684">
        <v>0.40972222222222221</v>
      </c>
      <c r="H684">
        <v>0.41597222222222219</v>
      </c>
      <c r="I684">
        <v>19</v>
      </c>
      <c r="J684" t="s">
        <v>18</v>
      </c>
      <c r="K684" t="s">
        <v>19</v>
      </c>
      <c r="L684">
        <v>370</v>
      </c>
      <c r="M684">
        <v>9</v>
      </c>
      <c r="N684" t="s">
        <v>1678</v>
      </c>
      <c r="O684" t="s">
        <v>1667</v>
      </c>
      <c r="P684">
        <v>0</v>
      </c>
      <c r="Q684" t="s">
        <v>1660</v>
      </c>
    </row>
    <row r="685" spans="1:18" x14ac:dyDescent="0.35">
      <c r="A685" t="s">
        <v>1633</v>
      </c>
      <c r="B685" s="19">
        <v>46256</v>
      </c>
      <c r="C685" t="s">
        <v>159</v>
      </c>
      <c r="D685" t="s">
        <v>79</v>
      </c>
      <c r="E685" t="s">
        <v>226</v>
      </c>
      <c r="F685" t="s">
        <v>28</v>
      </c>
      <c r="G685">
        <v>0.87847222222222221</v>
      </c>
      <c r="H685">
        <v>0.87430555555555556</v>
      </c>
      <c r="I685">
        <v>-2</v>
      </c>
      <c r="J685" t="s">
        <v>18</v>
      </c>
      <c r="K685" t="s">
        <v>19</v>
      </c>
      <c r="L685">
        <v>1197</v>
      </c>
      <c r="M685">
        <v>-6</v>
      </c>
      <c r="N685" t="s">
        <v>1681</v>
      </c>
      <c r="O685" t="s">
        <v>1667</v>
      </c>
      <c r="P685">
        <v>1</v>
      </c>
      <c r="Q685" t="s">
        <v>1669</v>
      </c>
    </row>
    <row r="686" spans="1:18" x14ac:dyDescent="0.35">
      <c r="A686" t="s">
        <v>1240</v>
      </c>
      <c r="B686" s="19">
        <v>46144</v>
      </c>
      <c r="C686" t="s">
        <v>791</v>
      </c>
      <c r="D686" t="s">
        <v>226</v>
      </c>
      <c r="E686" t="s">
        <v>413</v>
      </c>
      <c r="F686" t="s">
        <v>28</v>
      </c>
      <c r="G686">
        <v>0.83680555555555558</v>
      </c>
      <c r="H686">
        <v>0.83680555555555558</v>
      </c>
      <c r="I686">
        <v>-9</v>
      </c>
      <c r="J686" t="s">
        <v>18</v>
      </c>
      <c r="K686" t="s">
        <v>19</v>
      </c>
      <c r="L686">
        <v>861</v>
      </c>
      <c r="M686">
        <v>0</v>
      </c>
      <c r="N686" t="s">
        <v>1678</v>
      </c>
      <c r="O686" t="s">
        <v>1667</v>
      </c>
      <c r="P686">
        <v>1</v>
      </c>
      <c r="Q686" t="s">
        <v>1665</v>
      </c>
    </row>
    <row r="687" spans="1:18" x14ac:dyDescent="0.35">
      <c r="A687" t="s">
        <v>1241</v>
      </c>
      <c r="B687" s="19">
        <v>46145</v>
      </c>
      <c r="C687" t="s">
        <v>1242</v>
      </c>
      <c r="D687" t="s">
        <v>546</v>
      </c>
      <c r="E687" t="s">
        <v>71</v>
      </c>
      <c r="F687" t="s">
        <v>38</v>
      </c>
      <c r="G687">
        <v>0.45833333333333331</v>
      </c>
      <c r="H687">
        <v>0.50972222222222219</v>
      </c>
      <c r="I687">
        <v>72</v>
      </c>
      <c r="J687" t="s">
        <v>60</v>
      </c>
      <c r="K687" t="s">
        <v>19</v>
      </c>
      <c r="L687">
        <v>1511</v>
      </c>
      <c r="M687">
        <v>74</v>
      </c>
      <c r="N687" t="s">
        <v>1678</v>
      </c>
      <c r="O687" t="s">
        <v>1668</v>
      </c>
      <c r="P687">
        <v>0</v>
      </c>
      <c r="Q687" t="s">
        <v>1660</v>
      </c>
      <c r="R687" t="s">
        <v>1657</v>
      </c>
    </row>
    <row r="688" spans="1:18" x14ac:dyDescent="0.35">
      <c r="A688" t="s">
        <v>1243</v>
      </c>
      <c r="B688" s="19">
        <v>46145</v>
      </c>
      <c r="C688" t="s">
        <v>357</v>
      </c>
      <c r="D688" t="s">
        <v>79</v>
      </c>
      <c r="E688" t="s">
        <v>71</v>
      </c>
      <c r="F688" t="s">
        <v>28</v>
      </c>
      <c r="G688">
        <v>0.47569444444444442</v>
      </c>
      <c r="H688">
        <v>0.47708333333333341</v>
      </c>
      <c r="I688">
        <v>4</v>
      </c>
      <c r="J688" t="s">
        <v>18</v>
      </c>
      <c r="K688" t="s">
        <v>19</v>
      </c>
      <c r="L688">
        <v>606</v>
      </c>
      <c r="M688">
        <v>2</v>
      </c>
      <c r="N688" t="s">
        <v>1678</v>
      </c>
      <c r="O688" t="s">
        <v>1668</v>
      </c>
      <c r="P688">
        <v>1</v>
      </c>
      <c r="Q688" t="s">
        <v>1660</v>
      </c>
    </row>
    <row r="689" spans="1:18" x14ac:dyDescent="0.35">
      <c r="A689" t="s">
        <v>1244</v>
      </c>
      <c r="B689" s="19">
        <v>46145</v>
      </c>
      <c r="C689" t="s">
        <v>746</v>
      </c>
      <c r="D689" t="s">
        <v>79</v>
      </c>
      <c r="E689" t="s">
        <v>202</v>
      </c>
      <c r="F689" t="s">
        <v>17</v>
      </c>
      <c r="G689">
        <v>0.58333333333333337</v>
      </c>
      <c r="H689">
        <v>0.63541666666666663</v>
      </c>
      <c r="I689">
        <v>63</v>
      </c>
      <c r="J689" t="s">
        <v>54</v>
      </c>
      <c r="K689" t="s">
        <v>19</v>
      </c>
      <c r="L689">
        <v>596</v>
      </c>
      <c r="M689">
        <v>75</v>
      </c>
      <c r="N689" t="s">
        <v>1678</v>
      </c>
      <c r="O689" t="s">
        <v>1668</v>
      </c>
      <c r="P689">
        <v>0</v>
      </c>
      <c r="Q689" t="s">
        <v>1663</v>
      </c>
      <c r="R689" t="s">
        <v>1657</v>
      </c>
    </row>
    <row r="690" spans="1:18" x14ac:dyDescent="0.35">
      <c r="A690" t="s">
        <v>1245</v>
      </c>
      <c r="B690" s="19">
        <v>46145</v>
      </c>
      <c r="C690" t="s">
        <v>794</v>
      </c>
      <c r="D690" t="s">
        <v>1549</v>
      </c>
      <c r="E690" t="s">
        <v>79</v>
      </c>
      <c r="F690" t="s">
        <v>17</v>
      </c>
      <c r="G690">
        <v>0.69097222222222221</v>
      </c>
      <c r="H690">
        <v>0.68819444444444444</v>
      </c>
      <c r="I690">
        <v>6</v>
      </c>
      <c r="J690" t="s">
        <v>18</v>
      </c>
      <c r="K690" t="s">
        <v>19</v>
      </c>
      <c r="L690">
        <v>945</v>
      </c>
      <c r="M690">
        <v>-4</v>
      </c>
      <c r="N690" t="s">
        <v>1678</v>
      </c>
      <c r="O690" t="s">
        <v>1668</v>
      </c>
      <c r="P690">
        <v>1</v>
      </c>
      <c r="Q690" t="s">
        <v>1663</v>
      </c>
    </row>
    <row r="691" spans="1:18" x14ac:dyDescent="0.35">
      <c r="A691" t="s">
        <v>1246</v>
      </c>
      <c r="B691" s="19">
        <v>46146</v>
      </c>
      <c r="C691" t="s">
        <v>773</v>
      </c>
      <c r="D691" t="s">
        <v>226</v>
      </c>
      <c r="E691" t="s">
        <v>202</v>
      </c>
      <c r="F691" t="s">
        <v>24</v>
      </c>
      <c r="G691">
        <v>0.25347222222222221</v>
      </c>
      <c r="H691">
        <v>0.25138888888888888</v>
      </c>
      <c r="I691">
        <v>7</v>
      </c>
      <c r="J691" t="s">
        <v>18</v>
      </c>
      <c r="K691" t="s">
        <v>19</v>
      </c>
      <c r="L691">
        <v>1708</v>
      </c>
      <c r="M691">
        <v>-3</v>
      </c>
      <c r="N691" t="s">
        <v>1678</v>
      </c>
      <c r="O691" t="s">
        <v>1659</v>
      </c>
      <c r="P691">
        <v>1</v>
      </c>
      <c r="Q691" t="s">
        <v>1660</v>
      </c>
    </row>
    <row r="692" spans="1:18" x14ac:dyDescent="0.35">
      <c r="A692" t="s">
        <v>1247</v>
      </c>
      <c r="B692" s="19">
        <v>46146</v>
      </c>
      <c r="C692" t="s">
        <v>282</v>
      </c>
      <c r="D692" t="s">
        <v>202</v>
      </c>
      <c r="E692" t="s">
        <v>588</v>
      </c>
      <c r="F692" t="s">
        <v>24</v>
      </c>
      <c r="G692">
        <v>0.2951388888888889</v>
      </c>
      <c r="H692">
        <v>0.29652777777777778</v>
      </c>
      <c r="I692">
        <v>8</v>
      </c>
      <c r="J692" t="s">
        <v>18</v>
      </c>
      <c r="K692" t="s">
        <v>19</v>
      </c>
      <c r="L692">
        <v>1120</v>
      </c>
      <c r="M692">
        <v>2</v>
      </c>
      <c r="N692" t="s">
        <v>1678</v>
      </c>
      <c r="O692" t="s">
        <v>1659</v>
      </c>
      <c r="P692">
        <v>1</v>
      </c>
      <c r="Q692" t="s">
        <v>1660</v>
      </c>
    </row>
    <row r="693" spans="1:18" x14ac:dyDescent="0.35">
      <c r="A693" t="s">
        <v>1248</v>
      </c>
      <c r="B693" s="19">
        <v>46147</v>
      </c>
      <c r="C693" t="s">
        <v>986</v>
      </c>
      <c r="D693" t="s">
        <v>226</v>
      </c>
      <c r="E693" t="s">
        <v>197</v>
      </c>
      <c r="F693" t="s">
        <v>17</v>
      </c>
      <c r="G693">
        <v>0.24305555555555561</v>
      </c>
      <c r="H693">
        <v>0.25138888888888888</v>
      </c>
      <c r="I693">
        <v>1</v>
      </c>
      <c r="J693" t="s">
        <v>18</v>
      </c>
      <c r="K693" t="s">
        <v>19</v>
      </c>
      <c r="L693">
        <v>1622</v>
      </c>
      <c r="M693">
        <v>12</v>
      </c>
      <c r="N693" t="s">
        <v>1678</v>
      </c>
      <c r="O693" t="s">
        <v>1661</v>
      </c>
      <c r="P693">
        <v>1</v>
      </c>
      <c r="Q693" t="s">
        <v>1660</v>
      </c>
    </row>
    <row r="694" spans="1:18" x14ac:dyDescent="0.35">
      <c r="A694" t="s">
        <v>1249</v>
      </c>
      <c r="B694" s="19">
        <v>46147</v>
      </c>
      <c r="C694" t="s">
        <v>1250</v>
      </c>
      <c r="D694" t="s">
        <v>79</v>
      </c>
      <c r="E694" t="s">
        <v>197</v>
      </c>
      <c r="F694" t="s">
        <v>38</v>
      </c>
      <c r="G694">
        <v>0.71527777777777779</v>
      </c>
      <c r="H694">
        <v>0.81180555555555556</v>
      </c>
      <c r="I694">
        <v>124</v>
      </c>
      <c r="J694" t="s">
        <v>477</v>
      </c>
      <c r="K694" t="s">
        <v>19</v>
      </c>
      <c r="L694">
        <v>759</v>
      </c>
      <c r="M694">
        <v>139</v>
      </c>
      <c r="N694" t="s">
        <v>1678</v>
      </c>
      <c r="O694" t="s">
        <v>1661</v>
      </c>
      <c r="P694">
        <v>0</v>
      </c>
      <c r="Q694" t="s">
        <v>1665</v>
      </c>
      <c r="R694" t="s">
        <v>1670</v>
      </c>
    </row>
    <row r="695" spans="1:18" x14ac:dyDescent="0.35">
      <c r="A695" t="s">
        <v>1251</v>
      </c>
      <c r="B695" s="19">
        <v>46147</v>
      </c>
      <c r="C695" t="s">
        <v>1252</v>
      </c>
      <c r="D695" t="s">
        <v>588</v>
      </c>
      <c r="E695" t="s">
        <v>197</v>
      </c>
      <c r="F695" t="s">
        <v>17</v>
      </c>
      <c r="G695">
        <v>0.78472222222222221</v>
      </c>
      <c r="H695">
        <v>0.78888888888888886</v>
      </c>
      <c r="I695">
        <v>3</v>
      </c>
      <c r="J695" t="s">
        <v>18</v>
      </c>
      <c r="K695" t="s">
        <v>19</v>
      </c>
      <c r="L695">
        <v>1389</v>
      </c>
      <c r="M695">
        <v>6</v>
      </c>
      <c r="N695" t="s">
        <v>1678</v>
      </c>
      <c r="O695" t="s">
        <v>1661</v>
      </c>
      <c r="P695">
        <v>1</v>
      </c>
      <c r="Q695" t="s">
        <v>1665</v>
      </c>
    </row>
    <row r="696" spans="1:18" x14ac:dyDescent="0.35">
      <c r="A696" t="s">
        <v>1253</v>
      </c>
      <c r="B696" s="19">
        <v>46148</v>
      </c>
      <c r="C696" t="s">
        <v>913</v>
      </c>
      <c r="D696" t="s">
        <v>71</v>
      </c>
      <c r="E696" t="s">
        <v>79</v>
      </c>
      <c r="F696" t="s">
        <v>24</v>
      </c>
      <c r="G696">
        <v>0.3263888888888889</v>
      </c>
      <c r="H696">
        <v>0.36249999999999999</v>
      </c>
      <c r="I696">
        <v>41</v>
      </c>
      <c r="J696" t="s">
        <v>54</v>
      </c>
      <c r="K696" t="s">
        <v>19</v>
      </c>
      <c r="L696">
        <v>606</v>
      </c>
      <c r="M696">
        <v>52</v>
      </c>
      <c r="N696" t="s">
        <v>1678</v>
      </c>
      <c r="O696" t="s">
        <v>1662</v>
      </c>
      <c r="P696">
        <v>0</v>
      </c>
      <c r="Q696" t="s">
        <v>1660</v>
      </c>
      <c r="R696" t="s">
        <v>1657</v>
      </c>
    </row>
    <row r="697" spans="1:18" x14ac:dyDescent="0.35">
      <c r="A697" t="s">
        <v>1254</v>
      </c>
      <c r="B697" s="19">
        <v>46148</v>
      </c>
      <c r="C697" t="s">
        <v>577</v>
      </c>
      <c r="D697" t="s">
        <v>1295</v>
      </c>
      <c r="E697" t="s">
        <v>197</v>
      </c>
      <c r="F697" t="s">
        <v>24</v>
      </c>
      <c r="G697">
        <v>0.51736111111111116</v>
      </c>
      <c r="I697">
        <v>32</v>
      </c>
      <c r="J697" t="s">
        <v>54</v>
      </c>
      <c r="K697" t="s">
        <v>19</v>
      </c>
      <c r="L697">
        <v>2580</v>
      </c>
      <c r="M697">
        <v>28</v>
      </c>
      <c r="N697" t="s">
        <v>1678</v>
      </c>
      <c r="O697" t="s">
        <v>1662</v>
      </c>
      <c r="P697">
        <v>0</v>
      </c>
      <c r="Q697" t="s">
        <v>1663</v>
      </c>
      <c r="R697" t="s">
        <v>1657</v>
      </c>
    </row>
    <row r="698" spans="1:18" x14ac:dyDescent="0.35">
      <c r="A698" t="s">
        <v>1255</v>
      </c>
      <c r="B698" s="19">
        <v>46148</v>
      </c>
      <c r="C698" t="s">
        <v>1113</v>
      </c>
      <c r="D698" t="s">
        <v>226</v>
      </c>
      <c r="E698" t="s">
        <v>413</v>
      </c>
      <c r="F698" t="s">
        <v>17</v>
      </c>
      <c r="G698">
        <v>0.61111111111111116</v>
      </c>
      <c r="H698">
        <v>0.60972222222222228</v>
      </c>
      <c r="I698">
        <v>-12</v>
      </c>
      <c r="J698" t="s">
        <v>18</v>
      </c>
      <c r="K698" t="s">
        <v>19</v>
      </c>
      <c r="L698">
        <v>861</v>
      </c>
      <c r="M698">
        <v>-2</v>
      </c>
      <c r="N698" t="s">
        <v>1678</v>
      </c>
      <c r="O698" t="s">
        <v>1662</v>
      </c>
      <c r="P698">
        <v>1</v>
      </c>
      <c r="Q698" t="s">
        <v>1663</v>
      </c>
    </row>
    <row r="699" spans="1:18" x14ac:dyDescent="0.35">
      <c r="A699" t="s">
        <v>1256</v>
      </c>
      <c r="B699" s="19">
        <v>46148</v>
      </c>
      <c r="C699" t="s">
        <v>1257</v>
      </c>
      <c r="D699" t="s">
        <v>588</v>
      </c>
      <c r="E699" t="s">
        <v>79</v>
      </c>
      <c r="F699" t="s">
        <v>17</v>
      </c>
      <c r="G699">
        <v>0.63888888888888884</v>
      </c>
      <c r="H699">
        <v>0.66597222222222219</v>
      </c>
      <c r="J699" t="s">
        <v>60</v>
      </c>
      <c r="K699" t="s">
        <v>19</v>
      </c>
      <c r="L699">
        <v>730</v>
      </c>
      <c r="M699">
        <v>39</v>
      </c>
      <c r="N699" t="s">
        <v>1678</v>
      </c>
      <c r="O699" t="s">
        <v>1662</v>
      </c>
      <c r="Q699" t="s">
        <v>1663</v>
      </c>
      <c r="R699" t="s">
        <v>1657</v>
      </c>
    </row>
    <row r="700" spans="1:18" x14ac:dyDescent="0.35">
      <c r="A700" t="s">
        <v>1258</v>
      </c>
      <c r="B700" s="19">
        <v>46149</v>
      </c>
      <c r="C700" t="s">
        <v>1259</v>
      </c>
      <c r="D700" t="s">
        <v>1171</v>
      </c>
      <c r="E700" t="s">
        <v>546</v>
      </c>
      <c r="F700" t="s">
        <v>24</v>
      </c>
      <c r="G700">
        <v>0.31944444444444442</v>
      </c>
      <c r="H700">
        <v>0.32500000000000001</v>
      </c>
      <c r="I700">
        <v>5</v>
      </c>
      <c r="J700" t="s">
        <v>18</v>
      </c>
      <c r="K700" t="s">
        <v>19</v>
      </c>
      <c r="L700">
        <v>256</v>
      </c>
      <c r="M700">
        <v>8</v>
      </c>
      <c r="N700" t="s">
        <v>1678</v>
      </c>
      <c r="O700" t="s">
        <v>1664</v>
      </c>
      <c r="P700">
        <v>1</v>
      </c>
      <c r="Q700" t="s">
        <v>1660</v>
      </c>
    </row>
    <row r="701" spans="1:18" x14ac:dyDescent="0.35">
      <c r="A701" t="s">
        <v>1260</v>
      </c>
      <c r="B701" s="19">
        <v>46149</v>
      </c>
      <c r="C701" t="s">
        <v>1261</v>
      </c>
      <c r="D701" t="s">
        <v>413</v>
      </c>
      <c r="E701" t="s">
        <v>226</v>
      </c>
      <c r="F701" t="s">
        <v>38</v>
      </c>
      <c r="G701">
        <v>0.36805555555555558</v>
      </c>
      <c r="H701">
        <v>0.36319444444444438</v>
      </c>
      <c r="I701">
        <v>-3</v>
      </c>
      <c r="J701" t="s">
        <v>18</v>
      </c>
      <c r="K701" t="s">
        <v>19</v>
      </c>
      <c r="L701">
        <v>861</v>
      </c>
      <c r="M701">
        <v>-7</v>
      </c>
      <c r="N701" t="s">
        <v>1678</v>
      </c>
      <c r="O701" t="s">
        <v>1664</v>
      </c>
      <c r="P701">
        <v>1</v>
      </c>
      <c r="Q701" t="s">
        <v>1660</v>
      </c>
    </row>
    <row r="702" spans="1:18" x14ac:dyDescent="0.35">
      <c r="A702" t="s">
        <v>1262</v>
      </c>
      <c r="B702" s="19">
        <v>46149</v>
      </c>
      <c r="C702" t="s">
        <v>770</v>
      </c>
      <c r="D702" t="s">
        <v>588</v>
      </c>
      <c r="E702" t="s">
        <v>226</v>
      </c>
      <c r="F702" t="s">
        <v>17</v>
      </c>
      <c r="G702">
        <v>0.64236111111111116</v>
      </c>
      <c r="H702">
        <v>0.64166666666666672</v>
      </c>
      <c r="I702">
        <v>-9</v>
      </c>
      <c r="J702" t="s">
        <v>18</v>
      </c>
      <c r="K702" t="s">
        <v>19</v>
      </c>
      <c r="L702">
        <v>641</v>
      </c>
      <c r="M702">
        <v>-1</v>
      </c>
      <c r="N702" t="s">
        <v>1678</v>
      </c>
      <c r="O702" t="s">
        <v>1664</v>
      </c>
      <c r="P702">
        <v>1</v>
      </c>
      <c r="Q702" t="s">
        <v>1663</v>
      </c>
    </row>
    <row r="703" spans="1:18" x14ac:dyDescent="0.35">
      <c r="A703" t="s">
        <v>1263</v>
      </c>
      <c r="B703" s="19">
        <v>46149</v>
      </c>
      <c r="C703" t="s">
        <v>422</v>
      </c>
      <c r="D703" t="s">
        <v>202</v>
      </c>
      <c r="E703" t="s">
        <v>71</v>
      </c>
      <c r="F703" t="s">
        <v>38</v>
      </c>
      <c r="G703">
        <v>0.65277777777777779</v>
      </c>
      <c r="H703">
        <v>0.66111111111111109</v>
      </c>
      <c r="I703">
        <v>5</v>
      </c>
      <c r="J703" t="s">
        <v>18</v>
      </c>
      <c r="K703" t="s">
        <v>19</v>
      </c>
      <c r="L703">
        <v>1199</v>
      </c>
      <c r="M703">
        <v>12</v>
      </c>
      <c r="N703" t="s">
        <v>1678</v>
      </c>
      <c r="O703" t="s">
        <v>1664</v>
      </c>
      <c r="P703">
        <v>1</v>
      </c>
      <c r="Q703" t="s">
        <v>1663</v>
      </c>
    </row>
    <row r="704" spans="1:18" x14ac:dyDescent="0.35">
      <c r="A704" t="s">
        <v>1264</v>
      </c>
      <c r="B704" s="19">
        <v>46150</v>
      </c>
      <c r="C704" t="s">
        <v>1225</v>
      </c>
      <c r="D704" t="s">
        <v>1295</v>
      </c>
      <c r="E704" t="s">
        <v>226</v>
      </c>
      <c r="F704" t="s">
        <v>17</v>
      </c>
      <c r="G704">
        <v>0.59027777777777779</v>
      </c>
      <c r="H704">
        <v>0.58680555555555558</v>
      </c>
      <c r="I704">
        <v>-4</v>
      </c>
      <c r="J704" t="s">
        <v>18</v>
      </c>
      <c r="K704" t="s">
        <v>19</v>
      </c>
      <c r="L704">
        <v>965</v>
      </c>
      <c r="M704">
        <v>-5</v>
      </c>
      <c r="N704" t="s">
        <v>1678</v>
      </c>
      <c r="O704" t="s">
        <v>1666</v>
      </c>
      <c r="P704">
        <v>1</v>
      </c>
      <c r="Q704" t="s">
        <v>1663</v>
      </c>
    </row>
    <row r="705" spans="1:18" x14ac:dyDescent="0.35">
      <c r="A705" t="s">
        <v>1265</v>
      </c>
      <c r="B705" s="19">
        <v>46150</v>
      </c>
      <c r="C705" t="s">
        <v>835</v>
      </c>
      <c r="D705" t="s">
        <v>1295</v>
      </c>
      <c r="E705" t="s">
        <v>79</v>
      </c>
      <c r="F705" t="s">
        <v>17</v>
      </c>
      <c r="G705">
        <v>0.67013888888888884</v>
      </c>
      <c r="H705">
        <v>0.6645833333333333</v>
      </c>
      <c r="I705">
        <v>1</v>
      </c>
      <c r="J705" t="s">
        <v>18</v>
      </c>
      <c r="K705" t="s">
        <v>19</v>
      </c>
      <c r="L705">
        <v>2134</v>
      </c>
      <c r="M705">
        <v>-8</v>
      </c>
      <c r="N705" t="s">
        <v>1678</v>
      </c>
      <c r="O705" t="s">
        <v>1666</v>
      </c>
      <c r="P705">
        <v>1</v>
      </c>
      <c r="Q705" t="s">
        <v>1663</v>
      </c>
    </row>
    <row r="706" spans="1:18" x14ac:dyDescent="0.35">
      <c r="A706" t="s">
        <v>1266</v>
      </c>
      <c r="B706" s="19">
        <v>46151</v>
      </c>
      <c r="C706" t="s">
        <v>670</v>
      </c>
      <c r="D706" t="s">
        <v>197</v>
      </c>
      <c r="E706" t="s">
        <v>588</v>
      </c>
      <c r="F706" t="s">
        <v>17</v>
      </c>
      <c r="G706">
        <v>0.42708333333333331</v>
      </c>
      <c r="H706">
        <v>0.43402777777777779</v>
      </c>
      <c r="I706">
        <v>13</v>
      </c>
      <c r="J706" t="s">
        <v>18</v>
      </c>
      <c r="K706" t="s">
        <v>19</v>
      </c>
      <c r="L706">
        <v>1389</v>
      </c>
      <c r="M706">
        <v>10</v>
      </c>
      <c r="N706" t="s">
        <v>1678</v>
      </c>
      <c r="O706" t="s">
        <v>1667</v>
      </c>
      <c r="P706">
        <v>1</v>
      </c>
      <c r="Q706" t="s">
        <v>1660</v>
      </c>
    </row>
    <row r="707" spans="1:18" x14ac:dyDescent="0.35">
      <c r="A707" t="s">
        <v>1267</v>
      </c>
      <c r="B707" s="19">
        <v>46151</v>
      </c>
      <c r="C707" t="s">
        <v>665</v>
      </c>
      <c r="D707" t="s">
        <v>1549</v>
      </c>
      <c r="E707" t="s">
        <v>588</v>
      </c>
      <c r="F707" t="s">
        <v>17</v>
      </c>
      <c r="G707">
        <v>0.61111111111111116</v>
      </c>
      <c r="H707">
        <v>0.60763888888888884</v>
      </c>
      <c r="I707">
        <v>2</v>
      </c>
      <c r="J707" t="s">
        <v>18</v>
      </c>
      <c r="K707" t="s">
        <v>19</v>
      </c>
      <c r="L707">
        <v>1559</v>
      </c>
      <c r="M707">
        <v>-5</v>
      </c>
      <c r="N707" t="s">
        <v>1678</v>
      </c>
      <c r="O707" t="s">
        <v>1667</v>
      </c>
      <c r="P707">
        <v>1</v>
      </c>
      <c r="Q707" t="s">
        <v>1663</v>
      </c>
    </row>
    <row r="708" spans="1:18" x14ac:dyDescent="0.35">
      <c r="A708" t="s">
        <v>1268</v>
      </c>
      <c r="B708" s="19">
        <v>46151</v>
      </c>
      <c r="C708" t="s">
        <v>859</v>
      </c>
      <c r="D708" t="s">
        <v>202</v>
      </c>
      <c r="E708" t="s">
        <v>588</v>
      </c>
      <c r="F708" t="s">
        <v>17</v>
      </c>
      <c r="G708">
        <v>0.70833333333333337</v>
      </c>
      <c r="H708">
        <v>0.73541666666666672</v>
      </c>
      <c r="I708">
        <v>41</v>
      </c>
      <c r="J708" t="s">
        <v>54</v>
      </c>
      <c r="K708" t="s">
        <v>19</v>
      </c>
      <c r="L708">
        <v>1120</v>
      </c>
      <c r="M708">
        <v>39</v>
      </c>
      <c r="N708" t="s">
        <v>1678</v>
      </c>
      <c r="O708" t="s">
        <v>1667</v>
      </c>
      <c r="P708">
        <v>0</v>
      </c>
      <c r="Q708" t="s">
        <v>1665</v>
      </c>
      <c r="R708" t="s">
        <v>1657</v>
      </c>
    </row>
    <row r="709" spans="1:18" x14ac:dyDescent="0.35">
      <c r="A709" t="s">
        <v>1269</v>
      </c>
      <c r="B709" s="19">
        <v>46152</v>
      </c>
      <c r="C709" t="s">
        <v>889</v>
      </c>
      <c r="D709" t="s">
        <v>1549</v>
      </c>
      <c r="E709" t="s">
        <v>1295</v>
      </c>
      <c r="F709" t="s">
        <v>24</v>
      </c>
      <c r="G709">
        <v>0.30208333333333331</v>
      </c>
      <c r="H709">
        <v>0.29722222222222222</v>
      </c>
      <c r="I709">
        <v>-14</v>
      </c>
      <c r="J709" t="s">
        <v>18</v>
      </c>
      <c r="K709" t="s">
        <v>19</v>
      </c>
      <c r="L709">
        <v>2698</v>
      </c>
      <c r="M709">
        <v>-7</v>
      </c>
      <c r="N709" t="s">
        <v>1678</v>
      </c>
      <c r="O709" t="s">
        <v>1668</v>
      </c>
      <c r="P709">
        <v>1</v>
      </c>
      <c r="Q709" t="s">
        <v>1660</v>
      </c>
    </row>
    <row r="710" spans="1:18" x14ac:dyDescent="0.35">
      <c r="A710" t="s">
        <v>1270</v>
      </c>
      <c r="B710" s="19">
        <v>46152</v>
      </c>
      <c r="C710" t="s">
        <v>355</v>
      </c>
      <c r="D710" t="s">
        <v>71</v>
      </c>
      <c r="E710" t="s">
        <v>1549</v>
      </c>
      <c r="F710" t="s">
        <v>38</v>
      </c>
      <c r="G710">
        <v>0.40972222222222221</v>
      </c>
      <c r="H710">
        <v>0.40694444444444439</v>
      </c>
      <c r="I710">
        <v>-6</v>
      </c>
      <c r="J710" t="s">
        <v>18</v>
      </c>
      <c r="K710" t="s">
        <v>19</v>
      </c>
      <c r="L710">
        <v>864</v>
      </c>
      <c r="M710">
        <v>-4</v>
      </c>
      <c r="N710" t="s">
        <v>1678</v>
      </c>
      <c r="O710" t="s">
        <v>1668</v>
      </c>
      <c r="P710">
        <v>1</v>
      </c>
      <c r="Q710" t="s">
        <v>1660</v>
      </c>
    </row>
    <row r="711" spans="1:18" x14ac:dyDescent="0.35">
      <c r="A711" t="s">
        <v>1271</v>
      </c>
      <c r="B711" s="19">
        <v>46152</v>
      </c>
      <c r="C711" t="s">
        <v>1272</v>
      </c>
      <c r="D711" t="s">
        <v>226</v>
      </c>
      <c r="E711" t="s">
        <v>588</v>
      </c>
      <c r="F711" t="s">
        <v>17</v>
      </c>
      <c r="G711">
        <v>0.63888888888888884</v>
      </c>
      <c r="H711">
        <v>0.66319444444444442</v>
      </c>
      <c r="I711">
        <v>36</v>
      </c>
      <c r="J711" t="s">
        <v>60</v>
      </c>
      <c r="K711" t="s">
        <v>19</v>
      </c>
      <c r="L711">
        <v>641</v>
      </c>
      <c r="M711">
        <v>35</v>
      </c>
      <c r="N711" t="s">
        <v>1678</v>
      </c>
      <c r="O711" t="s">
        <v>1668</v>
      </c>
      <c r="P711">
        <v>0</v>
      </c>
      <c r="Q711" t="s">
        <v>1663</v>
      </c>
      <c r="R711" t="s">
        <v>1657</v>
      </c>
    </row>
    <row r="712" spans="1:18" x14ac:dyDescent="0.35">
      <c r="A712" t="s">
        <v>1273</v>
      </c>
      <c r="B712" s="19">
        <v>46153</v>
      </c>
      <c r="C712" t="s">
        <v>1274</v>
      </c>
      <c r="D712" t="s">
        <v>197</v>
      </c>
      <c r="E712" t="s">
        <v>413</v>
      </c>
      <c r="F712" t="s">
        <v>24</v>
      </c>
      <c r="G712">
        <v>0.29166666666666669</v>
      </c>
      <c r="H712">
        <v>0.31180555555555561</v>
      </c>
      <c r="I712">
        <v>32</v>
      </c>
      <c r="J712" t="s">
        <v>54</v>
      </c>
      <c r="K712" t="s">
        <v>19</v>
      </c>
      <c r="L712">
        <v>2470</v>
      </c>
      <c r="M712">
        <v>29</v>
      </c>
      <c r="N712" t="s">
        <v>1678</v>
      </c>
      <c r="O712" t="s">
        <v>1659</v>
      </c>
      <c r="P712">
        <v>0</v>
      </c>
      <c r="Q712" t="s">
        <v>1660</v>
      </c>
      <c r="R712" t="s">
        <v>1657</v>
      </c>
    </row>
    <row r="713" spans="1:18" x14ac:dyDescent="0.35">
      <c r="A713" t="s">
        <v>1275</v>
      </c>
      <c r="B713" s="19">
        <v>46153</v>
      </c>
      <c r="C713" t="s">
        <v>454</v>
      </c>
      <c r="D713" t="s">
        <v>413</v>
      </c>
      <c r="E713" t="s">
        <v>79</v>
      </c>
      <c r="F713" t="s">
        <v>17</v>
      </c>
      <c r="G713">
        <v>0.61111111111111116</v>
      </c>
      <c r="H713">
        <v>0.6069444444444444</v>
      </c>
      <c r="I713">
        <v>-11</v>
      </c>
      <c r="J713" t="s">
        <v>18</v>
      </c>
      <c r="K713" t="s">
        <v>19</v>
      </c>
      <c r="L713">
        <v>1942</v>
      </c>
      <c r="M713">
        <v>-6</v>
      </c>
      <c r="N713" t="s">
        <v>1678</v>
      </c>
      <c r="O713" t="s">
        <v>1659</v>
      </c>
      <c r="P713">
        <v>1</v>
      </c>
      <c r="Q713" t="s">
        <v>1663</v>
      </c>
    </row>
    <row r="714" spans="1:18" x14ac:dyDescent="0.35">
      <c r="A714" t="s">
        <v>1276</v>
      </c>
      <c r="B714" s="19">
        <v>46154</v>
      </c>
      <c r="C714" t="s">
        <v>723</v>
      </c>
      <c r="D714" t="s">
        <v>202</v>
      </c>
      <c r="E714" t="s">
        <v>1171</v>
      </c>
      <c r="F714" t="s">
        <v>17</v>
      </c>
      <c r="G714">
        <v>0.43055555555555558</v>
      </c>
      <c r="H714">
        <v>0.42916666666666659</v>
      </c>
      <c r="I714">
        <v>-8</v>
      </c>
      <c r="J714" t="s">
        <v>18</v>
      </c>
      <c r="K714" t="s">
        <v>19</v>
      </c>
      <c r="L714">
        <v>1969</v>
      </c>
      <c r="M714">
        <v>-2</v>
      </c>
      <c r="N714" t="s">
        <v>1678</v>
      </c>
      <c r="O714" t="s">
        <v>1661</v>
      </c>
      <c r="P714">
        <v>1</v>
      </c>
      <c r="Q714" t="s">
        <v>1660</v>
      </c>
    </row>
    <row r="715" spans="1:18" x14ac:dyDescent="0.35">
      <c r="A715" t="s">
        <v>1277</v>
      </c>
      <c r="B715" s="19">
        <v>46154</v>
      </c>
      <c r="C715" t="s">
        <v>1278</v>
      </c>
      <c r="D715" t="s">
        <v>202</v>
      </c>
      <c r="E715" t="s">
        <v>1171</v>
      </c>
      <c r="F715" t="s">
        <v>24</v>
      </c>
      <c r="G715">
        <v>0.64583333333333337</v>
      </c>
      <c r="I715">
        <v>-4</v>
      </c>
      <c r="J715" t="s">
        <v>18</v>
      </c>
      <c r="K715" t="s">
        <v>19</v>
      </c>
      <c r="L715">
        <v>1969</v>
      </c>
      <c r="M715">
        <v>-2</v>
      </c>
      <c r="N715" t="s">
        <v>1678</v>
      </c>
      <c r="O715" t="s">
        <v>1661</v>
      </c>
      <c r="P715">
        <v>1</v>
      </c>
      <c r="Q715" t="s">
        <v>1663</v>
      </c>
    </row>
    <row r="716" spans="1:18" x14ac:dyDescent="0.35">
      <c r="A716" t="s">
        <v>1279</v>
      </c>
      <c r="B716" s="19">
        <v>46155</v>
      </c>
      <c r="C716" t="s">
        <v>146</v>
      </c>
      <c r="D716" t="s">
        <v>84</v>
      </c>
      <c r="E716" t="s">
        <v>1549</v>
      </c>
      <c r="F716" t="s">
        <v>17</v>
      </c>
      <c r="G716">
        <v>0.53472222222222221</v>
      </c>
      <c r="H716">
        <v>0.55625000000000002</v>
      </c>
      <c r="I716">
        <v>26</v>
      </c>
      <c r="J716" t="s">
        <v>60</v>
      </c>
      <c r="K716" t="s">
        <v>19</v>
      </c>
      <c r="L716">
        <v>2489</v>
      </c>
      <c r="M716">
        <v>31</v>
      </c>
      <c r="N716" t="s">
        <v>1678</v>
      </c>
      <c r="O716" t="s">
        <v>1662</v>
      </c>
      <c r="P716">
        <v>0</v>
      </c>
      <c r="Q716" t="s">
        <v>1663</v>
      </c>
      <c r="R716" t="s">
        <v>1657</v>
      </c>
    </row>
    <row r="717" spans="1:18" x14ac:dyDescent="0.35">
      <c r="A717" t="s">
        <v>1280</v>
      </c>
      <c r="B717" s="19">
        <v>46155</v>
      </c>
      <c r="C717" t="s">
        <v>768</v>
      </c>
      <c r="D717" t="s">
        <v>226</v>
      </c>
      <c r="E717" t="s">
        <v>84</v>
      </c>
      <c r="F717" t="s">
        <v>24</v>
      </c>
      <c r="G717">
        <v>0.73958333333333337</v>
      </c>
      <c r="H717">
        <v>0.74652777777777779</v>
      </c>
      <c r="I717">
        <v>10</v>
      </c>
      <c r="J717" t="s">
        <v>18</v>
      </c>
      <c r="K717" t="s">
        <v>19</v>
      </c>
      <c r="L717">
        <v>1023</v>
      </c>
      <c r="M717">
        <v>10</v>
      </c>
      <c r="N717" t="s">
        <v>1678</v>
      </c>
      <c r="O717" t="s">
        <v>1662</v>
      </c>
      <c r="P717">
        <v>1</v>
      </c>
      <c r="Q717" t="s">
        <v>1665</v>
      </c>
    </row>
    <row r="718" spans="1:18" x14ac:dyDescent="0.35">
      <c r="A718" t="s">
        <v>1281</v>
      </c>
      <c r="B718" s="19">
        <v>46155</v>
      </c>
      <c r="C718" t="s">
        <v>1060</v>
      </c>
      <c r="D718" t="s">
        <v>226</v>
      </c>
      <c r="E718" t="s">
        <v>197</v>
      </c>
      <c r="F718" t="s">
        <v>38</v>
      </c>
      <c r="G718">
        <v>0.74652777777777779</v>
      </c>
      <c r="H718">
        <v>0.75277777777777777</v>
      </c>
      <c r="I718">
        <v>15</v>
      </c>
      <c r="J718" t="s">
        <v>18</v>
      </c>
      <c r="K718" t="s">
        <v>19</v>
      </c>
      <c r="L718">
        <v>1622</v>
      </c>
      <c r="M718">
        <v>9</v>
      </c>
      <c r="N718" t="s">
        <v>1678</v>
      </c>
      <c r="O718" t="s">
        <v>1662</v>
      </c>
      <c r="P718">
        <v>1</v>
      </c>
      <c r="Q718" t="s">
        <v>1665</v>
      </c>
    </row>
    <row r="719" spans="1:18" x14ac:dyDescent="0.35">
      <c r="A719" t="s">
        <v>1282</v>
      </c>
      <c r="B719" s="19">
        <v>46156</v>
      </c>
      <c r="C719" t="s">
        <v>1283</v>
      </c>
      <c r="D719" t="s">
        <v>71</v>
      </c>
      <c r="E719" t="s">
        <v>546</v>
      </c>
      <c r="F719" t="s">
        <v>28</v>
      </c>
      <c r="G719">
        <v>0.39583333333333331</v>
      </c>
      <c r="H719">
        <v>0.39791666666666659</v>
      </c>
      <c r="I719">
        <v>-5</v>
      </c>
      <c r="J719" t="s">
        <v>18</v>
      </c>
      <c r="K719" t="s">
        <v>19</v>
      </c>
      <c r="L719">
        <v>1511</v>
      </c>
      <c r="M719">
        <v>3</v>
      </c>
      <c r="N719" t="s">
        <v>1678</v>
      </c>
      <c r="O719" t="s">
        <v>1664</v>
      </c>
      <c r="P719">
        <v>1</v>
      </c>
      <c r="Q719" t="s">
        <v>1660</v>
      </c>
    </row>
    <row r="720" spans="1:18" x14ac:dyDescent="0.35">
      <c r="A720" t="s">
        <v>1284</v>
      </c>
      <c r="B720" s="19">
        <v>46157</v>
      </c>
      <c r="C720" t="s">
        <v>1285</v>
      </c>
      <c r="D720" t="s">
        <v>588</v>
      </c>
      <c r="E720" t="s">
        <v>1295</v>
      </c>
      <c r="F720" t="s">
        <v>28</v>
      </c>
      <c r="G720">
        <v>0.5625</v>
      </c>
      <c r="H720">
        <v>0.56111111111111112</v>
      </c>
      <c r="I720">
        <v>0</v>
      </c>
      <c r="J720" t="s">
        <v>18</v>
      </c>
      <c r="K720" t="s">
        <v>19</v>
      </c>
      <c r="L720">
        <v>1462</v>
      </c>
      <c r="M720">
        <v>-2</v>
      </c>
      <c r="N720" t="s">
        <v>1678</v>
      </c>
      <c r="O720" t="s">
        <v>1666</v>
      </c>
      <c r="P720">
        <v>1</v>
      </c>
      <c r="Q720" t="s">
        <v>1663</v>
      </c>
    </row>
    <row r="721" spans="1:18" x14ac:dyDescent="0.35">
      <c r="A721" t="s">
        <v>1286</v>
      </c>
      <c r="B721" s="19">
        <v>46157</v>
      </c>
      <c r="C721" t="s">
        <v>1287</v>
      </c>
      <c r="D721" t="s">
        <v>588</v>
      </c>
      <c r="E721" t="s">
        <v>546</v>
      </c>
      <c r="F721" t="s">
        <v>17</v>
      </c>
      <c r="G721">
        <v>0.66319444444444442</v>
      </c>
      <c r="H721">
        <v>0.67013888888888884</v>
      </c>
      <c r="I721">
        <v>7</v>
      </c>
      <c r="J721" t="s">
        <v>18</v>
      </c>
      <c r="K721" t="s">
        <v>19</v>
      </c>
      <c r="L721">
        <v>1053</v>
      </c>
      <c r="M721">
        <v>10</v>
      </c>
      <c r="N721" t="s">
        <v>1678</v>
      </c>
      <c r="O721" t="s">
        <v>1666</v>
      </c>
      <c r="P721">
        <v>1</v>
      </c>
      <c r="Q721" t="s">
        <v>1663</v>
      </c>
    </row>
    <row r="722" spans="1:18" x14ac:dyDescent="0.35">
      <c r="A722" t="s">
        <v>1288</v>
      </c>
      <c r="B722" s="19">
        <v>46158</v>
      </c>
      <c r="C722" t="s">
        <v>171</v>
      </c>
      <c r="D722" t="s">
        <v>79</v>
      </c>
      <c r="E722" t="s">
        <v>71</v>
      </c>
      <c r="F722" t="s">
        <v>24</v>
      </c>
      <c r="G722">
        <v>0.4513888888888889</v>
      </c>
      <c r="H722">
        <v>0.45347222222222222</v>
      </c>
      <c r="I722">
        <v>3</v>
      </c>
      <c r="J722" t="s">
        <v>18</v>
      </c>
      <c r="K722" t="s">
        <v>19</v>
      </c>
      <c r="L722">
        <v>606</v>
      </c>
      <c r="M722">
        <v>3</v>
      </c>
      <c r="N722" t="s">
        <v>1678</v>
      </c>
      <c r="O722" t="s">
        <v>1667</v>
      </c>
      <c r="P722">
        <v>1</v>
      </c>
      <c r="Q722" t="s">
        <v>1660</v>
      </c>
    </row>
    <row r="723" spans="1:18" x14ac:dyDescent="0.35">
      <c r="A723" t="s">
        <v>1289</v>
      </c>
      <c r="B723" s="19">
        <v>46158</v>
      </c>
      <c r="C723" t="s">
        <v>383</v>
      </c>
      <c r="D723" t="s">
        <v>71</v>
      </c>
      <c r="E723" t="s">
        <v>84</v>
      </c>
      <c r="F723" t="s">
        <v>17</v>
      </c>
      <c r="G723">
        <v>0.67361111111111116</v>
      </c>
      <c r="H723">
        <v>0.68472222222222223</v>
      </c>
      <c r="I723">
        <v>13</v>
      </c>
      <c r="J723" t="s">
        <v>54</v>
      </c>
      <c r="K723" t="s">
        <v>19</v>
      </c>
      <c r="L723">
        <v>1717</v>
      </c>
      <c r="M723">
        <v>16</v>
      </c>
      <c r="N723" t="s">
        <v>1678</v>
      </c>
      <c r="O723" t="s">
        <v>1667</v>
      </c>
      <c r="P723">
        <v>1</v>
      </c>
      <c r="Q723" t="s">
        <v>1663</v>
      </c>
      <c r="R723" t="s">
        <v>1657</v>
      </c>
    </row>
    <row r="724" spans="1:18" x14ac:dyDescent="0.35">
      <c r="A724" t="s">
        <v>1290</v>
      </c>
      <c r="B724" s="19">
        <v>46160</v>
      </c>
      <c r="C724" t="s">
        <v>430</v>
      </c>
      <c r="D724" t="s">
        <v>1549</v>
      </c>
      <c r="E724" t="s">
        <v>197</v>
      </c>
      <c r="F724" t="s">
        <v>17</v>
      </c>
      <c r="G724">
        <v>0.3923611111111111</v>
      </c>
      <c r="H724">
        <v>0.38750000000000001</v>
      </c>
      <c r="I724">
        <v>-11</v>
      </c>
      <c r="J724" t="s">
        <v>18</v>
      </c>
      <c r="K724" t="s">
        <v>19</v>
      </c>
      <c r="L724">
        <v>186</v>
      </c>
      <c r="M724">
        <v>-7</v>
      </c>
      <c r="N724" t="s">
        <v>1678</v>
      </c>
      <c r="O724" t="s">
        <v>1659</v>
      </c>
      <c r="P724">
        <v>1</v>
      </c>
      <c r="Q724" t="s">
        <v>1660</v>
      </c>
    </row>
    <row r="725" spans="1:18" x14ac:dyDescent="0.35">
      <c r="A725" t="s">
        <v>1291</v>
      </c>
      <c r="B725" s="19">
        <v>46160</v>
      </c>
      <c r="C725" t="s">
        <v>723</v>
      </c>
      <c r="D725" t="s">
        <v>197</v>
      </c>
      <c r="E725" t="s">
        <v>588</v>
      </c>
      <c r="F725" t="s">
        <v>17</v>
      </c>
      <c r="G725">
        <v>0.69444444444444442</v>
      </c>
      <c r="H725">
        <v>0.69097222222222221</v>
      </c>
      <c r="I725">
        <v>3</v>
      </c>
      <c r="J725" t="s">
        <v>18</v>
      </c>
      <c r="K725" t="s">
        <v>19</v>
      </c>
      <c r="L725">
        <v>1389</v>
      </c>
      <c r="M725">
        <v>-5</v>
      </c>
      <c r="N725" t="s">
        <v>1678</v>
      </c>
      <c r="O725" t="s">
        <v>1659</v>
      </c>
      <c r="P725">
        <v>1</v>
      </c>
      <c r="Q725" t="s">
        <v>1663</v>
      </c>
    </row>
    <row r="726" spans="1:18" x14ac:dyDescent="0.35">
      <c r="A726" t="s">
        <v>1292</v>
      </c>
      <c r="B726" s="19">
        <v>46160</v>
      </c>
      <c r="C726" t="s">
        <v>228</v>
      </c>
      <c r="D726" t="s">
        <v>202</v>
      </c>
      <c r="E726" t="s">
        <v>71</v>
      </c>
      <c r="F726" t="s">
        <v>17</v>
      </c>
      <c r="G726">
        <v>0.85416666666666663</v>
      </c>
      <c r="H726">
        <v>0.90277777777777779</v>
      </c>
      <c r="I726">
        <v>61</v>
      </c>
      <c r="J726" t="s">
        <v>60</v>
      </c>
      <c r="K726" t="s">
        <v>19</v>
      </c>
      <c r="L726">
        <v>1199</v>
      </c>
      <c r="M726">
        <v>70</v>
      </c>
      <c r="N726" t="s">
        <v>1678</v>
      </c>
      <c r="O726" t="s">
        <v>1659</v>
      </c>
      <c r="P726">
        <v>0</v>
      </c>
      <c r="Q726" t="s">
        <v>1665</v>
      </c>
      <c r="R726" t="s">
        <v>1657</v>
      </c>
    </row>
    <row r="727" spans="1:18" x14ac:dyDescent="0.35">
      <c r="A727" t="s">
        <v>1293</v>
      </c>
      <c r="B727" s="19">
        <v>46161</v>
      </c>
      <c r="C727" t="s">
        <v>1294</v>
      </c>
      <c r="D727" t="s">
        <v>1295</v>
      </c>
      <c r="E727" t="s">
        <v>588</v>
      </c>
      <c r="F727" t="s">
        <v>28</v>
      </c>
      <c r="G727">
        <v>0.35069444444444442</v>
      </c>
      <c r="H727">
        <v>0.37916666666666671</v>
      </c>
      <c r="I727">
        <v>27</v>
      </c>
      <c r="J727" t="s">
        <v>60</v>
      </c>
      <c r="K727" t="s">
        <v>19</v>
      </c>
      <c r="L727">
        <v>1462</v>
      </c>
      <c r="M727">
        <v>41</v>
      </c>
      <c r="N727" t="s">
        <v>1678</v>
      </c>
      <c r="O727" t="s">
        <v>1661</v>
      </c>
      <c r="P727">
        <v>0</v>
      </c>
      <c r="Q727" t="s">
        <v>1660</v>
      </c>
      <c r="R727" t="s">
        <v>1657</v>
      </c>
    </row>
    <row r="728" spans="1:18" x14ac:dyDescent="0.35">
      <c r="A728" t="s">
        <v>1296</v>
      </c>
      <c r="B728" s="19">
        <v>46161</v>
      </c>
      <c r="C728" t="s">
        <v>986</v>
      </c>
      <c r="D728" t="s">
        <v>1295</v>
      </c>
      <c r="E728" t="s">
        <v>413</v>
      </c>
      <c r="F728" t="s">
        <v>24</v>
      </c>
      <c r="G728">
        <v>0.4236111111111111</v>
      </c>
      <c r="H728">
        <v>0.41805555555555562</v>
      </c>
      <c r="I728">
        <v>1</v>
      </c>
      <c r="J728" t="s">
        <v>18</v>
      </c>
      <c r="K728" t="s">
        <v>19</v>
      </c>
      <c r="L728">
        <v>338</v>
      </c>
      <c r="M728">
        <v>-8</v>
      </c>
      <c r="N728" t="s">
        <v>1678</v>
      </c>
      <c r="O728" t="s">
        <v>1661</v>
      </c>
      <c r="P728">
        <v>1</v>
      </c>
      <c r="Q728" t="s">
        <v>1660</v>
      </c>
    </row>
    <row r="729" spans="1:18" x14ac:dyDescent="0.35">
      <c r="A729" t="s">
        <v>1297</v>
      </c>
      <c r="B729" s="19">
        <v>46161</v>
      </c>
      <c r="C729" t="s">
        <v>412</v>
      </c>
      <c r="D729" t="s">
        <v>588</v>
      </c>
      <c r="E729" t="s">
        <v>71</v>
      </c>
      <c r="F729" t="s">
        <v>17</v>
      </c>
      <c r="G729">
        <v>0.56597222222222221</v>
      </c>
      <c r="H729">
        <v>0.56458333333333333</v>
      </c>
      <c r="I729">
        <v>6</v>
      </c>
      <c r="J729" t="s">
        <v>18</v>
      </c>
      <c r="K729" t="s">
        <v>19</v>
      </c>
      <c r="L729">
        <v>802</v>
      </c>
      <c r="M729">
        <v>-2</v>
      </c>
      <c r="N729" t="s">
        <v>1678</v>
      </c>
      <c r="O729" t="s">
        <v>1661</v>
      </c>
      <c r="P729">
        <v>1</v>
      </c>
      <c r="Q729" t="s">
        <v>1663</v>
      </c>
    </row>
    <row r="730" spans="1:18" x14ac:dyDescent="0.35">
      <c r="A730" t="s">
        <v>1298</v>
      </c>
      <c r="B730" s="19">
        <v>46162</v>
      </c>
      <c r="C730" t="s">
        <v>1299</v>
      </c>
      <c r="D730" t="s">
        <v>71</v>
      </c>
      <c r="E730" t="s">
        <v>1171</v>
      </c>
      <c r="F730" t="s">
        <v>38</v>
      </c>
      <c r="G730">
        <v>0.34722222222222221</v>
      </c>
      <c r="H730">
        <v>0.37569444444444439</v>
      </c>
      <c r="I730">
        <v>39</v>
      </c>
      <c r="J730" t="s">
        <v>54</v>
      </c>
      <c r="K730" t="s">
        <v>19</v>
      </c>
      <c r="L730">
        <v>1438</v>
      </c>
      <c r="M730">
        <v>41</v>
      </c>
      <c r="N730" t="s">
        <v>1678</v>
      </c>
      <c r="O730" t="s">
        <v>1662</v>
      </c>
      <c r="P730">
        <v>0</v>
      </c>
      <c r="Q730" t="s">
        <v>1660</v>
      </c>
      <c r="R730" t="s">
        <v>1657</v>
      </c>
    </row>
    <row r="731" spans="1:18" x14ac:dyDescent="0.35">
      <c r="A731" t="s">
        <v>1300</v>
      </c>
      <c r="B731" s="19">
        <v>46162</v>
      </c>
      <c r="C731" t="s">
        <v>1301</v>
      </c>
      <c r="D731" t="s">
        <v>71</v>
      </c>
      <c r="E731" t="s">
        <v>1295</v>
      </c>
      <c r="F731" t="s">
        <v>38</v>
      </c>
      <c r="G731">
        <v>0.53819444444444442</v>
      </c>
      <c r="H731">
        <v>0.54027777777777775</v>
      </c>
      <c r="I731">
        <v>-5</v>
      </c>
      <c r="J731" t="s">
        <v>18</v>
      </c>
      <c r="K731" t="s">
        <v>19</v>
      </c>
      <c r="L731">
        <v>1842</v>
      </c>
      <c r="M731">
        <v>3</v>
      </c>
      <c r="N731" t="s">
        <v>1678</v>
      </c>
      <c r="O731" t="s">
        <v>1662</v>
      </c>
      <c r="P731">
        <v>1</v>
      </c>
      <c r="Q731" t="s">
        <v>1663</v>
      </c>
    </row>
    <row r="732" spans="1:18" x14ac:dyDescent="0.35">
      <c r="A732" t="s">
        <v>1302</v>
      </c>
      <c r="B732" s="19">
        <v>46163</v>
      </c>
      <c r="C732" t="s">
        <v>1233</v>
      </c>
      <c r="D732" t="s">
        <v>226</v>
      </c>
      <c r="E732" t="s">
        <v>197</v>
      </c>
      <c r="F732" t="s">
        <v>28</v>
      </c>
      <c r="G732">
        <v>0.28819444444444442</v>
      </c>
      <c r="H732">
        <v>0.31944444444444442</v>
      </c>
      <c r="I732">
        <v>31</v>
      </c>
      <c r="J732" t="s">
        <v>54</v>
      </c>
      <c r="K732" t="s">
        <v>19</v>
      </c>
      <c r="L732">
        <v>1622</v>
      </c>
      <c r="M732">
        <v>45</v>
      </c>
      <c r="N732" t="s">
        <v>1678</v>
      </c>
      <c r="O732" t="s">
        <v>1664</v>
      </c>
      <c r="P732">
        <v>0</v>
      </c>
      <c r="Q732" t="s">
        <v>1660</v>
      </c>
      <c r="R732" t="s">
        <v>1657</v>
      </c>
    </row>
    <row r="733" spans="1:18" x14ac:dyDescent="0.35">
      <c r="A733" t="s">
        <v>1303</v>
      </c>
      <c r="B733" s="19">
        <v>46163</v>
      </c>
      <c r="C733" t="s">
        <v>1304</v>
      </c>
      <c r="D733" t="s">
        <v>84</v>
      </c>
      <c r="E733" t="s">
        <v>79</v>
      </c>
      <c r="F733" t="s">
        <v>17</v>
      </c>
      <c r="G733">
        <v>0.30555555555555558</v>
      </c>
      <c r="H733">
        <v>0.32708333333333328</v>
      </c>
      <c r="I733">
        <v>25</v>
      </c>
      <c r="J733" t="s">
        <v>60</v>
      </c>
      <c r="K733" t="s">
        <v>19</v>
      </c>
      <c r="L733">
        <v>2178</v>
      </c>
      <c r="M733">
        <v>31</v>
      </c>
      <c r="N733" t="s">
        <v>1678</v>
      </c>
      <c r="O733" t="s">
        <v>1664</v>
      </c>
      <c r="P733">
        <v>0</v>
      </c>
      <c r="Q733" t="s">
        <v>1660</v>
      </c>
      <c r="R733" t="s">
        <v>1657</v>
      </c>
    </row>
    <row r="734" spans="1:18" x14ac:dyDescent="0.35">
      <c r="A734" t="s">
        <v>1305</v>
      </c>
      <c r="B734" s="19">
        <v>46163</v>
      </c>
      <c r="C734" t="s">
        <v>1019</v>
      </c>
      <c r="D734" t="s">
        <v>71</v>
      </c>
      <c r="E734" t="s">
        <v>588</v>
      </c>
      <c r="F734" t="s">
        <v>24</v>
      </c>
      <c r="G734">
        <v>0.46875</v>
      </c>
      <c r="H734">
        <v>0.47638888888888892</v>
      </c>
      <c r="I734">
        <v>13</v>
      </c>
      <c r="J734" t="s">
        <v>18</v>
      </c>
      <c r="K734" t="s">
        <v>19</v>
      </c>
      <c r="L734">
        <v>802</v>
      </c>
      <c r="M734">
        <v>11</v>
      </c>
      <c r="N734" t="s">
        <v>1678</v>
      </c>
      <c r="O734" t="s">
        <v>1664</v>
      </c>
      <c r="P734">
        <v>1</v>
      </c>
      <c r="Q734" t="s">
        <v>1660</v>
      </c>
    </row>
    <row r="735" spans="1:18" x14ac:dyDescent="0.35">
      <c r="A735" t="s">
        <v>1306</v>
      </c>
      <c r="B735" s="19">
        <v>46163</v>
      </c>
      <c r="C735" t="s">
        <v>1307</v>
      </c>
      <c r="D735" t="s">
        <v>84</v>
      </c>
      <c r="E735" t="s">
        <v>79</v>
      </c>
      <c r="F735" t="s">
        <v>17</v>
      </c>
      <c r="G735">
        <v>0.53472222222222221</v>
      </c>
      <c r="H735">
        <v>0.57499999999999996</v>
      </c>
      <c r="J735" t="s">
        <v>129</v>
      </c>
      <c r="K735" t="s">
        <v>19</v>
      </c>
      <c r="L735">
        <v>2178</v>
      </c>
      <c r="M735">
        <v>58</v>
      </c>
      <c r="N735" t="s">
        <v>1678</v>
      </c>
      <c r="O735" t="s">
        <v>1664</v>
      </c>
      <c r="Q735" t="s">
        <v>1663</v>
      </c>
      <c r="R735" t="s">
        <v>1670</v>
      </c>
    </row>
    <row r="736" spans="1:18" x14ac:dyDescent="0.35">
      <c r="A736" t="s">
        <v>1308</v>
      </c>
      <c r="B736" s="19">
        <v>46163</v>
      </c>
      <c r="C736" t="s">
        <v>470</v>
      </c>
      <c r="D736" t="s">
        <v>71</v>
      </c>
      <c r="E736" t="s">
        <v>588</v>
      </c>
      <c r="F736" t="s">
        <v>28</v>
      </c>
      <c r="G736">
        <v>0.57986111111111116</v>
      </c>
      <c r="H736">
        <v>0.57777777777777772</v>
      </c>
      <c r="I736">
        <v>-5</v>
      </c>
      <c r="J736" t="s">
        <v>18</v>
      </c>
      <c r="K736" t="s">
        <v>19</v>
      </c>
      <c r="L736">
        <v>802</v>
      </c>
      <c r="M736">
        <v>-3</v>
      </c>
      <c r="N736" t="s">
        <v>1678</v>
      </c>
      <c r="O736" t="s">
        <v>1664</v>
      </c>
      <c r="P736">
        <v>1</v>
      </c>
      <c r="Q736" t="s">
        <v>1663</v>
      </c>
    </row>
    <row r="737" spans="1:18" x14ac:dyDescent="0.35">
      <c r="A737" t="s">
        <v>1309</v>
      </c>
      <c r="B737" s="19">
        <v>46163</v>
      </c>
      <c r="C737" t="s">
        <v>361</v>
      </c>
      <c r="D737" t="s">
        <v>197</v>
      </c>
      <c r="E737" t="s">
        <v>1549</v>
      </c>
      <c r="F737" t="s">
        <v>38</v>
      </c>
      <c r="G737">
        <v>0.71527777777777779</v>
      </c>
      <c r="H737">
        <v>0.70972222222222225</v>
      </c>
      <c r="I737">
        <v>-14</v>
      </c>
      <c r="J737" t="s">
        <v>18</v>
      </c>
      <c r="K737" t="s">
        <v>19</v>
      </c>
      <c r="L737">
        <v>186</v>
      </c>
      <c r="M737">
        <v>-8</v>
      </c>
      <c r="N737" t="s">
        <v>1678</v>
      </c>
      <c r="O737" t="s">
        <v>1664</v>
      </c>
      <c r="P737">
        <v>1</v>
      </c>
      <c r="Q737" t="s">
        <v>1665</v>
      </c>
    </row>
    <row r="738" spans="1:18" x14ac:dyDescent="0.35">
      <c r="A738" t="s">
        <v>1310</v>
      </c>
      <c r="B738" s="19">
        <v>46163</v>
      </c>
      <c r="C738" t="s">
        <v>1311</v>
      </c>
      <c r="D738" t="s">
        <v>197</v>
      </c>
      <c r="E738" t="s">
        <v>1295</v>
      </c>
      <c r="F738" t="s">
        <v>17</v>
      </c>
      <c r="G738">
        <v>0.875</v>
      </c>
      <c r="H738">
        <v>0.88055555555555554</v>
      </c>
      <c r="I738">
        <v>4</v>
      </c>
      <c r="J738" t="s">
        <v>18</v>
      </c>
      <c r="K738" t="s">
        <v>19</v>
      </c>
      <c r="L738">
        <v>2580</v>
      </c>
      <c r="M738">
        <v>8</v>
      </c>
      <c r="N738" t="s">
        <v>1678</v>
      </c>
      <c r="O738" t="s">
        <v>1664</v>
      </c>
      <c r="P738">
        <v>1</v>
      </c>
      <c r="Q738" t="s">
        <v>1669</v>
      </c>
    </row>
    <row r="739" spans="1:18" x14ac:dyDescent="0.35">
      <c r="A739" t="s">
        <v>1312</v>
      </c>
      <c r="B739" s="19">
        <v>46165</v>
      </c>
      <c r="C739" t="s">
        <v>1313</v>
      </c>
      <c r="D739" t="s">
        <v>546</v>
      </c>
      <c r="E739" t="s">
        <v>226</v>
      </c>
      <c r="F739" t="s">
        <v>28</v>
      </c>
      <c r="G739">
        <v>0.37847222222222221</v>
      </c>
      <c r="H739">
        <v>0.43472222222222218</v>
      </c>
      <c r="I739">
        <v>70</v>
      </c>
      <c r="J739" t="s">
        <v>54</v>
      </c>
      <c r="K739" t="s">
        <v>19</v>
      </c>
      <c r="L739">
        <v>627</v>
      </c>
      <c r="M739">
        <v>81</v>
      </c>
      <c r="N739" t="s">
        <v>1678</v>
      </c>
      <c r="O739" t="s">
        <v>1667</v>
      </c>
      <c r="P739">
        <v>0</v>
      </c>
      <c r="Q739" t="s">
        <v>1660</v>
      </c>
      <c r="R739" t="s">
        <v>1657</v>
      </c>
    </row>
    <row r="740" spans="1:18" x14ac:dyDescent="0.35">
      <c r="A740" t="s">
        <v>1314</v>
      </c>
      <c r="B740" s="19">
        <v>46165</v>
      </c>
      <c r="C740" t="s">
        <v>1315</v>
      </c>
      <c r="D740" t="s">
        <v>79</v>
      </c>
      <c r="E740" t="s">
        <v>546</v>
      </c>
      <c r="F740" t="s">
        <v>17</v>
      </c>
      <c r="G740">
        <v>0.51041666666666663</v>
      </c>
      <c r="H740">
        <v>0.51249999999999996</v>
      </c>
      <c r="I740">
        <v>-5</v>
      </c>
      <c r="J740" t="s">
        <v>18</v>
      </c>
      <c r="K740" t="s">
        <v>19</v>
      </c>
      <c r="L740">
        <v>1743</v>
      </c>
      <c r="M740">
        <v>3</v>
      </c>
      <c r="N740" t="s">
        <v>1678</v>
      </c>
      <c r="O740" t="s">
        <v>1667</v>
      </c>
      <c r="P740">
        <v>1</v>
      </c>
      <c r="Q740" t="s">
        <v>1663</v>
      </c>
    </row>
    <row r="741" spans="1:18" x14ac:dyDescent="0.35">
      <c r="A741" t="s">
        <v>1316</v>
      </c>
      <c r="B741" s="19">
        <v>46165</v>
      </c>
      <c r="C741" t="s">
        <v>49</v>
      </c>
      <c r="D741" t="s">
        <v>79</v>
      </c>
      <c r="E741" t="s">
        <v>84</v>
      </c>
      <c r="F741" t="s">
        <v>17</v>
      </c>
      <c r="G741">
        <v>0.52430555555555558</v>
      </c>
      <c r="H741">
        <v>0.53611111111111109</v>
      </c>
      <c r="I741">
        <v>21</v>
      </c>
      <c r="J741" t="s">
        <v>54</v>
      </c>
      <c r="K741" t="s">
        <v>19</v>
      </c>
      <c r="L741">
        <v>2178</v>
      </c>
      <c r="M741">
        <v>17</v>
      </c>
      <c r="N741" t="s">
        <v>1678</v>
      </c>
      <c r="O741" t="s">
        <v>1667</v>
      </c>
      <c r="P741">
        <v>0</v>
      </c>
      <c r="Q741" t="s">
        <v>1663</v>
      </c>
      <c r="R741" t="s">
        <v>1657</v>
      </c>
    </row>
    <row r="742" spans="1:18" x14ac:dyDescent="0.35">
      <c r="A742" t="s">
        <v>1317</v>
      </c>
      <c r="B742" s="19">
        <v>46165</v>
      </c>
      <c r="C742" t="s">
        <v>677</v>
      </c>
      <c r="D742" t="s">
        <v>202</v>
      </c>
      <c r="E742" t="s">
        <v>197</v>
      </c>
      <c r="F742" t="s">
        <v>17</v>
      </c>
      <c r="G742">
        <v>0.62152777777777779</v>
      </c>
      <c r="H742">
        <v>0.6166666666666667</v>
      </c>
      <c r="I742">
        <v>1</v>
      </c>
      <c r="J742" t="s">
        <v>18</v>
      </c>
      <c r="K742" t="s">
        <v>19</v>
      </c>
      <c r="L742">
        <v>1092</v>
      </c>
      <c r="M742">
        <v>-7</v>
      </c>
      <c r="N742" t="s">
        <v>1678</v>
      </c>
      <c r="O742" t="s">
        <v>1667</v>
      </c>
      <c r="P742">
        <v>1</v>
      </c>
      <c r="Q742" t="s">
        <v>1663</v>
      </c>
    </row>
    <row r="743" spans="1:18" x14ac:dyDescent="0.35">
      <c r="A743" t="s">
        <v>1318</v>
      </c>
      <c r="B743" s="19">
        <v>46165</v>
      </c>
      <c r="C743" t="s">
        <v>49</v>
      </c>
      <c r="D743" t="s">
        <v>546</v>
      </c>
      <c r="E743" t="s">
        <v>226</v>
      </c>
      <c r="F743" t="s">
        <v>17</v>
      </c>
      <c r="G743">
        <v>0.71180555555555558</v>
      </c>
      <c r="H743">
        <v>0.71736111111111112</v>
      </c>
      <c r="I743">
        <v>15</v>
      </c>
      <c r="J743" t="s">
        <v>18</v>
      </c>
      <c r="K743" t="s">
        <v>19</v>
      </c>
      <c r="L743">
        <v>627</v>
      </c>
      <c r="M743">
        <v>8</v>
      </c>
      <c r="N743" t="s">
        <v>1678</v>
      </c>
      <c r="O743" t="s">
        <v>1667</v>
      </c>
      <c r="P743">
        <v>1</v>
      </c>
      <c r="Q743" t="s">
        <v>1665</v>
      </c>
    </row>
    <row r="744" spans="1:18" x14ac:dyDescent="0.35">
      <c r="A744" t="s">
        <v>1319</v>
      </c>
      <c r="B744" s="19">
        <v>46167</v>
      </c>
      <c r="C744" t="s">
        <v>218</v>
      </c>
      <c r="D744" t="s">
        <v>1295</v>
      </c>
      <c r="E744" t="s">
        <v>1171</v>
      </c>
      <c r="F744" t="s">
        <v>24</v>
      </c>
      <c r="G744">
        <v>0.2951388888888889</v>
      </c>
      <c r="H744">
        <v>0.33680555555555558</v>
      </c>
      <c r="I744">
        <v>65</v>
      </c>
      <c r="J744" t="s">
        <v>60</v>
      </c>
      <c r="K744" t="s">
        <v>19</v>
      </c>
      <c r="L744">
        <v>651</v>
      </c>
      <c r="M744">
        <v>60</v>
      </c>
      <c r="N744" t="s">
        <v>1678</v>
      </c>
      <c r="O744" t="s">
        <v>1659</v>
      </c>
      <c r="P744">
        <v>0</v>
      </c>
      <c r="Q744" t="s">
        <v>1660</v>
      </c>
      <c r="R744" t="s">
        <v>1657</v>
      </c>
    </row>
    <row r="745" spans="1:18" x14ac:dyDescent="0.35">
      <c r="A745" t="s">
        <v>1320</v>
      </c>
      <c r="B745" s="19">
        <v>46167</v>
      </c>
      <c r="C745" t="s">
        <v>877</v>
      </c>
      <c r="D745" t="s">
        <v>1171</v>
      </c>
      <c r="E745" t="s">
        <v>202</v>
      </c>
      <c r="F745" t="s">
        <v>17</v>
      </c>
      <c r="G745">
        <v>0.38194444444444442</v>
      </c>
      <c r="H745">
        <v>0.41388888888888892</v>
      </c>
      <c r="I745">
        <v>50</v>
      </c>
      <c r="J745" t="s">
        <v>477</v>
      </c>
      <c r="K745" t="s">
        <v>19</v>
      </c>
      <c r="L745">
        <v>1969</v>
      </c>
      <c r="M745">
        <v>46</v>
      </c>
      <c r="N745" t="s">
        <v>1678</v>
      </c>
      <c r="O745" t="s">
        <v>1659</v>
      </c>
      <c r="P745">
        <v>0</v>
      </c>
      <c r="Q745" t="s">
        <v>1660</v>
      </c>
      <c r="R745" t="s">
        <v>1670</v>
      </c>
    </row>
    <row r="746" spans="1:18" x14ac:dyDescent="0.35">
      <c r="A746" t="s">
        <v>1321</v>
      </c>
      <c r="B746" s="19">
        <v>46167</v>
      </c>
      <c r="C746" t="s">
        <v>958</v>
      </c>
      <c r="D746" t="s">
        <v>413</v>
      </c>
      <c r="E746" t="s">
        <v>202</v>
      </c>
      <c r="F746" t="s">
        <v>38</v>
      </c>
      <c r="G746">
        <v>0.68055555555555558</v>
      </c>
      <c r="H746">
        <v>0.68819444444444444</v>
      </c>
      <c r="I746">
        <v>1</v>
      </c>
      <c r="J746" t="s">
        <v>18</v>
      </c>
      <c r="K746" t="s">
        <v>19</v>
      </c>
      <c r="L746">
        <v>2338</v>
      </c>
      <c r="M746">
        <v>11</v>
      </c>
      <c r="N746" t="s">
        <v>1678</v>
      </c>
      <c r="O746" t="s">
        <v>1659</v>
      </c>
      <c r="P746">
        <v>1</v>
      </c>
      <c r="Q746" t="s">
        <v>1663</v>
      </c>
    </row>
    <row r="747" spans="1:18" x14ac:dyDescent="0.35">
      <c r="A747" t="s">
        <v>1322</v>
      </c>
      <c r="B747" s="19">
        <v>46168</v>
      </c>
      <c r="C747" t="s">
        <v>1323</v>
      </c>
      <c r="D747" t="s">
        <v>588</v>
      </c>
      <c r="E747" t="s">
        <v>84</v>
      </c>
      <c r="F747" t="s">
        <v>38</v>
      </c>
      <c r="G747">
        <v>0.39930555555555558</v>
      </c>
      <c r="H747">
        <v>0.4284722222222222</v>
      </c>
      <c r="J747" t="s">
        <v>477</v>
      </c>
      <c r="K747" t="s">
        <v>19</v>
      </c>
      <c r="L747">
        <v>1658</v>
      </c>
      <c r="M747">
        <v>42</v>
      </c>
      <c r="N747" t="s">
        <v>1678</v>
      </c>
      <c r="O747" t="s">
        <v>1661</v>
      </c>
      <c r="Q747" t="s">
        <v>1660</v>
      </c>
      <c r="R747" t="s">
        <v>1670</v>
      </c>
    </row>
    <row r="748" spans="1:18" x14ac:dyDescent="0.35">
      <c r="A748" t="s">
        <v>1324</v>
      </c>
      <c r="B748" s="19">
        <v>46168</v>
      </c>
      <c r="C748" t="s">
        <v>1325</v>
      </c>
      <c r="D748" t="s">
        <v>79</v>
      </c>
      <c r="E748" t="s">
        <v>588</v>
      </c>
      <c r="F748" t="s">
        <v>38</v>
      </c>
      <c r="G748">
        <v>0.43402777777777779</v>
      </c>
      <c r="H748">
        <v>0.43194444444444452</v>
      </c>
      <c r="I748">
        <v>-15</v>
      </c>
      <c r="J748" t="s">
        <v>18</v>
      </c>
      <c r="K748" t="s">
        <v>19</v>
      </c>
      <c r="L748">
        <v>730</v>
      </c>
      <c r="M748">
        <v>-3</v>
      </c>
      <c r="N748" t="s">
        <v>1678</v>
      </c>
      <c r="O748" t="s">
        <v>1661</v>
      </c>
      <c r="P748">
        <v>1</v>
      </c>
      <c r="Q748" t="s">
        <v>1660</v>
      </c>
    </row>
    <row r="749" spans="1:18" x14ac:dyDescent="0.35">
      <c r="A749" t="s">
        <v>1326</v>
      </c>
      <c r="B749" s="19">
        <v>46168</v>
      </c>
      <c r="C749" t="s">
        <v>234</v>
      </c>
      <c r="D749" t="s">
        <v>546</v>
      </c>
      <c r="E749" t="s">
        <v>226</v>
      </c>
      <c r="F749" t="s">
        <v>17</v>
      </c>
      <c r="G749">
        <v>0.4375</v>
      </c>
      <c r="H749">
        <v>0.4375</v>
      </c>
      <c r="I749">
        <v>-2</v>
      </c>
      <c r="J749" t="s">
        <v>18</v>
      </c>
      <c r="K749" t="s">
        <v>19</v>
      </c>
      <c r="L749">
        <v>627</v>
      </c>
      <c r="M749">
        <v>0</v>
      </c>
      <c r="N749" t="s">
        <v>1678</v>
      </c>
      <c r="O749" t="s">
        <v>1661</v>
      </c>
      <c r="P749">
        <v>1</v>
      </c>
      <c r="Q749" t="s">
        <v>1660</v>
      </c>
    </row>
    <row r="750" spans="1:18" x14ac:dyDescent="0.35">
      <c r="A750" t="s">
        <v>1327</v>
      </c>
      <c r="B750" s="19">
        <v>46168</v>
      </c>
      <c r="C750" t="s">
        <v>815</v>
      </c>
      <c r="D750" t="s">
        <v>1171</v>
      </c>
      <c r="E750" t="s">
        <v>588</v>
      </c>
      <c r="F750" t="s">
        <v>28</v>
      </c>
      <c r="G750">
        <v>0.52430555555555558</v>
      </c>
      <c r="H750">
        <v>0.55625000000000002</v>
      </c>
      <c r="I750">
        <v>42</v>
      </c>
      <c r="J750" t="s">
        <v>129</v>
      </c>
      <c r="K750" t="s">
        <v>19</v>
      </c>
      <c r="L750">
        <v>866</v>
      </c>
      <c r="M750">
        <v>46</v>
      </c>
      <c r="N750" t="s">
        <v>1678</v>
      </c>
      <c r="O750" t="s">
        <v>1661</v>
      </c>
      <c r="P750">
        <v>0</v>
      </c>
      <c r="Q750" t="s">
        <v>1663</v>
      </c>
      <c r="R750" t="s">
        <v>1670</v>
      </c>
    </row>
    <row r="751" spans="1:18" x14ac:dyDescent="0.35">
      <c r="A751" t="s">
        <v>1328</v>
      </c>
      <c r="B751" s="19">
        <v>46168</v>
      </c>
      <c r="C751" t="s">
        <v>1329</v>
      </c>
      <c r="D751" t="s">
        <v>226</v>
      </c>
      <c r="E751" t="s">
        <v>588</v>
      </c>
      <c r="F751" t="s">
        <v>28</v>
      </c>
      <c r="G751">
        <v>0.70833333333333337</v>
      </c>
      <c r="H751">
        <v>0.73888888888888893</v>
      </c>
      <c r="I751">
        <v>37</v>
      </c>
      <c r="J751" t="s">
        <v>60</v>
      </c>
      <c r="K751" t="s">
        <v>19</v>
      </c>
      <c r="L751">
        <v>641</v>
      </c>
      <c r="M751">
        <v>44</v>
      </c>
      <c r="N751" t="s">
        <v>1678</v>
      </c>
      <c r="O751" t="s">
        <v>1661</v>
      </c>
      <c r="P751">
        <v>0</v>
      </c>
      <c r="Q751" t="s">
        <v>1665</v>
      </c>
      <c r="R751" t="s">
        <v>1657</v>
      </c>
    </row>
    <row r="752" spans="1:18" x14ac:dyDescent="0.35">
      <c r="A752" t="s">
        <v>1330</v>
      </c>
      <c r="B752" s="19">
        <v>46169</v>
      </c>
      <c r="C752" t="s">
        <v>70</v>
      </c>
      <c r="D752" t="s">
        <v>588</v>
      </c>
      <c r="E752" t="s">
        <v>79</v>
      </c>
      <c r="F752" t="s">
        <v>17</v>
      </c>
      <c r="G752">
        <v>0.4201388888888889</v>
      </c>
      <c r="H752">
        <v>0.4152777777777778</v>
      </c>
      <c r="I752">
        <v>-8</v>
      </c>
      <c r="J752" t="s">
        <v>18</v>
      </c>
      <c r="K752" t="s">
        <v>19</v>
      </c>
      <c r="L752">
        <v>730</v>
      </c>
      <c r="M752">
        <v>-7</v>
      </c>
      <c r="N752" t="s">
        <v>1678</v>
      </c>
      <c r="O752" t="s">
        <v>1662</v>
      </c>
      <c r="P752">
        <v>1</v>
      </c>
      <c r="Q752" t="s">
        <v>1660</v>
      </c>
    </row>
    <row r="753" spans="1:18" x14ac:dyDescent="0.35">
      <c r="A753" t="s">
        <v>1331</v>
      </c>
      <c r="B753" s="19">
        <v>46170</v>
      </c>
      <c r="C753" t="s">
        <v>1332</v>
      </c>
      <c r="D753" t="s">
        <v>71</v>
      </c>
      <c r="E753" t="s">
        <v>197</v>
      </c>
      <c r="F753" t="s">
        <v>24</v>
      </c>
      <c r="G753">
        <v>0.77083333333333337</v>
      </c>
      <c r="H753">
        <v>0.8354166666666667</v>
      </c>
      <c r="I753">
        <v>98</v>
      </c>
      <c r="J753" t="s">
        <v>60</v>
      </c>
      <c r="K753" t="s">
        <v>19</v>
      </c>
      <c r="L753">
        <v>738</v>
      </c>
      <c r="M753">
        <v>93</v>
      </c>
      <c r="N753" t="s">
        <v>1678</v>
      </c>
      <c r="O753" t="s">
        <v>1664</v>
      </c>
      <c r="P753">
        <v>0</v>
      </c>
      <c r="Q753" t="s">
        <v>1665</v>
      </c>
      <c r="R753" t="s">
        <v>1657</v>
      </c>
    </row>
    <row r="754" spans="1:18" x14ac:dyDescent="0.35">
      <c r="A754" t="s">
        <v>1333</v>
      </c>
      <c r="B754" s="19">
        <v>46170</v>
      </c>
      <c r="C754" t="s">
        <v>1334</v>
      </c>
      <c r="D754" t="s">
        <v>84</v>
      </c>
      <c r="E754" t="s">
        <v>79</v>
      </c>
      <c r="F754" t="s">
        <v>24</v>
      </c>
      <c r="G754">
        <v>0.79861111111111116</v>
      </c>
      <c r="H754">
        <v>0.83402777777777781</v>
      </c>
      <c r="I754">
        <v>38</v>
      </c>
      <c r="J754" t="s">
        <v>129</v>
      </c>
      <c r="K754" t="s">
        <v>19</v>
      </c>
      <c r="L754">
        <v>2178</v>
      </c>
      <c r="M754">
        <v>51</v>
      </c>
      <c r="N754" t="s">
        <v>1678</v>
      </c>
      <c r="O754" t="s">
        <v>1664</v>
      </c>
      <c r="P754">
        <v>0</v>
      </c>
      <c r="Q754" t="s">
        <v>1665</v>
      </c>
      <c r="R754" t="s">
        <v>1670</v>
      </c>
    </row>
    <row r="755" spans="1:18" x14ac:dyDescent="0.35">
      <c r="A755" t="s">
        <v>1335</v>
      </c>
      <c r="B755" s="19">
        <v>46171</v>
      </c>
      <c r="C755" t="s">
        <v>1336</v>
      </c>
      <c r="D755" t="s">
        <v>71</v>
      </c>
      <c r="E755" t="s">
        <v>1171</v>
      </c>
      <c r="F755" t="s">
        <v>28</v>
      </c>
      <c r="G755">
        <v>0.34722222222222221</v>
      </c>
      <c r="H755">
        <v>0.34652777777777782</v>
      </c>
      <c r="I755">
        <v>4</v>
      </c>
      <c r="J755" t="s">
        <v>18</v>
      </c>
      <c r="K755" t="s">
        <v>19</v>
      </c>
      <c r="L755">
        <v>1438</v>
      </c>
      <c r="M755">
        <v>-1</v>
      </c>
      <c r="N755" t="s">
        <v>1678</v>
      </c>
      <c r="O755" t="s">
        <v>1666</v>
      </c>
      <c r="P755">
        <v>1</v>
      </c>
      <c r="Q755" t="s">
        <v>1660</v>
      </c>
    </row>
    <row r="756" spans="1:18" x14ac:dyDescent="0.35">
      <c r="A756" t="s">
        <v>1337</v>
      </c>
      <c r="B756" s="19">
        <v>46171</v>
      </c>
      <c r="C756" t="s">
        <v>112</v>
      </c>
      <c r="D756" t="s">
        <v>79</v>
      </c>
      <c r="E756" t="s">
        <v>588</v>
      </c>
      <c r="F756" t="s">
        <v>24</v>
      </c>
      <c r="G756">
        <v>0.68402777777777779</v>
      </c>
      <c r="H756">
        <v>0.73333333333333328</v>
      </c>
      <c r="I756">
        <v>74</v>
      </c>
      <c r="J756" t="s">
        <v>54</v>
      </c>
      <c r="K756" t="s">
        <v>19</v>
      </c>
      <c r="L756">
        <v>730</v>
      </c>
      <c r="M756">
        <v>71</v>
      </c>
      <c r="N756" t="s">
        <v>1678</v>
      </c>
      <c r="O756" t="s">
        <v>1666</v>
      </c>
      <c r="P756">
        <v>0</v>
      </c>
      <c r="Q756" t="s">
        <v>1663</v>
      </c>
      <c r="R756" t="s">
        <v>1657</v>
      </c>
    </row>
    <row r="757" spans="1:18" x14ac:dyDescent="0.35">
      <c r="A757" t="s">
        <v>1338</v>
      </c>
      <c r="B757" s="19">
        <v>46172</v>
      </c>
      <c r="C757" t="s">
        <v>1304</v>
      </c>
      <c r="D757" t="s">
        <v>71</v>
      </c>
      <c r="E757" t="s">
        <v>413</v>
      </c>
      <c r="F757" t="s">
        <v>17</v>
      </c>
      <c r="G757">
        <v>0.27083333333333331</v>
      </c>
      <c r="H757">
        <v>0.28680555555555548</v>
      </c>
      <c r="I757">
        <v>14</v>
      </c>
      <c r="J757" t="s">
        <v>54</v>
      </c>
      <c r="K757" t="s">
        <v>19</v>
      </c>
      <c r="L757">
        <v>1742</v>
      </c>
      <c r="M757">
        <v>23</v>
      </c>
      <c r="N757" t="s">
        <v>1678</v>
      </c>
      <c r="O757" t="s">
        <v>1667</v>
      </c>
      <c r="P757">
        <v>1</v>
      </c>
      <c r="Q757" t="s">
        <v>1660</v>
      </c>
      <c r="R757" t="s">
        <v>1657</v>
      </c>
    </row>
    <row r="758" spans="1:18" x14ac:dyDescent="0.35">
      <c r="A758" t="s">
        <v>1339</v>
      </c>
      <c r="B758" s="19">
        <v>46172</v>
      </c>
      <c r="C758" t="s">
        <v>969</v>
      </c>
      <c r="D758" t="s">
        <v>413</v>
      </c>
      <c r="E758" t="s">
        <v>79</v>
      </c>
      <c r="F758" t="s">
        <v>24</v>
      </c>
      <c r="G758">
        <v>0.66319444444444442</v>
      </c>
      <c r="H758">
        <v>0.6645833333333333</v>
      </c>
      <c r="I758">
        <v>-7</v>
      </c>
      <c r="J758" t="s">
        <v>18</v>
      </c>
      <c r="K758" t="s">
        <v>19</v>
      </c>
      <c r="L758">
        <v>1942</v>
      </c>
      <c r="M758">
        <v>2</v>
      </c>
      <c r="N758" t="s">
        <v>1678</v>
      </c>
      <c r="O758" t="s">
        <v>1667</v>
      </c>
      <c r="P758">
        <v>1</v>
      </c>
      <c r="Q758" t="s">
        <v>1663</v>
      </c>
    </row>
    <row r="759" spans="1:18" x14ac:dyDescent="0.35">
      <c r="A759" t="s">
        <v>1340</v>
      </c>
      <c r="B759" s="19">
        <v>46172</v>
      </c>
      <c r="C759" t="s">
        <v>1341</v>
      </c>
      <c r="D759" t="s">
        <v>79</v>
      </c>
      <c r="E759" t="s">
        <v>588</v>
      </c>
      <c r="F759" t="s">
        <v>24</v>
      </c>
      <c r="G759">
        <v>0.78819444444444442</v>
      </c>
      <c r="H759">
        <v>0.79652777777777772</v>
      </c>
      <c r="J759" t="s">
        <v>18</v>
      </c>
      <c r="K759" t="s">
        <v>19</v>
      </c>
      <c r="L759">
        <v>730</v>
      </c>
      <c r="M759">
        <v>12</v>
      </c>
      <c r="N759" t="s">
        <v>1678</v>
      </c>
      <c r="O759" t="s">
        <v>1667</v>
      </c>
      <c r="Q759" t="s">
        <v>1665</v>
      </c>
    </row>
    <row r="760" spans="1:18" x14ac:dyDescent="0.35">
      <c r="A760" t="s">
        <v>1342</v>
      </c>
      <c r="B760" s="19">
        <v>46173</v>
      </c>
      <c r="C760" t="s">
        <v>1343</v>
      </c>
      <c r="D760" t="s">
        <v>588</v>
      </c>
      <c r="E760" t="s">
        <v>71</v>
      </c>
      <c r="F760" t="s">
        <v>17</v>
      </c>
      <c r="G760">
        <v>0.24652777777777779</v>
      </c>
      <c r="H760">
        <v>0.27777777777777779</v>
      </c>
      <c r="I760">
        <v>33</v>
      </c>
      <c r="J760" t="s">
        <v>54</v>
      </c>
      <c r="K760" t="s">
        <v>19</v>
      </c>
      <c r="L760">
        <v>802</v>
      </c>
      <c r="M760">
        <v>45</v>
      </c>
      <c r="N760" t="s">
        <v>1678</v>
      </c>
      <c r="O760" t="s">
        <v>1668</v>
      </c>
      <c r="P760">
        <v>0</v>
      </c>
      <c r="Q760" t="s">
        <v>1660</v>
      </c>
      <c r="R760" t="s">
        <v>1657</v>
      </c>
    </row>
    <row r="761" spans="1:18" x14ac:dyDescent="0.35">
      <c r="A761" t="s">
        <v>1344</v>
      </c>
      <c r="B761" s="19">
        <v>46173</v>
      </c>
      <c r="C761" t="s">
        <v>621</v>
      </c>
      <c r="D761" t="s">
        <v>71</v>
      </c>
      <c r="E761" t="s">
        <v>226</v>
      </c>
      <c r="F761" t="s">
        <v>24</v>
      </c>
      <c r="G761">
        <v>0.31944444444444442</v>
      </c>
      <c r="H761">
        <v>0.35833333333333328</v>
      </c>
      <c r="I761">
        <v>62</v>
      </c>
      <c r="J761" t="s">
        <v>129</v>
      </c>
      <c r="K761" t="s">
        <v>19</v>
      </c>
      <c r="L761">
        <v>886</v>
      </c>
      <c r="M761">
        <v>56</v>
      </c>
      <c r="N761" t="s">
        <v>1678</v>
      </c>
      <c r="O761" t="s">
        <v>1668</v>
      </c>
      <c r="P761">
        <v>0</v>
      </c>
      <c r="Q761" t="s">
        <v>1660</v>
      </c>
      <c r="R761" t="s">
        <v>1670</v>
      </c>
    </row>
    <row r="762" spans="1:18" x14ac:dyDescent="0.35">
      <c r="A762" t="s">
        <v>1345</v>
      </c>
      <c r="B762" s="19">
        <v>46173</v>
      </c>
      <c r="C762" t="s">
        <v>983</v>
      </c>
      <c r="D762" t="s">
        <v>413</v>
      </c>
      <c r="E762" t="s">
        <v>1171</v>
      </c>
      <c r="F762" t="s">
        <v>38</v>
      </c>
      <c r="G762">
        <v>0.53819444444444442</v>
      </c>
      <c r="H762">
        <v>0.54236111111111107</v>
      </c>
      <c r="I762">
        <v>11</v>
      </c>
      <c r="J762" t="s">
        <v>18</v>
      </c>
      <c r="K762" t="s">
        <v>19</v>
      </c>
      <c r="L762">
        <v>370</v>
      </c>
      <c r="M762">
        <v>6</v>
      </c>
      <c r="N762" t="s">
        <v>1678</v>
      </c>
      <c r="O762" t="s">
        <v>1668</v>
      </c>
      <c r="P762">
        <v>1</v>
      </c>
      <c r="Q762" t="s">
        <v>1663</v>
      </c>
    </row>
    <row r="763" spans="1:18" x14ac:dyDescent="0.35">
      <c r="A763" t="s">
        <v>1346</v>
      </c>
      <c r="B763" s="19">
        <v>46173</v>
      </c>
      <c r="C763" t="s">
        <v>1347</v>
      </c>
      <c r="D763" t="s">
        <v>1295</v>
      </c>
      <c r="E763" t="s">
        <v>79</v>
      </c>
      <c r="F763" t="s">
        <v>28</v>
      </c>
      <c r="G763">
        <v>0.58680555555555558</v>
      </c>
      <c r="H763">
        <v>0.59027777777777779</v>
      </c>
      <c r="I763">
        <v>15</v>
      </c>
      <c r="J763" t="s">
        <v>18</v>
      </c>
      <c r="K763" t="s">
        <v>19</v>
      </c>
      <c r="L763">
        <v>2134</v>
      </c>
      <c r="M763">
        <v>5</v>
      </c>
      <c r="N763" t="s">
        <v>1678</v>
      </c>
      <c r="O763" t="s">
        <v>1668</v>
      </c>
      <c r="P763">
        <v>1</v>
      </c>
      <c r="Q763" t="s">
        <v>1663</v>
      </c>
    </row>
    <row r="764" spans="1:18" x14ac:dyDescent="0.35">
      <c r="A764" t="s">
        <v>1348</v>
      </c>
      <c r="B764" s="19">
        <v>46174</v>
      </c>
      <c r="C764" t="s">
        <v>1349</v>
      </c>
      <c r="D764" t="s">
        <v>588</v>
      </c>
      <c r="E764" t="s">
        <v>546</v>
      </c>
      <c r="F764" t="s">
        <v>24</v>
      </c>
      <c r="G764">
        <v>0.84722222222222221</v>
      </c>
      <c r="H764">
        <v>0.875</v>
      </c>
      <c r="J764" t="s">
        <v>129</v>
      </c>
      <c r="K764" t="s">
        <v>19</v>
      </c>
      <c r="L764">
        <v>1053</v>
      </c>
      <c r="M764">
        <v>40</v>
      </c>
      <c r="N764" t="s">
        <v>1679</v>
      </c>
      <c r="O764" t="s">
        <v>1659</v>
      </c>
      <c r="Q764" t="s">
        <v>1665</v>
      </c>
      <c r="R764" t="s">
        <v>1670</v>
      </c>
    </row>
    <row r="765" spans="1:18" x14ac:dyDescent="0.35">
      <c r="A765" t="s">
        <v>1350</v>
      </c>
      <c r="B765" s="19">
        <v>46174</v>
      </c>
      <c r="C765" t="s">
        <v>1351</v>
      </c>
      <c r="D765" t="s">
        <v>1295</v>
      </c>
      <c r="E765" t="s">
        <v>197</v>
      </c>
      <c r="F765" t="s">
        <v>24</v>
      </c>
      <c r="G765">
        <v>0.88194444444444442</v>
      </c>
      <c r="H765">
        <v>0.88958333333333328</v>
      </c>
      <c r="I765">
        <v>20</v>
      </c>
      <c r="J765" t="s">
        <v>18</v>
      </c>
      <c r="K765" t="s">
        <v>19</v>
      </c>
      <c r="L765">
        <v>2580</v>
      </c>
      <c r="M765">
        <v>11</v>
      </c>
      <c r="N765" t="s">
        <v>1679</v>
      </c>
      <c r="O765" t="s">
        <v>1659</v>
      </c>
      <c r="P765">
        <v>0</v>
      </c>
      <c r="Q765" t="s">
        <v>1669</v>
      </c>
    </row>
    <row r="766" spans="1:18" x14ac:dyDescent="0.35">
      <c r="A766" t="s">
        <v>1352</v>
      </c>
      <c r="B766" s="19">
        <v>46175</v>
      </c>
      <c r="C766" t="s">
        <v>1274</v>
      </c>
      <c r="D766" t="s">
        <v>197</v>
      </c>
      <c r="E766" t="s">
        <v>71</v>
      </c>
      <c r="F766" t="s">
        <v>24</v>
      </c>
      <c r="G766">
        <v>0.55208333333333337</v>
      </c>
      <c r="H766">
        <v>0.55555555555555558</v>
      </c>
      <c r="I766">
        <v>13</v>
      </c>
      <c r="J766" t="s">
        <v>18</v>
      </c>
      <c r="K766" t="s">
        <v>19</v>
      </c>
      <c r="L766">
        <v>738</v>
      </c>
      <c r="M766">
        <v>5</v>
      </c>
      <c r="N766" t="s">
        <v>1679</v>
      </c>
      <c r="O766" t="s">
        <v>1661</v>
      </c>
      <c r="P766">
        <v>1</v>
      </c>
      <c r="Q766" t="s">
        <v>1663</v>
      </c>
    </row>
    <row r="767" spans="1:18" x14ac:dyDescent="0.35">
      <c r="A767" t="s">
        <v>1353</v>
      </c>
      <c r="B767" s="19">
        <v>46175</v>
      </c>
      <c r="C767" t="s">
        <v>230</v>
      </c>
      <c r="D767" t="s">
        <v>226</v>
      </c>
      <c r="E767" t="s">
        <v>71</v>
      </c>
      <c r="F767" t="s">
        <v>24</v>
      </c>
      <c r="G767">
        <v>0.63888888888888884</v>
      </c>
      <c r="H767">
        <v>0.63680555555555551</v>
      </c>
      <c r="I767">
        <v>-6</v>
      </c>
      <c r="J767" t="s">
        <v>18</v>
      </c>
      <c r="K767" t="s">
        <v>19</v>
      </c>
      <c r="L767">
        <v>886</v>
      </c>
      <c r="M767">
        <v>-3</v>
      </c>
      <c r="N767" t="s">
        <v>1679</v>
      </c>
      <c r="O767" t="s">
        <v>1661</v>
      </c>
      <c r="P767">
        <v>1</v>
      </c>
      <c r="Q767" t="s">
        <v>1663</v>
      </c>
    </row>
    <row r="768" spans="1:18" x14ac:dyDescent="0.35">
      <c r="A768" t="s">
        <v>1354</v>
      </c>
      <c r="B768" s="19">
        <v>46175</v>
      </c>
      <c r="C768" t="s">
        <v>1355</v>
      </c>
      <c r="D768" t="s">
        <v>226</v>
      </c>
      <c r="E768" t="s">
        <v>588</v>
      </c>
      <c r="F768" t="s">
        <v>28</v>
      </c>
      <c r="G768">
        <v>0.72222222222222221</v>
      </c>
      <c r="H768">
        <v>0.72083333333333333</v>
      </c>
      <c r="I768">
        <v>3</v>
      </c>
      <c r="J768" t="s">
        <v>18</v>
      </c>
      <c r="K768" t="s">
        <v>19</v>
      </c>
      <c r="L768">
        <v>641</v>
      </c>
      <c r="M768">
        <v>-2</v>
      </c>
      <c r="N768" t="s">
        <v>1679</v>
      </c>
      <c r="O768" t="s">
        <v>1661</v>
      </c>
      <c r="P768">
        <v>1</v>
      </c>
      <c r="Q768" t="s">
        <v>1665</v>
      </c>
    </row>
    <row r="769" spans="1:18" x14ac:dyDescent="0.35">
      <c r="A769" t="s">
        <v>1356</v>
      </c>
      <c r="B769" s="19">
        <v>46175</v>
      </c>
      <c r="C769" t="s">
        <v>1357</v>
      </c>
      <c r="D769" t="s">
        <v>71</v>
      </c>
      <c r="E769" t="s">
        <v>79</v>
      </c>
      <c r="F769" t="s">
        <v>28</v>
      </c>
      <c r="G769">
        <v>0.79166666666666663</v>
      </c>
      <c r="H769">
        <v>0.80347222222222225</v>
      </c>
      <c r="I769">
        <v>13</v>
      </c>
      <c r="J769" t="s">
        <v>60</v>
      </c>
      <c r="K769" t="s">
        <v>19</v>
      </c>
      <c r="L769">
        <v>606</v>
      </c>
      <c r="M769">
        <v>17</v>
      </c>
      <c r="N769" t="s">
        <v>1679</v>
      </c>
      <c r="O769" t="s">
        <v>1661</v>
      </c>
      <c r="P769">
        <v>1</v>
      </c>
      <c r="Q769" t="s">
        <v>1665</v>
      </c>
      <c r="R769" t="s">
        <v>1657</v>
      </c>
    </row>
    <row r="770" spans="1:18" x14ac:dyDescent="0.35">
      <c r="A770" t="s">
        <v>1358</v>
      </c>
      <c r="B770" s="19">
        <v>46176</v>
      </c>
      <c r="C770" t="s">
        <v>1359</v>
      </c>
      <c r="D770" t="s">
        <v>1171</v>
      </c>
      <c r="E770" t="s">
        <v>79</v>
      </c>
      <c r="F770" t="s">
        <v>17</v>
      </c>
      <c r="G770">
        <v>0.80208333333333337</v>
      </c>
      <c r="H770">
        <v>0.80833333333333335</v>
      </c>
      <c r="I770">
        <v>12</v>
      </c>
      <c r="J770" t="s">
        <v>18</v>
      </c>
      <c r="K770" t="s">
        <v>19</v>
      </c>
      <c r="L770">
        <v>1584</v>
      </c>
      <c r="M770">
        <v>9</v>
      </c>
      <c r="N770" t="s">
        <v>1679</v>
      </c>
      <c r="O770" t="s">
        <v>1662</v>
      </c>
      <c r="P770">
        <v>1</v>
      </c>
      <c r="Q770" t="s">
        <v>1665</v>
      </c>
    </row>
    <row r="771" spans="1:18" x14ac:dyDescent="0.35">
      <c r="A771" t="s">
        <v>1360</v>
      </c>
      <c r="B771" s="19">
        <v>46176</v>
      </c>
      <c r="C771" t="s">
        <v>1361</v>
      </c>
      <c r="D771" t="s">
        <v>1171</v>
      </c>
      <c r="E771" t="s">
        <v>79</v>
      </c>
      <c r="F771" t="s">
        <v>24</v>
      </c>
      <c r="G771">
        <v>0.86458333333333337</v>
      </c>
      <c r="H771">
        <v>0.88958333333333328</v>
      </c>
      <c r="I771">
        <v>44</v>
      </c>
      <c r="J771" t="s">
        <v>54</v>
      </c>
      <c r="K771" t="s">
        <v>19</v>
      </c>
      <c r="L771">
        <v>1584</v>
      </c>
      <c r="M771">
        <v>36</v>
      </c>
      <c r="N771" t="s">
        <v>1679</v>
      </c>
      <c r="O771" t="s">
        <v>1662</v>
      </c>
      <c r="P771">
        <v>0</v>
      </c>
      <c r="Q771" t="s">
        <v>1665</v>
      </c>
      <c r="R771" t="s">
        <v>1657</v>
      </c>
    </row>
    <row r="772" spans="1:18" x14ac:dyDescent="0.35">
      <c r="A772" t="s">
        <v>1362</v>
      </c>
      <c r="B772" s="19">
        <v>46177</v>
      </c>
      <c r="C772" t="s">
        <v>458</v>
      </c>
      <c r="D772" t="s">
        <v>84</v>
      </c>
      <c r="E772" t="s">
        <v>71</v>
      </c>
      <c r="F772" t="s">
        <v>17</v>
      </c>
      <c r="G772">
        <v>0.35416666666666669</v>
      </c>
      <c r="H772">
        <v>0.34930555555555548</v>
      </c>
      <c r="I772">
        <v>1</v>
      </c>
      <c r="J772" t="s">
        <v>18</v>
      </c>
      <c r="K772" t="s">
        <v>19</v>
      </c>
      <c r="L772">
        <v>1717</v>
      </c>
      <c r="M772">
        <v>-7</v>
      </c>
      <c r="N772" t="s">
        <v>1679</v>
      </c>
      <c r="O772" t="s">
        <v>1664</v>
      </c>
      <c r="P772">
        <v>1</v>
      </c>
      <c r="Q772" t="s">
        <v>1660</v>
      </c>
    </row>
    <row r="773" spans="1:18" x14ac:dyDescent="0.35">
      <c r="A773" t="s">
        <v>1363</v>
      </c>
      <c r="B773" s="19">
        <v>46177</v>
      </c>
      <c r="C773" t="s">
        <v>1003</v>
      </c>
      <c r="D773" t="s">
        <v>79</v>
      </c>
      <c r="E773" t="s">
        <v>71</v>
      </c>
      <c r="F773" t="s">
        <v>24</v>
      </c>
      <c r="G773">
        <v>0.55902777777777779</v>
      </c>
      <c r="H773">
        <v>0.58402777777777781</v>
      </c>
      <c r="I773">
        <v>36</v>
      </c>
      <c r="J773" t="s">
        <v>54</v>
      </c>
      <c r="K773" t="s">
        <v>19</v>
      </c>
      <c r="L773">
        <v>606</v>
      </c>
      <c r="M773">
        <v>36</v>
      </c>
      <c r="N773" t="s">
        <v>1679</v>
      </c>
      <c r="O773" t="s">
        <v>1664</v>
      </c>
      <c r="P773">
        <v>0</v>
      </c>
      <c r="Q773" t="s">
        <v>1663</v>
      </c>
      <c r="R773" t="s">
        <v>1657</v>
      </c>
    </row>
    <row r="774" spans="1:18" x14ac:dyDescent="0.35">
      <c r="A774" t="s">
        <v>1364</v>
      </c>
      <c r="B774" s="19">
        <v>46177</v>
      </c>
      <c r="C774" t="s">
        <v>292</v>
      </c>
      <c r="D774" t="s">
        <v>79</v>
      </c>
      <c r="E774" t="s">
        <v>1295</v>
      </c>
      <c r="F774" t="s">
        <v>24</v>
      </c>
      <c r="G774">
        <v>0.71180555555555558</v>
      </c>
      <c r="H774">
        <v>0.70833333333333337</v>
      </c>
      <c r="I774">
        <v>-3</v>
      </c>
      <c r="J774" t="s">
        <v>18</v>
      </c>
      <c r="K774" t="s">
        <v>19</v>
      </c>
      <c r="L774">
        <v>2134</v>
      </c>
      <c r="M774">
        <v>-5</v>
      </c>
      <c r="N774" t="s">
        <v>1679</v>
      </c>
      <c r="O774" t="s">
        <v>1664</v>
      </c>
      <c r="P774">
        <v>1</v>
      </c>
      <c r="Q774" t="s">
        <v>1665</v>
      </c>
    </row>
    <row r="775" spans="1:18" x14ac:dyDescent="0.35">
      <c r="A775" t="s">
        <v>1365</v>
      </c>
      <c r="B775" s="19">
        <v>46177</v>
      </c>
      <c r="C775" t="s">
        <v>1366</v>
      </c>
      <c r="D775" t="s">
        <v>84</v>
      </c>
      <c r="E775" t="s">
        <v>1171</v>
      </c>
      <c r="F775" t="s">
        <v>24</v>
      </c>
      <c r="G775">
        <v>0.71180555555555558</v>
      </c>
      <c r="H775">
        <v>0.7104166666666667</v>
      </c>
      <c r="I775">
        <v>-2</v>
      </c>
      <c r="J775" t="s">
        <v>18</v>
      </c>
      <c r="K775" t="s">
        <v>19</v>
      </c>
      <c r="L775">
        <v>1108</v>
      </c>
      <c r="M775">
        <v>-2</v>
      </c>
      <c r="N775" t="s">
        <v>1679</v>
      </c>
      <c r="O775" t="s">
        <v>1664</v>
      </c>
      <c r="P775">
        <v>1</v>
      </c>
      <c r="Q775" t="s">
        <v>1665</v>
      </c>
    </row>
    <row r="776" spans="1:18" x14ac:dyDescent="0.35">
      <c r="A776" t="s">
        <v>1367</v>
      </c>
      <c r="B776" s="19">
        <v>46177</v>
      </c>
      <c r="C776" t="s">
        <v>663</v>
      </c>
      <c r="D776" t="s">
        <v>413</v>
      </c>
      <c r="E776" t="s">
        <v>202</v>
      </c>
      <c r="F776" t="s">
        <v>38</v>
      </c>
      <c r="G776">
        <v>0.72916666666666663</v>
      </c>
      <c r="H776">
        <v>0.72916666666666663</v>
      </c>
      <c r="I776">
        <v>5</v>
      </c>
      <c r="J776" t="s">
        <v>18</v>
      </c>
      <c r="K776" t="s">
        <v>19</v>
      </c>
      <c r="L776">
        <v>2338</v>
      </c>
      <c r="M776">
        <v>0</v>
      </c>
      <c r="N776" t="s">
        <v>1679</v>
      </c>
      <c r="O776" t="s">
        <v>1664</v>
      </c>
      <c r="P776">
        <v>1</v>
      </c>
      <c r="Q776" t="s">
        <v>1665</v>
      </c>
    </row>
    <row r="777" spans="1:18" x14ac:dyDescent="0.35">
      <c r="A777" t="s">
        <v>1368</v>
      </c>
      <c r="B777" s="19">
        <v>46178</v>
      </c>
      <c r="C777" t="s">
        <v>1369</v>
      </c>
      <c r="D777" t="s">
        <v>202</v>
      </c>
      <c r="E777" t="s">
        <v>546</v>
      </c>
      <c r="F777" t="s">
        <v>17</v>
      </c>
      <c r="G777">
        <v>0.3263888888888889</v>
      </c>
      <c r="H777">
        <v>0.32361111111111113</v>
      </c>
      <c r="I777">
        <v>-13</v>
      </c>
      <c r="J777" t="s">
        <v>18</v>
      </c>
      <c r="K777" t="s">
        <v>19</v>
      </c>
      <c r="L777">
        <v>2171</v>
      </c>
      <c r="M777">
        <v>-4</v>
      </c>
      <c r="N777" t="s">
        <v>1679</v>
      </c>
      <c r="O777" t="s">
        <v>1666</v>
      </c>
      <c r="P777">
        <v>1</v>
      </c>
      <c r="Q777" t="s">
        <v>1660</v>
      </c>
    </row>
    <row r="778" spans="1:18" x14ac:dyDescent="0.35">
      <c r="A778" t="s">
        <v>1370</v>
      </c>
      <c r="B778" s="19">
        <v>46178</v>
      </c>
      <c r="C778" t="s">
        <v>1371</v>
      </c>
      <c r="D778" t="s">
        <v>202</v>
      </c>
      <c r="E778" t="s">
        <v>1549</v>
      </c>
      <c r="F778" t="s">
        <v>28</v>
      </c>
      <c r="G778">
        <v>0.40625</v>
      </c>
      <c r="H778">
        <v>0.40833333333333333</v>
      </c>
      <c r="I778">
        <v>-5</v>
      </c>
      <c r="J778" t="s">
        <v>18</v>
      </c>
      <c r="K778" t="s">
        <v>19</v>
      </c>
      <c r="L778">
        <v>1260</v>
      </c>
      <c r="M778">
        <v>3</v>
      </c>
      <c r="N778" t="s">
        <v>1679</v>
      </c>
      <c r="O778" t="s">
        <v>1666</v>
      </c>
      <c r="P778">
        <v>1</v>
      </c>
      <c r="Q778" t="s">
        <v>1660</v>
      </c>
    </row>
    <row r="779" spans="1:18" x14ac:dyDescent="0.35">
      <c r="A779" t="s">
        <v>1373</v>
      </c>
      <c r="B779" s="19">
        <v>46178</v>
      </c>
      <c r="C779" t="s">
        <v>1374</v>
      </c>
      <c r="D779" t="s">
        <v>413</v>
      </c>
      <c r="E779" t="s">
        <v>79</v>
      </c>
      <c r="F779" t="s">
        <v>28</v>
      </c>
      <c r="G779">
        <v>0.69791666666666663</v>
      </c>
      <c r="H779">
        <v>0.70208333333333328</v>
      </c>
      <c r="I779">
        <v>7</v>
      </c>
      <c r="J779" t="s">
        <v>18</v>
      </c>
      <c r="K779" t="s">
        <v>19</v>
      </c>
      <c r="L779">
        <v>1942</v>
      </c>
      <c r="M779">
        <v>6</v>
      </c>
      <c r="N779" t="s">
        <v>1679</v>
      </c>
      <c r="O779" t="s">
        <v>1666</v>
      </c>
      <c r="P779">
        <v>1</v>
      </c>
      <c r="Q779" t="s">
        <v>1663</v>
      </c>
    </row>
    <row r="780" spans="1:18" x14ac:dyDescent="0.35">
      <c r="A780" t="s">
        <v>1375</v>
      </c>
      <c r="B780" s="19">
        <v>46179</v>
      </c>
      <c r="C780" t="s">
        <v>1376</v>
      </c>
      <c r="D780" t="s">
        <v>71</v>
      </c>
      <c r="E780" t="s">
        <v>588</v>
      </c>
      <c r="F780" t="s">
        <v>24</v>
      </c>
      <c r="G780">
        <v>0.34027777777777779</v>
      </c>
      <c r="H780">
        <v>0.34097222222222218</v>
      </c>
      <c r="I780">
        <v>-5</v>
      </c>
      <c r="J780" t="s">
        <v>18</v>
      </c>
      <c r="K780" t="s">
        <v>19</v>
      </c>
      <c r="L780">
        <v>802</v>
      </c>
      <c r="M780">
        <v>1</v>
      </c>
      <c r="N780" t="s">
        <v>1679</v>
      </c>
      <c r="O780" t="s">
        <v>1667</v>
      </c>
      <c r="P780">
        <v>1</v>
      </c>
      <c r="Q780" t="s">
        <v>1660</v>
      </c>
    </row>
    <row r="781" spans="1:18" x14ac:dyDescent="0.35">
      <c r="A781" t="s">
        <v>1377</v>
      </c>
      <c r="B781" s="19">
        <v>46179</v>
      </c>
      <c r="C781" t="s">
        <v>945</v>
      </c>
      <c r="D781" t="s">
        <v>71</v>
      </c>
      <c r="E781" t="s">
        <v>1295</v>
      </c>
      <c r="F781" t="s">
        <v>28</v>
      </c>
      <c r="G781">
        <v>0.63541666666666663</v>
      </c>
      <c r="H781">
        <v>0.63680555555555551</v>
      </c>
      <c r="I781">
        <v>10</v>
      </c>
      <c r="J781" t="s">
        <v>18</v>
      </c>
      <c r="K781" t="s">
        <v>19</v>
      </c>
      <c r="L781">
        <v>1842</v>
      </c>
      <c r="M781">
        <v>2</v>
      </c>
      <c r="N781" t="s">
        <v>1679</v>
      </c>
      <c r="O781" t="s">
        <v>1667</v>
      </c>
      <c r="P781">
        <v>1</v>
      </c>
      <c r="Q781" t="s">
        <v>1663</v>
      </c>
    </row>
    <row r="782" spans="1:18" x14ac:dyDescent="0.35">
      <c r="A782" t="s">
        <v>1378</v>
      </c>
      <c r="B782" s="19">
        <v>46179</v>
      </c>
      <c r="C782" t="s">
        <v>271</v>
      </c>
      <c r="D782" t="s">
        <v>413</v>
      </c>
      <c r="E782" t="s">
        <v>197</v>
      </c>
      <c r="F782" t="s">
        <v>17</v>
      </c>
      <c r="G782">
        <v>0.77430555555555558</v>
      </c>
      <c r="H782">
        <v>0.77986111111111112</v>
      </c>
      <c r="I782">
        <v>15</v>
      </c>
      <c r="J782" t="s">
        <v>18</v>
      </c>
      <c r="K782" t="s">
        <v>19</v>
      </c>
      <c r="L782">
        <v>2470</v>
      </c>
      <c r="M782">
        <v>8</v>
      </c>
      <c r="N782" t="s">
        <v>1679</v>
      </c>
      <c r="O782" t="s">
        <v>1667</v>
      </c>
      <c r="P782">
        <v>1</v>
      </c>
      <c r="Q782" t="s">
        <v>1665</v>
      </c>
    </row>
    <row r="783" spans="1:18" x14ac:dyDescent="0.35">
      <c r="A783" t="s">
        <v>1379</v>
      </c>
      <c r="B783" s="19">
        <v>46180</v>
      </c>
      <c r="C783" t="s">
        <v>1380</v>
      </c>
      <c r="D783" t="s">
        <v>79</v>
      </c>
      <c r="E783" t="s">
        <v>1295</v>
      </c>
      <c r="F783" t="s">
        <v>24</v>
      </c>
      <c r="G783">
        <v>0.40277777777777779</v>
      </c>
      <c r="H783">
        <v>0.41805555555555562</v>
      </c>
      <c r="I783">
        <v>19</v>
      </c>
      <c r="J783" t="s">
        <v>60</v>
      </c>
      <c r="K783" t="s">
        <v>19</v>
      </c>
      <c r="L783">
        <v>2134</v>
      </c>
      <c r="M783">
        <v>22</v>
      </c>
      <c r="N783" t="s">
        <v>1679</v>
      </c>
      <c r="O783" t="s">
        <v>1668</v>
      </c>
      <c r="P783">
        <v>0</v>
      </c>
      <c r="Q783" t="s">
        <v>1660</v>
      </c>
      <c r="R783" t="s">
        <v>1657</v>
      </c>
    </row>
    <row r="784" spans="1:18" x14ac:dyDescent="0.35">
      <c r="A784" t="s">
        <v>1381</v>
      </c>
      <c r="B784" s="19">
        <v>46180</v>
      </c>
      <c r="C784" t="s">
        <v>1014</v>
      </c>
      <c r="D784" t="s">
        <v>197</v>
      </c>
      <c r="E784" t="s">
        <v>546</v>
      </c>
      <c r="F784" t="s">
        <v>24</v>
      </c>
      <c r="G784">
        <v>0.58333333333333337</v>
      </c>
      <c r="H784">
        <v>0.58333333333333337</v>
      </c>
      <c r="I784">
        <v>10</v>
      </c>
      <c r="J784" t="s">
        <v>18</v>
      </c>
      <c r="K784" t="s">
        <v>19</v>
      </c>
      <c r="L784">
        <v>2243</v>
      </c>
      <c r="M784">
        <v>0</v>
      </c>
      <c r="N784" t="s">
        <v>1679</v>
      </c>
      <c r="O784" t="s">
        <v>1668</v>
      </c>
      <c r="P784">
        <v>1</v>
      </c>
      <c r="Q784" t="s">
        <v>1663</v>
      </c>
    </row>
    <row r="785" spans="1:18" x14ac:dyDescent="0.35">
      <c r="A785" t="s">
        <v>1382</v>
      </c>
      <c r="B785" s="19">
        <v>46180</v>
      </c>
      <c r="C785" t="s">
        <v>245</v>
      </c>
      <c r="D785" t="s">
        <v>84</v>
      </c>
      <c r="E785" t="s">
        <v>1549</v>
      </c>
      <c r="F785" t="s">
        <v>17</v>
      </c>
      <c r="G785">
        <v>0.79861111111111116</v>
      </c>
      <c r="H785">
        <v>0.81944444444444442</v>
      </c>
      <c r="I785">
        <v>25</v>
      </c>
      <c r="J785" t="s">
        <v>54</v>
      </c>
      <c r="K785" t="s">
        <v>19</v>
      </c>
      <c r="L785">
        <v>2489</v>
      </c>
      <c r="M785">
        <v>30</v>
      </c>
      <c r="N785" t="s">
        <v>1679</v>
      </c>
      <c r="O785" t="s">
        <v>1668</v>
      </c>
      <c r="P785">
        <v>0</v>
      </c>
      <c r="Q785" t="s">
        <v>1665</v>
      </c>
      <c r="R785" t="s">
        <v>1657</v>
      </c>
    </row>
    <row r="786" spans="1:18" x14ac:dyDescent="0.35">
      <c r="A786" t="s">
        <v>1383</v>
      </c>
      <c r="B786" s="19">
        <v>46181</v>
      </c>
      <c r="C786" t="s">
        <v>463</v>
      </c>
      <c r="D786" t="s">
        <v>1171</v>
      </c>
      <c r="E786" t="s">
        <v>71</v>
      </c>
      <c r="F786" t="s">
        <v>17</v>
      </c>
      <c r="G786">
        <v>0.36805555555555558</v>
      </c>
      <c r="H786">
        <v>0.37291666666666667</v>
      </c>
      <c r="I786">
        <v>13</v>
      </c>
      <c r="J786" t="s">
        <v>18</v>
      </c>
      <c r="K786" t="s">
        <v>19</v>
      </c>
      <c r="L786">
        <v>1438</v>
      </c>
      <c r="M786">
        <v>7</v>
      </c>
      <c r="N786" t="s">
        <v>1679</v>
      </c>
      <c r="O786" t="s">
        <v>1659</v>
      </c>
      <c r="P786">
        <v>1</v>
      </c>
      <c r="Q786" t="s">
        <v>1660</v>
      </c>
    </row>
    <row r="787" spans="1:18" x14ac:dyDescent="0.35">
      <c r="A787" t="s">
        <v>1384</v>
      </c>
      <c r="B787" s="19">
        <v>46181</v>
      </c>
      <c r="C787" t="s">
        <v>686</v>
      </c>
      <c r="D787" t="s">
        <v>197</v>
      </c>
      <c r="E787" t="s">
        <v>79</v>
      </c>
      <c r="F787" t="s">
        <v>24</v>
      </c>
      <c r="G787">
        <v>0.71875</v>
      </c>
      <c r="H787">
        <v>0.71805555555555556</v>
      </c>
      <c r="I787">
        <v>-11</v>
      </c>
      <c r="J787" t="s">
        <v>18</v>
      </c>
      <c r="K787" t="s">
        <v>19</v>
      </c>
      <c r="L787">
        <v>759</v>
      </c>
      <c r="M787">
        <v>-1</v>
      </c>
      <c r="N787" t="s">
        <v>1679</v>
      </c>
      <c r="O787" t="s">
        <v>1659</v>
      </c>
      <c r="P787">
        <v>1</v>
      </c>
      <c r="Q787" t="s">
        <v>1665</v>
      </c>
    </row>
    <row r="788" spans="1:18" x14ac:dyDescent="0.35">
      <c r="A788" t="s">
        <v>1385</v>
      </c>
      <c r="B788" s="19">
        <v>46182</v>
      </c>
      <c r="C788" t="s">
        <v>1386</v>
      </c>
      <c r="D788" t="s">
        <v>1295</v>
      </c>
      <c r="E788" t="s">
        <v>1549</v>
      </c>
      <c r="F788" t="s">
        <v>38</v>
      </c>
      <c r="G788">
        <v>0.71180555555555558</v>
      </c>
      <c r="H788">
        <v>0.71388888888888891</v>
      </c>
      <c r="I788">
        <v>-5</v>
      </c>
      <c r="J788" t="s">
        <v>18</v>
      </c>
      <c r="K788" t="s">
        <v>19</v>
      </c>
      <c r="L788">
        <v>2698</v>
      </c>
      <c r="M788">
        <v>3</v>
      </c>
      <c r="N788" t="s">
        <v>1679</v>
      </c>
      <c r="O788" t="s">
        <v>1661</v>
      </c>
      <c r="P788">
        <v>1</v>
      </c>
      <c r="Q788" t="s">
        <v>1665</v>
      </c>
    </row>
    <row r="789" spans="1:18" x14ac:dyDescent="0.35">
      <c r="A789" t="s">
        <v>1387</v>
      </c>
      <c r="B789" s="19">
        <v>46182</v>
      </c>
      <c r="C789" t="s">
        <v>239</v>
      </c>
      <c r="D789" t="s">
        <v>79</v>
      </c>
      <c r="E789" t="s">
        <v>197</v>
      </c>
      <c r="F789" t="s">
        <v>24</v>
      </c>
      <c r="G789">
        <v>0.76736111111111116</v>
      </c>
      <c r="H789">
        <v>0.80694444444444446</v>
      </c>
      <c r="I789">
        <v>61</v>
      </c>
      <c r="J789" t="s">
        <v>54</v>
      </c>
      <c r="K789" t="s">
        <v>19</v>
      </c>
      <c r="L789">
        <v>759</v>
      </c>
      <c r="M789">
        <v>57</v>
      </c>
      <c r="N789" t="s">
        <v>1679</v>
      </c>
      <c r="O789" t="s">
        <v>1661</v>
      </c>
      <c r="P789">
        <v>0</v>
      </c>
      <c r="Q789" t="s">
        <v>1665</v>
      </c>
      <c r="R789" t="s">
        <v>1657</v>
      </c>
    </row>
    <row r="790" spans="1:18" x14ac:dyDescent="0.35">
      <c r="A790" t="s">
        <v>1388</v>
      </c>
      <c r="B790" s="19">
        <v>46183</v>
      </c>
      <c r="C790" t="s">
        <v>292</v>
      </c>
      <c r="D790" t="s">
        <v>546</v>
      </c>
      <c r="E790" t="s">
        <v>79</v>
      </c>
      <c r="F790" t="s">
        <v>17</v>
      </c>
      <c r="G790">
        <v>0.24652777777777779</v>
      </c>
      <c r="H790">
        <v>0.2416666666666667</v>
      </c>
      <c r="I790">
        <v>-12</v>
      </c>
      <c r="J790" t="s">
        <v>18</v>
      </c>
      <c r="K790" t="s">
        <v>19</v>
      </c>
      <c r="L790">
        <v>1743</v>
      </c>
      <c r="N790" t="s">
        <v>1679</v>
      </c>
      <c r="O790" t="s">
        <v>1662</v>
      </c>
      <c r="P790">
        <v>1</v>
      </c>
      <c r="Q790" t="s">
        <v>1660</v>
      </c>
    </row>
    <row r="791" spans="1:18" x14ac:dyDescent="0.35">
      <c r="A791" t="s">
        <v>1389</v>
      </c>
      <c r="B791" s="19">
        <v>46183</v>
      </c>
      <c r="C791" t="s">
        <v>1058</v>
      </c>
      <c r="D791" t="s">
        <v>71</v>
      </c>
      <c r="E791" t="s">
        <v>197</v>
      </c>
      <c r="F791" t="s">
        <v>28</v>
      </c>
      <c r="G791">
        <v>0.73611111111111116</v>
      </c>
      <c r="H791">
        <v>0.76388888888888884</v>
      </c>
      <c r="I791">
        <v>27</v>
      </c>
      <c r="J791" t="s">
        <v>60</v>
      </c>
      <c r="K791" t="s">
        <v>19</v>
      </c>
      <c r="L791">
        <v>738</v>
      </c>
      <c r="M791">
        <v>40</v>
      </c>
      <c r="N791" t="s">
        <v>1679</v>
      </c>
      <c r="O791" t="s">
        <v>1662</v>
      </c>
      <c r="P791">
        <v>0</v>
      </c>
      <c r="Q791" t="s">
        <v>1665</v>
      </c>
      <c r="R791" t="s">
        <v>1657</v>
      </c>
    </row>
    <row r="792" spans="1:18" x14ac:dyDescent="0.35">
      <c r="A792" t="s">
        <v>1390</v>
      </c>
      <c r="B792" s="19">
        <v>46183</v>
      </c>
      <c r="C792" t="s">
        <v>452</v>
      </c>
      <c r="D792" t="s">
        <v>197</v>
      </c>
      <c r="E792" t="s">
        <v>202</v>
      </c>
      <c r="F792" t="s">
        <v>17</v>
      </c>
      <c r="G792">
        <v>0.82638888888888884</v>
      </c>
      <c r="H792">
        <v>0.87847222222222221</v>
      </c>
      <c r="I792">
        <v>62</v>
      </c>
      <c r="J792" t="s">
        <v>129</v>
      </c>
      <c r="K792" t="s">
        <v>19</v>
      </c>
      <c r="L792">
        <v>1092</v>
      </c>
      <c r="M792">
        <v>75</v>
      </c>
      <c r="N792" t="s">
        <v>1679</v>
      </c>
      <c r="O792" t="s">
        <v>1662</v>
      </c>
      <c r="P792">
        <v>0</v>
      </c>
      <c r="Q792" t="s">
        <v>1665</v>
      </c>
      <c r="R792" t="s">
        <v>1670</v>
      </c>
    </row>
    <row r="793" spans="1:18" x14ac:dyDescent="0.35">
      <c r="A793" t="s">
        <v>1391</v>
      </c>
      <c r="B793" s="19">
        <v>46184</v>
      </c>
      <c r="C793" t="s">
        <v>975</v>
      </c>
      <c r="D793" t="s">
        <v>197</v>
      </c>
      <c r="E793" t="s">
        <v>1295</v>
      </c>
      <c r="F793" t="s">
        <v>17</v>
      </c>
      <c r="G793">
        <v>0.71875</v>
      </c>
      <c r="H793">
        <v>0.75</v>
      </c>
      <c r="I793">
        <v>47</v>
      </c>
      <c r="J793" t="s">
        <v>54</v>
      </c>
      <c r="K793" t="s">
        <v>19</v>
      </c>
      <c r="L793">
        <v>2580</v>
      </c>
      <c r="M793">
        <v>45</v>
      </c>
      <c r="N793" t="s">
        <v>1679</v>
      </c>
      <c r="O793" t="s">
        <v>1664</v>
      </c>
      <c r="P793">
        <v>0</v>
      </c>
      <c r="Q793" t="s">
        <v>1665</v>
      </c>
      <c r="R793" t="s">
        <v>1657</v>
      </c>
    </row>
    <row r="794" spans="1:18" x14ac:dyDescent="0.35">
      <c r="A794" t="s">
        <v>1392</v>
      </c>
      <c r="B794" s="19">
        <v>46185</v>
      </c>
      <c r="C794" t="s">
        <v>935</v>
      </c>
      <c r="D794" t="s">
        <v>84</v>
      </c>
      <c r="E794" t="s">
        <v>226</v>
      </c>
      <c r="F794" t="s">
        <v>17</v>
      </c>
      <c r="G794">
        <v>0.56597222222222221</v>
      </c>
      <c r="H794">
        <v>0.56805555555555554</v>
      </c>
      <c r="I794">
        <v>11</v>
      </c>
      <c r="J794" t="s">
        <v>18</v>
      </c>
      <c r="K794" t="s">
        <v>19</v>
      </c>
      <c r="L794">
        <v>1023</v>
      </c>
      <c r="M794">
        <v>3</v>
      </c>
      <c r="N794" t="s">
        <v>1679</v>
      </c>
      <c r="O794" t="s">
        <v>1666</v>
      </c>
      <c r="P794">
        <v>1</v>
      </c>
      <c r="Q794" t="s">
        <v>1663</v>
      </c>
    </row>
    <row r="795" spans="1:18" x14ac:dyDescent="0.35">
      <c r="A795" t="s">
        <v>1393</v>
      </c>
      <c r="B795" s="19">
        <v>46185</v>
      </c>
      <c r="C795" t="s">
        <v>598</v>
      </c>
      <c r="D795" t="s">
        <v>84</v>
      </c>
      <c r="E795" t="s">
        <v>71</v>
      </c>
      <c r="F795" t="s">
        <v>17</v>
      </c>
      <c r="G795">
        <v>0.85069444444444442</v>
      </c>
      <c r="H795">
        <v>0.85277777777777775</v>
      </c>
      <c r="I795">
        <v>12</v>
      </c>
      <c r="J795" t="s">
        <v>18</v>
      </c>
      <c r="K795" t="s">
        <v>19</v>
      </c>
      <c r="L795">
        <v>1717</v>
      </c>
      <c r="M795">
        <v>3</v>
      </c>
      <c r="N795" t="s">
        <v>1679</v>
      </c>
      <c r="O795" t="s">
        <v>1666</v>
      </c>
      <c r="P795">
        <v>1</v>
      </c>
      <c r="Q795" t="s">
        <v>1665</v>
      </c>
    </row>
    <row r="796" spans="1:18" x14ac:dyDescent="0.35">
      <c r="A796" t="s">
        <v>1394</v>
      </c>
      <c r="B796" s="19">
        <v>46186</v>
      </c>
      <c r="C796" t="s">
        <v>1395</v>
      </c>
      <c r="D796" t="s">
        <v>1295</v>
      </c>
      <c r="E796" t="s">
        <v>1171</v>
      </c>
      <c r="F796" t="s">
        <v>17</v>
      </c>
      <c r="G796">
        <v>0.53472222222222221</v>
      </c>
      <c r="H796">
        <v>0.54305555555555551</v>
      </c>
      <c r="I796">
        <v>18</v>
      </c>
      <c r="J796" t="s">
        <v>18</v>
      </c>
      <c r="K796" t="s">
        <v>19</v>
      </c>
      <c r="L796">
        <v>651</v>
      </c>
      <c r="M796">
        <v>12</v>
      </c>
      <c r="N796" t="s">
        <v>1679</v>
      </c>
      <c r="O796" t="s">
        <v>1667</v>
      </c>
      <c r="P796">
        <v>0</v>
      </c>
      <c r="Q796" t="s">
        <v>1663</v>
      </c>
    </row>
    <row r="797" spans="1:18" x14ac:dyDescent="0.35">
      <c r="A797" t="s">
        <v>1396</v>
      </c>
      <c r="B797" s="19">
        <v>46187</v>
      </c>
      <c r="C797" t="s">
        <v>843</v>
      </c>
      <c r="D797" t="s">
        <v>226</v>
      </c>
      <c r="E797" t="s">
        <v>546</v>
      </c>
      <c r="F797" t="s">
        <v>17</v>
      </c>
      <c r="G797">
        <v>0.33333333333333331</v>
      </c>
      <c r="H797">
        <v>0.33124999999999999</v>
      </c>
      <c r="I797">
        <v>4</v>
      </c>
      <c r="J797" t="s">
        <v>18</v>
      </c>
      <c r="K797" t="s">
        <v>19</v>
      </c>
      <c r="L797">
        <v>627</v>
      </c>
      <c r="M797">
        <v>-3</v>
      </c>
      <c r="N797" t="s">
        <v>1679</v>
      </c>
      <c r="O797" t="s">
        <v>1668</v>
      </c>
      <c r="P797">
        <v>1</v>
      </c>
      <c r="Q797" t="s">
        <v>1660</v>
      </c>
    </row>
    <row r="798" spans="1:18" x14ac:dyDescent="0.35">
      <c r="A798" t="s">
        <v>1397</v>
      </c>
      <c r="B798" s="19">
        <v>46187</v>
      </c>
      <c r="C798" t="s">
        <v>587</v>
      </c>
      <c r="D798" t="s">
        <v>71</v>
      </c>
      <c r="E798" t="s">
        <v>79</v>
      </c>
      <c r="F798" t="s">
        <v>24</v>
      </c>
      <c r="G798">
        <v>0.34027777777777779</v>
      </c>
      <c r="H798">
        <v>0.34444444444444439</v>
      </c>
      <c r="I798">
        <v>-6</v>
      </c>
      <c r="J798" t="s">
        <v>18</v>
      </c>
      <c r="K798" t="s">
        <v>19</v>
      </c>
      <c r="L798">
        <v>606</v>
      </c>
      <c r="M798">
        <v>6</v>
      </c>
      <c r="N798" t="s">
        <v>1679</v>
      </c>
      <c r="O798" t="s">
        <v>1668</v>
      </c>
      <c r="P798">
        <v>1</v>
      </c>
      <c r="Q798" t="s">
        <v>1660</v>
      </c>
    </row>
    <row r="799" spans="1:18" x14ac:dyDescent="0.35">
      <c r="A799" t="s">
        <v>1398</v>
      </c>
      <c r="B799" s="19">
        <v>46187</v>
      </c>
      <c r="C799" t="s">
        <v>288</v>
      </c>
      <c r="D799" t="s">
        <v>226</v>
      </c>
      <c r="E799" t="s">
        <v>197</v>
      </c>
      <c r="F799" t="s">
        <v>38</v>
      </c>
      <c r="G799">
        <v>0.34722222222222221</v>
      </c>
      <c r="H799">
        <v>0.35416666666666669</v>
      </c>
      <c r="I799">
        <v>11</v>
      </c>
      <c r="J799" t="s">
        <v>18</v>
      </c>
      <c r="K799" t="s">
        <v>19</v>
      </c>
      <c r="L799">
        <v>1622</v>
      </c>
      <c r="M799">
        <v>10</v>
      </c>
      <c r="N799" t="s">
        <v>1679</v>
      </c>
      <c r="O799" t="s">
        <v>1668</v>
      </c>
      <c r="P799">
        <v>1</v>
      </c>
      <c r="Q799" t="s">
        <v>1660</v>
      </c>
    </row>
    <row r="800" spans="1:18" x14ac:dyDescent="0.35">
      <c r="A800" t="s">
        <v>1399</v>
      </c>
      <c r="B800" s="19">
        <v>46187</v>
      </c>
      <c r="C800" t="s">
        <v>1400</v>
      </c>
      <c r="D800" t="s">
        <v>79</v>
      </c>
      <c r="E800" t="s">
        <v>226</v>
      </c>
      <c r="F800" t="s">
        <v>28</v>
      </c>
      <c r="G800">
        <v>0.52430555555555558</v>
      </c>
      <c r="H800">
        <v>0.54236111111111107</v>
      </c>
      <c r="I800">
        <v>12</v>
      </c>
      <c r="J800" t="s">
        <v>319</v>
      </c>
      <c r="K800" t="s">
        <v>19</v>
      </c>
      <c r="L800">
        <v>1197</v>
      </c>
      <c r="M800">
        <v>26</v>
      </c>
      <c r="N800" t="s">
        <v>1679</v>
      </c>
      <c r="O800" t="s">
        <v>1668</v>
      </c>
      <c r="P800">
        <v>1</v>
      </c>
      <c r="Q800" t="s">
        <v>1663</v>
      </c>
      <c r="R800" t="s">
        <v>1670</v>
      </c>
    </row>
    <row r="801" spans="1:18" x14ac:dyDescent="0.35">
      <c r="A801" t="s">
        <v>1401</v>
      </c>
      <c r="B801" s="19">
        <v>46187</v>
      </c>
      <c r="C801" t="s">
        <v>1402</v>
      </c>
      <c r="D801" t="s">
        <v>197</v>
      </c>
      <c r="E801" t="s">
        <v>71</v>
      </c>
      <c r="F801" t="s">
        <v>17</v>
      </c>
      <c r="G801">
        <v>0.62152777777777779</v>
      </c>
      <c r="H801">
        <v>0.62430555555555556</v>
      </c>
      <c r="I801">
        <v>7</v>
      </c>
      <c r="J801" t="s">
        <v>18</v>
      </c>
      <c r="K801" t="s">
        <v>19</v>
      </c>
      <c r="L801">
        <v>738</v>
      </c>
      <c r="M801">
        <v>4</v>
      </c>
      <c r="N801" t="s">
        <v>1679</v>
      </c>
      <c r="O801" t="s">
        <v>1668</v>
      </c>
      <c r="P801">
        <v>1</v>
      </c>
      <c r="Q801" t="s">
        <v>1663</v>
      </c>
    </row>
    <row r="802" spans="1:18" x14ac:dyDescent="0.35">
      <c r="A802" t="s">
        <v>1403</v>
      </c>
      <c r="B802" s="19">
        <v>46187</v>
      </c>
      <c r="C802" t="s">
        <v>220</v>
      </c>
      <c r="D802" t="s">
        <v>588</v>
      </c>
      <c r="E802" t="s">
        <v>202</v>
      </c>
      <c r="F802" t="s">
        <v>28</v>
      </c>
      <c r="G802">
        <v>0.69444444444444442</v>
      </c>
      <c r="H802">
        <v>0.70763888888888893</v>
      </c>
      <c r="I802">
        <v>4</v>
      </c>
      <c r="J802" t="s">
        <v>54</v>
      </c>
      <c r="K802" t="s">
        <v>19</v>
      </c>
      <c r="L802">
        <v>1120</v>
      </c>
      <c r="M802">
        <v>19</v>
      </c>
      <c r="N802" t="s">
        <v>1679</v>
      </c>
      <c r="O802" t="s">
        <v>1668</v>
      </c>
      <c r="P802">
        <v>1</v>
      </c>
      <c r="Q802" t="s">
        <v>1663</v>
      </c>
      <c r="R802" t="s">
        <v>1657</v>
      </c>
    </row>
    <row r="803" spans="1:18" x14ac:dyDescent="0.35">
      <c r="A803" t="s">
        <v>1404</v>
      </c>
      <c r="B803" s="19">
        <v>46187</v>
      </c>
      <c r="C803" t="s">
        <v>1341</v>
      </c>
      <c r="D803" t="s">
        <v>84</v>
      </c>
      <c r="E803" t="s">
        <v>226</v>
      </c>
      <c r="F803" t="s">
        <v>28</v>
      </c>
      <c r="G803">
        <v>0.71180555555555558</v>
      </c>
      <c r="H803">
        <v>0.71944444444444444</v>
      </c>
      <c r="I803">
        <v>13</v>
      </c>
      <c r="J803" t="s">
        <v>18</v>
      </c>
      <c r="K803" t="s">
        <v>19</v>
      </c>
      <c r="L803">
        <v>1023</v>
      </c>
      <c r="M803">
        <v>11</v>
      </c>
      <c r="N803" t="s">
        <v>1679</v>
      </c>
      <c r="O803" t="s">
        <v>1668</v>
      </c>
      <c r="P803">
        <v>1</v>
      </c>
      <c r="Q803" t="s">
        <v>1665</v>
      </c>
    </row>
    <row r="804" spans="1:18" x14ac:dyDescent="0.35">
      <c r="A804" t="s">
        <v>1632</v>
      </c>
      <c r="B804" s="19">
        <v>46256</v>
      </c>
      <c r="C804" t="s">
        <v>424</v>
      </c>
      <c r="D804" t="s">
        <v>413</v>
      </c>
      <c r="E804" t="s">
        <v>71</v>
      </c>
      <c r="F804" t="s">
        <v>28</v>
      </c>
      <c r="G804">
        <v>0.60763888888888884</v>
      </c>
      <c r="H804">
        <v>0.60416666666666663</v>
      </c>
      <c r="I804">
        <v>-10</v>
      </c>
      <c r="J804" t="s">
        <v>18</v>
      </c>
      <c r="K804" t="s">
        <v>19</v>
      </c>
      <c r="L804">
        <v>1742</v>
      </c>
      <c r="M804">
        <v>-5</v>
      </c>
      <c r="N804" t="s">
        <v>1681</v>
      </c>
      <c r="O804" t="s">
        <v>1667</v>
      </c>
      <c r="P804">
        <v>1</v>
      </c>
      <c r="Q804" t="s">
        <v>1663</v>
      </c>
    </row>
    <row r="805" spans="1:18" x14ac:dyDescent="0.35">
      <c r="A805" t="s">
        <v>1406</v>
      </c>
      <c r="B805" s="19">
        <v>46187</v>
      </c>
      <c r="C805" t="s">
        <v>417</v>
      </c>
      <c r="D805" t="s">
        <v>71</v>
      </c>
      <c r="E805" t="s">
        <v>226</v>
      </c>
      <c r="F805" t="s">
        <v>17</v>
      </c>
      <c r="G805">
        <v>0.81597222222222221</v>
      </c>
      <c r="H805">
        <v>0.81041666666666667</v>
      </c>
      <c r="I805">
        <v>-1</v>
      </c>
      <c r="J805" t="s">
        <v>18</v>
      </c>
      <c r="K805" t="s">
        <v>19</v>
      </c>
      <c r="L805">
        <v>886</v>
      </c>
      <c r="M805">
        <v>-8</v>
      </c>
      <c r="N805" t="s">
        <v>1679</v>
      </c>
      <c r="O805" t="s">
        <v>1668</v>
      </c>
      <c r="P805">
        <v>1</v>
      </c>
      <c r="Q805" t="s">
        <v>1665</v>
      </c>
    </row>
    <row r="806" spans="1:18" x14ac:dyDescent="0.35">
      <c r="A806" t="s">
        <v>1407</v>
      </c>
      <c r="B806" s="19">
        <v>46188</v>
      </c>
      <c r="C806" t="s">
        <v>539</v>
      </c>
      <c r="D806" t="s">
        <v>588</v>
      </c>
      <c r="E806" t="s">
        <v>546</v>
      </c>
      <c r="F806" t="s">
        <v>38</v>
      </c>
      <c r="G806">
        <v>0.58333333333333337</v>
      </c>
      <c r="H806">
        <v>0.57986111111111116</v>
      </c>
      <c r="I806">
        <v>-7</v>
      </c>
      <c r="J806" t="s">
        <v>18</v>
      </c>
      <c r="K806" t="s">
        <v>19</v>
      </c>
      <c r="L806">
        <v>1053</v>
      </c>
      <c r="M806">
        <v>-5</v>
      </c>
      <c r="N806" t="s">
        <v>1679</v>
      </c>
      <c r="O806" t="s">
        <v>1659</v>
      </c>
      <c r="P806">
        <v>1</v>
      </c>
      <c r="Q806" t="s">
        <v>1663</v>
      </c>
    </row>
    <row r="807" spans="1:18" x14ac:dyDescent="0.35">
      <c r="A807" t="s">
        <v>1408</v>
      </c>
      <c r="B807" s="19">
        <v>46189</v>
      </c>
      <c r="C807" t="s">
        <v>512</v>
      </c>
      <c r="D807" t="s">
        <v>79</v>
      </c>
      <c r="E807" t="s">
        <v>202</v>
      </c>
      <c r="F807" t="s">
        <v>38</v>
      </c>
      <c r="G807">
        <v>0.78472222222222221</v>
      </c>
      <c r="H807">
        <v>0.79166666666666663</v>
      </c>
      <c r="I807">
        <v>18</v>
      </c>
      <c r="J807" t="s">
        <v>18</v>
      </c>
      <c r="K807" t="s">
        <v>19</v>
      </c>
      <c r="L807">
        <v>596</v>
      </c>
      <c r="M807">
        <v>10</v>
      </c>
      <c r="N807" t="s">
        <v>1679</v>
      </c>
      <c r="O807" t="s">
        <v>1661</v>
      </c>
      <c r="P807">
        <v>0</v>
      </c>
      <c r="Q807" t="s">
        <v>1665</v>
      </c>
    </row>
    <row r="808" spans="1:18" x14ac:dyDescent="0.35">
      <c r="A808" t="s">
        <v>1409</v>
      </c>
      <c r="B808" s="19">
        <v>46190</v>
      </c>
      <c r="C808" t="s">
        <v>1410</v>
      </c>
      <c r="D808" t="s">
        <v>202</v>
      </c>
      <c r="E808" t="s">
        <v>413</v>
      </c>
      <c r="F808" t="s">
        <v>24</v>
      </c>
      <c r="G808">
        <v>0.54513888888888884</v>
      </c>
      <c r="H808">
        <v>0.54374999999999996</v>
      </c>
      <c r="I808">
        <v>-5</v>
      </c>
      <c r="J808" t="s">
        <v>18</v>
      </c>
      <c r="K808" t="s">
        <v>19</v>
      </c>
      <c r="L808">
        <v>2338</v>
      </c>
      <c r="M808">
        <v>-2</v>
      </c>
      <c r="N808" t="s">
        <v>1679</v>
      </c>
      <c r="O808" t="s">
        <v>1662</v>
      </c>
      <c r="P808">
        <v>1</v>
      </c>
      <c r="Q808" t="s">
        <v>1663</v>
      </c>
    </row>
    <row r="809" spans="1:18" x14ac:dyDescent="0.35">
      <c r="A809" t="s">
        <v>1411</v>
      </c>
      <c r="B809" s="19">
        <v>46190</v>
      </c>
      <c r="C809" t="s">
        <v>1024</v>
      </c>
      <c r="D809" t="s">
        <v>79</v>
      </c>
      <c r="E809" t="s">
        <v>413</v>
      </c>
      <c r="F809" t="s">
        <v>17</v>
      </c>
      <c r="G809">
        <v>0.61111111111111116</v>
      </c>
      <c r="H809">
        <v>0.61250000000000004</v>
      </c>
      <c r="I809">
        <v>2</v>
      </c>
      <c r="J809" t="s">
        <v>18</v>
      </c>
      <c r="K809" t="s">
        <v>19</v>
      </c>
      <c r="L809">
        <v>1942</v>
      </c>
      <c r="M809">
        <v>2</v>
      </c>
      <c r="N809" t="s">
        <v>1679</v>
      </c>
      <c r="O809" t="s">
        <v>1662</v>
      </c>
      <c r="P809">
        <v>1</v>
      </c>
      <c r="Q809" t="s">
        <v>1663</v>
      </c>
    </row>
    <row r="810" spans="1:18" x14ac:dyDescent="0.35">
      <c r="A810" t="s">
        <v>1412</v>
      </c>
      <c r="B810" s="19">
        <v>46190</v>
      </c>
      <c r="C810" t="s">
        <v>157</v>
      </c>
      <c r="D810" t="s">
        <v>79</v>
      </c>
      <c r="E810" t="s">
        <v>226</v>
      </c>
      <c r="F810" t="s">
        <v>28</v>
      </c>
      <c r="G810">
        <v>0.69444444444444442</v>
      </c>
      <c r="H810">
        <v>0.72499999999999998</v>
      </c>
      <c r="I810">
        <v>52</v>
      </c>
      <c r="J810" t="s">
        <v>129</v>
      </c>
      <c r="K810" t="s">
        <v>19</v>
      </c>
      <c r="L810">
        <v>1197</v>
      </c>
      <c r="M810">
        <v>44</v>
      </c>
      <c r="N810" t="s">
        <v>1679</v>
      </c>
      <c r="O810" t="s">
        <v>1662</v>
      </c>
      <c r="P810">
        <v>0</v>
      </c>
      <c r="Q810" t="s">
        <v>1663</v>
      </c>
      <c r="R810" t="s">
        <v>1670</v>
      </c>
    </row>
    <row r="811" spans="1:18" x14ac:dyDescent="0.35">
      <c r="A811" t="s">
        <v>1413</v>
      </c>
      <c r="B811" s="19">
        <v>46191</v>
      </c>
      <c r="C811" t="s">
        <v>1193</v>
      </c>
      <c r="D811" t="s">
        <v>71</v>
      </c>
      <c r="E811" t="s">
        <v>546</v>
      </c>
      <c r="F811" t="s">
        <v>17</v>
      </c>
      <c r="G811">
        <v>0.30555555555555558</v>
      </c>
      <c r="H811">
        <v>0.30972222222222218</v>
      </c>
      <c r="I811">
        <v>3</v>
      </c>
      <c r="J811" t="s">
        <v>18</v>
      </c>
      <c r="K811" t="s">
        <v>19</v>
      </c>
      <c r="L811">
        <v>1511</v>
      </c>
      <c r="M811">
        <v>6</v>
      </c>
      <c r="N811" t="s">
        <v>1679</v>
      </c>
      <c r="O811" t="s">
        <v>1664</v>
      </c>
      <c r="P811">
        <v>1</v>
      </c>
      <c r="Q811" t="s">
        <v>1660</v>
      </c>
    </row>
    <row r="812" spans="1:18" x14ac:dyDescent="0.35">
      <c r="A812" t="s">
        <v>1414</v>
      </c>
      <c r="B812" s="19">
        <v>46191</v>
      </c>
      <c r="C812" t="s">
        <v>465</v>
      </c>
      <c r="D812" t="s">
        <v>71</v>
      </c>
      <c r="E812" t="s">
        <v>79</v>
      </c>
      <c r="F812" t="s">
        <v>28</v>
      </c>
      <c r="G812">
        <v>0.41319444444444442</v>
      </c>
      <c r="H812">
        <v>0.41736111111111113</v>
      </c>
      <c r="I812">
        <v>16</v>
      </c>
      <c r="J812" t="s">
        <v>18</v>
      </c>
      <c r="K812" t="s">
        <v>19</v>
      </c>
      <c r="L812">
        <v>606</v>
      </c>
      <c r="M812">
        <v>6</v>
      </c>
      <c r="N812" t="s">
        <v>1679</v>
      </c>
      <c r="O812" t="s">
        <v>1664</v>
      </c>
      <c r="P812">
        <v>0</v>
      </c>
      <c r="Q812" t="s">
        <v>1660</v>
      </c>
    </row>
    <row r="813" spans="1:18" x14ac:dyDescent="0.35">
      <c r="A813" t="s">
        <v>1415</v>
      </c>
      <c r="B813" s="19">
        <v>46191</v>
      </c>
      <c r="C813" t="s">
        <v>594</v>
      </c>
      <c r="D813" t="s">
        <v>413</v>
      </c>
      <c r="E813" t="s">
        <v>546</v>
      </c>
      <c r="F813" t="s">
        <v>38</v>
      </c>
      <c r="G813">
        <v>0.65625</v>
      </c>
      <c r="H813">
        <v>0.70763888888888893</v>
      </c>
      <c r="I813">
        <v>73</v>
      </c>
      <c r="J813" t="s">
        <v>54</v>
      </c>
      <c r="K813" t="s">
        <v>19</v>
      </c>
      <c r="L813">
        <v>236</v>
      </c>
      <c r="M813">
        <v>74</v>
      </c>
      <c r="N813" t="s">
        <v>1679</v>
      </c>
      <c r="O813" t="s">
        <v>1664</v>
      </c>
      <c r="P813">
        <v>0</v>
      </c>
      <c r="Q813" t="s">
        <v>1663</v>
      </c>
      <c r="R813" t="s">
        <v>1657</v>
      </c>
    </row>
    <row r="814" spans="1:18" x14ac:dyDescent="0.35">
      <c r="A814" t="s">
        <v>1416</v>
      </c>
      <c r="B814" s="19">
        <v>46192</v>
      </c>
      <c r="C814" t="s">
        <v>232</v>
      </c>
      <c r="D814" t="s">
        <v>71</v>
      </c>
      <c r="E814" t="s">
        <v>588</v>
      </c>
      <c r="F814" t="s">
        <v>24</v>
      </c>
      <c r="G814">
        <v>0.39930555555555558</v>
      </c>
      <c r="H814">
        <v>0.39791666666666659</v>
      </c>
      <c r="J814" t="s">
        <v>18</v>
      </c>
      <c r="K814" t="s">
        <v>19</v>
      </c>
      <c r="L814">
        <v>802</v>
      </c>
      <c r="M814">
        <v>-2</v>
      </c>
      <c r="N814" t="s">
        <v>1679</v>
      </c>
      <c r="O814" t="s">
        <v>1666</v>
      </c>
      <c r="Q814" t="s">
        <v>1660</v>
      </c>
    </row>
    <row r="815" spans="1:18" x14ac:dyDescent="0.35">
      <c r="A815" t="s">
        <v>1417</v>
      </c>
      <c r="B815" s="19">
        <v>46192</v>
      </c>
      <c r="C815" t="s">
        <v>324</v>
      </c>
      <c r="D815" t="s">
        <v>71</v>
      </c>
      <c r="E815" t="s">
        <v>79</v>
      </c>
      <c r="F815" t="s">
        <v>17</v>
      </c>
      <c r="G815">
        <v>0.45833333333333331</v>
      </c>
      <c r="H815">
        <v>0.46458333333333329</v>
      </c>
      <c r="I815">
        <v>13</v>
      </c>
      <c r="J815" t="s">
        <v>18</v>
      </c>
      <c r="K815" t="s">
        <v>19</v>
      </c>
      <c r="L815">
        <v>606</v>
      </c>
      <c r="M815">
        <v>9</v>
      </c>
      <c r="N815" t="s">
        <v>1679</v>
      </c>
      <c r="O815" t="s">
        <v>1666</v>
      </c>
      <c r="P815">
        <v>1</v>
      </c>
      <c r="Q815" t="s">
        <v>1660</v>
      </c>
    </row>
    <row r="816" spans="1:18" x14ac:dyDescent="0.35">
      <c r="A816" t="s">
        <v>1418</v>
      </c>
      <c r="B816" s="19">
        <v>46192</v>
      </c>
      <c r="C816" t="s">
        <v>1095</v>
      </c>
      <c r="D816" t="s">
        <v>1549</v>
      </c>
      <c r="E816" t="s">
        <v>1171</v>
      </c>
      <c r="F816" t="s">
        <v>17</v>
      </c>
      <c r="G816">
        <v>0.55208333333333337</v>
      </c>
      <c r="H816">
        <v>0.59375</v>
      </c>
      <c r="I816">
        <v>60</v>
      </c>
      <c r="J816" t="s">
        <v>60</v>
      </c>
      <c r="K816" t="s">
        <v>19</v>
      </c>
      <c r="L816">
        <v>2295</v>
      </c>
      <c r="M816">
        <v>60</v>
      </c>
      <c r="N816" t="s">
        <v>1679</v>
      </c>
      <c r="O816" t="s">
        <v>1666</v>
      </c>
      <c r="P816">
        <v>0</v>
      </c>
      <c r="Q816" t="s">
        <v>1663</v>
      </c>
      <c r="R816" t="s">
        <v>1657</v>
      </c>
    </row>
    <row r="817" spans="1:18" x14ac:dyDescent="0.35">
      <c r="A817" t="s">
        <v>1419</v>
      </c>
      <c r="B817" s="19">
        <v>46192</v>
      </c>
      <c r="C817" t="s">
        <v>1420</v>
      </c>
      <c r="D817" t="s">
        <v>79</v>
      </c>
      <c r="E817" t="s">
        <v>71</v>
      </c>
      <c r="F817" t="s">
        <v>28</v>
      </c>
      <c r="G817">
        <v>0.61111111111111116</v>
      </c>
      <c r="H817">
        <v>0.61111111111111116</v>
      </c>
      <c r="I817">
        <v>-8</v>
      </c>
      <c r="J817" t="s">
        <v>18</v>
      </c>
      <c r="K817" t="s">
        <v>19</v>
      </c>
      <c r="L817">
        <v>606</v>
      </c>
      <c r="M817">
        <v>0</v>
      </c>
      <c r="N817" t="s">
        <v>1679</v>
      </c>
      <c r="O817" t="s">
        <v>1666</v>
      </c>
      <c r="P817">
        <v>1</v>
      </c>
      <c r="Q817" t="s">
        <v>1663</v>
      </c>
    </row>
    <row r="818" spans="1:18" x14ac:dyDescent="0.35">
      <c r="A818" t="s">
        <v>1421</v>
      </c>
      <c r="B818" s="19">
        <v>46192</v>
      </c>
      <c r="C818" t="s">
        <v>1402</v>
      </c>
      <c r="D818" t="s">
        <v>197</v>
      </c>
      <c r="E818" t="s">
        <v>226</v>
      </c>
      <c r="F818" t="s">
        <v>17</v>
      </c>
      <c r="G818">
        <v>0.75694444444444442</v>
      </c>
      <c r="H818">
        <v>0.79791666666666672</v>
      </c>
      <c r="I818">
        <v>54</v>
      </c>
      <c r="J818" t="s">
        <v>477</v>
      </c>
      <c r="K818" t="s">
        <v>19</v>
      </c>
      <c r="L818">
        <v>1622</v>
      </c>
      <c r="M818">
        <v>59</v>
      </c>
      <c r="N818" t="s">
        <v>1679</v>
      </c>
      <c r="O818" t="s">
        <v>1666</v>
      </c>
      <c r="P818">
        <v>0</v>
      </c>
      <c r="Q818" t="s">
        <v>1665</v>
      </c>
      <c r="R818" t="s">
        <v>1670</v>
      </c>
    </row>
    <row r="819" spans="1:18" x14ac:dyDescent="0.35">
      <c r="A819" t="s">
        <v>1422</v>
      </c>
      <c r="B819" s="19">
        <v>46192</v>
      </c>
      <c r="C819" t="s">
        <v>458</v>
      </c>
      <c r="D819" t="s">
        <v>71</v>
      </c>
      <c r="E819" t="s">
        <v>202</v>
      </c>
      <c r="F819" t="s">
        <v>17</v>
      </c>
      <c r="G819">
        <v>0.89930555555555558</v>
      </c>
      <c r="H819">
        <v>0.93055555555555558</v>
      </c>
      <c r="I819">
        <v>35</v>
      </c>
      <c r="J819" t="s">
        <v>477</v>
      </c>
      <c r="K819" t="s">
        <v>19</v>
      </c>
      <c r="L819">
        <v>1199</v>
      </c>
      <c r="M819">
        <v>45</v>
      </c>
      <c r="N819" t="s">
        <v>1679</v>
      </c>
      <c r="O819" t="s">
        <v>1666</v>
      </c>
      <c r="P819">
        <v>0</v>
      </c>
      <c r="Q819" t="s">
        <v>1669</v>
      </c>
      <c r="R819" t="s">
        <v>1670</v>
      </c>
    </row>
    <row r="820" spans="1:18" x14ac:dyDescent="0.35">
      <c r="A820" t="s">
        <v>1423</v>
      </c>
      <c r="B820" s="19">
        <v>46194</v>
      </c>
      <c r="C820" t="s">
        <v>43</v>
      </c>
      <c r="D820" t="s">
        <v>1295</v>
      </c>
      <c r="E820" t="s">
        <v>413</v>
      </c>
      <c r="F820" t="s">
        <v>38</v>
      </c>
      <c r="G820">
        <v>0.75694444444444442</v>
      </c>
      <c r="H820">
        <v>0.76111111111111107</v>
      </c>
      <c r="I820">
        <v>2</v>
      </c>
      <c r="J820" t="s">
        <v>18</v>
      </c>
      <c r="K820" t="s">
        <v>19</v>
      </c>
      <c r="L820">
        <v>338</v>
      </c>
      <c r="M820">
        <v>6</v>
      </c>
      <c r="N820" t="s">
        <v>1679</v>
      </c>
      <c r="O820" t="s">
        <v>1668</v>
      </c>
      <c r="P820">
        <v>1</v>
      </c>
      <c r="Q820" t="s">
        <v>1665</v>
      </c>
    </row>
    <row r="821" spans="1:18" x14ac:dyDescent="0.35">
      <c r="A821" t="s">
        <v>1424</v>
      </c>
      <c r="B821" s="19">
        <v>46194</v>
      </c>
      <c r="C821" t="s">
        <v>1223</v>
      </c>
      <c r="D821" t="s">
        <v>413</v>
      </c>
      <c r="E821" t="s">
        <v>226</v>
      </c>
      <c r="F821" t="s">
        <v>24</v>
      </c>
      <c r="G821">
        <v>0.80902777777777779</v>
      </c>
      <c r="H821">
        <v>0.84166666666666667</v>
      </c>
      <c r="I821">
        <v>54</v>
      </c>
      <c r="J821" t="s">
        <v>60</v>
      </c>
      <c r="K821" t="s">
        <v>19</v>
      </c>
      <c r="L821">
        <v>861</v>
      </c>
      <c r="M821">
        <v>47</v>
      </c>
      <c r="N821" t="s">
        <v>1679</v>
      </c>
      <c r="O821" t="s">
        <v>1668</v>
      </c>
      <c r="P821">
        <v>0</v>
      </c>
      <c r="Q821" t="s">
        <v>1665</v>
      </c>
      <c r="R821" t="s">
        <v>1657</v>
      </c>
    </row>
    <row r="822" spans="1:18" x14ac:dyDescent="0.35">
      <c r="A822" t="s">
        <v>1425</v>
      </c>
      <c r="B822" s="19">
        <v>46195</v>
      </c>
      <c r="C822" t="s">
        <v>764</v>
      </c>
      <c r="D822" t="s">
        <v>79</v>
      </c>
      <c r="E822" t="s">
        <v>71</v>
      </c>
      <c r="F822" t="s">
        <v>24</v>
      </c>
      <c r="G822">
        <v>0.36458333333333331</v>
      </c>
      <c r="H822">
        <v>0.37152777777777779</v>
      </c>
      <c r="I822">
        <v>12</v>
      </c>
      <c r="J822" t="s">
        <v>18</v>
      </c>
      <c r="K822" t="s">
        <v>19</v>
      </c>
      <c r="L822">
        <v>606</v>
      </c>
      <c r="M822">
        <v>10</v>
      </c>
      <c r="N822" t="s">
        <v>1679</v>
      </c>
      <c r="O822" t="s">
        <v>1659</v>
      </c>
      <c r="P822">
        <v>1</v>
      </c>
      <c r="Q822" t="s">
        <v>1660</v>
      </c>
    </row>
    <row r="823" spans="1:18" x14ac:dyDescent="0.35">
      <c r="A823" t="s">
        <v>1426</v>
      </c>
      <c r="B823" s="19">
        <v>46195</v>
      </c>
      <c r="C823" t="s">
        <v>1427</v>
      </c>
      <c r="D823" t="s">
        <v>197</v>
      </c>
      <c r="E823" t="s">
        <v>71</v>
      </c>
      <c r="F823" t="s">
        <v>17</v>
      </c>
      <c r="G823">
        <v>0.78125</v>
      </c>
      <c r="H823">
        <v>0.80277777777777781</v>
      </c>
      <c r="I823">
        <v>38</v>
      </c>
      <c r="J823" t="s">
        <v>54</v>
      </c>
      <c r="K823" t="s">
        <v>19</v>
      </c>
      <c r="L823">
        <v>738</v>
      </c>
      <c r="M823">
        <v>31</v>
      </c>
      <c r="N823" t="s">
        <v>1679</v>
      </c>
      <c r="O823" t="s">
        <v>1659</v>
      </c>
      <c r="P823">
        <v>0</v>
      </c>
      <c r="Q823" t="s">
        <v>1665</v>
      </c>
      <c r="R823" t="s">
        <v>1657</v>
      </c>
    </row>
    <row r="824" spans="1:18" x14ac:dyDescent="0.35">
      <c r="A824" t="s">
        <v>1428</v>
      </c>
      <c r="B824" s="19">
        <v>46195</v>
      </c>
      <c r="C824" t="s">
        <v>543</v>
      </c>
      <c r="D824" t="s">
        <v>79</v>
      </c>
      <c r="E824" t="s">
        <v>197</v>
      </c>
      <c r="F824" t="s">
        <v>17</v>
      </c>
      <c r="G824">
        <v>0.79861111111111116</v>
      </c>
      <c r="H824">
        <v>0.82777777777777772</v>
      </c>
      <c r="I824">
        <v>40</v>
      </c>
      <c r="J824" t="s">
        <v>54</v>
      </c>
      <c r="K824" t="s">
        <v>19</v>
      </c>
      <c r="L824">
        <v>759</v>
      </c>
      <c r="M824">
        <v>42</v>
      </c>
      <c r="N824" t="s">
        <v>1679</v>
      </c>
      <c r="O824" t="s">
        <v>1659</v>
      </c>
      <c r="P824">
        <v>0</v>
      </c>
      <c r="Q824" t="s">
        <v>1665</v>
      </c>
      <c r="R824" t="s">
        <v>1657</v>
      </c>
    </row>
    <row r="825" spans="1:18" x14ac:dyDescent="0.35">
      <c r="A825" t="s">
        <v>1429</v>
      </c>
      <c r="B825" s="19">
        <v>46195</v>
      </c>
      <c r="C825" t="s">
        <v>367</v>
      </c>
      <c r="D825" t="s">
        <v>71</v>
      </c>
      <c r="E825" t="s">
        <v>202</v>
      </c>
      <c r="F825" t="s">
        <v>38</v>
      </c>
      <c r="G825">
        <v>0.82638888888888884</v>
      </c>
      <c r="H825">
        <v>0.82916666666666672</v>
      </c>
      <c r="I825">
        <v>-2</v>
      </c>
      <c r="J825" t="s">
        <v>18</v>
      </c>
      <c r="K825" t="s">
        <v>19</v>
      </c>
      <c r="L825">
        <v>1199</v>
      </c>
      <c r="N825" t="s">
        <v>1679</v>
      </c>
      <c r="O825" t="s">
        <v>1659</v>
      </c>
      <c r="P825">
        <v>1</v>
      </c>
      <c r="Q825" t="s">
        <v>1665</v>
      </c>
    </row>
    <row r="826" spans="1:18" x14ac:dyDescent="0.35">
      <c r="A826" t="s">
        <v>1430</v>
      </c>
      <c r="B826" s="19">
        <v>46196</v>
      </c>
      <c r="C826" t="s">
        <v>859</v>
      </c>
      <c r="D826" t="s">
        <v>588</v>
      </c>
      <c r="E826" t="s">
        <v>84</v>
      </c>
      <c r="F826" t="s">
        <v>17</v>
      </c>
      <c r="G826">
        <v>0.40277777777777779</v>
      </c>
      <c r="H826">
        <v>0.39861111111111108</v>
      </c>
      <c r="I826">
        <v>-14</v>
      </c>
      <c r="J826" t="s">
        <v>18</v>
      </c>
      <c r="K826" t="s">
        <v>19</v>
      </c>
      <c r="L826">
        <v>1658</v>
      </c>
      <c r="M826">
        <v>-6</v>
      </c>
      <c r="N826" t="s">
        <v>1679</v>
      </c>
      <c r="O826" t="s">
        <v>1661</v>
      </c>
      <c r="P826">
        <v>1</v>
      </c>
      <c r="Q826" t="s">
        <v>1660</v>
      </c>
    </row>
    <row r="827" spans="1:18" x14ac:dyDescent="0.35">
      <c r="A827" t="s">
        <v>1431</v>
      </c>
      <c r="B827" s="19">
        <v>46196</v>
      </c>
      <c r="C827" t="s">
        <v>1019</v>
      </c>
      <c r="D827" t="s">
        <v>202</v>
      </c>
      <c r="E827" t="s">
        <v>197</v>
      </c>
      <c r="F827" t="s">
        <v>38</v>
      </c>
      <c r="G827">
        <v>0.71875</v>
      </c>
      <c r="H827">
        <v>0.78402777777777777</v>
      </c>
      <c r="I827">
        <v>98</v>
      </c>
      <c r="J827" t="s">
        <v>477</v>
      </c>
      <c r="K827" t="s">
        <v>19</v>
      </c>
      <c r="L827">
        <v>1092</v>
      </c>
      <c r="M827">
        <v>94</v>
      </c>
      <c r="N827" t="s">
        <v>1679</v>
      </c>
      <c r="O827" t="s">
        <v>1661</v>
      </c>
      <c r="P827">
        <v>0</v>
      </c>
      <c r="Q827" t="s">
        <v>1665</v>
      </c>
      <c r="R827" t="s">
        <v>1670</v>
      </c>
    </row>
    <row r="828" spans="1:18" x14ac:dyDescent="0.35">
      <c r="A828" t="s">
        <v>1432</v>
      </c>
      <c r="B828" s="19">
        <v>46196</v>
      </c>
      <c r="C828" t="s">
        <v>1272</v>
      </c>
      <c r="D828" t="s">
        <v>588</v>
      </c>
      <c r="E828" t="s">
        <v>1549</v>
      </c>
      <c r="F828" t="s">
        <v>17</v>
      </c>
      <c r="G828">
        <v>0.72569444444444442</v>
      </c>
      <c r="H828">
        <v>0.72638888888888886</v>
      </c>
      <c r="I828">
        <v>-2</v>
      </c>
      <c r="J828" t="s">
        <v>18</v>
      </c>
      <c r="K828" t="s">
        <v>19</v>
      </c>
      <c r="L828">
        <v>1559</v>
      </c>
      <c r="M828">
        <v>1</v>
      </c>
      <c r="N828" t="s">
        <v>1679</v>
      </c>
      <c r="O828" t="s">
        <v>1661</v>
      </c>
      <c r="P828">
        <v>1</v>
      </c>
      <c r="Q828" t="s">
        <v>1665</v>
      </c>
    </row>
    <row r="829" spans="1:18" x14ac:dyDescent="0.35">
      <c r="A829" t="s">
        <v>1433</v>
      </c>
      <c r="B829" s="19">
        <v>46197</v>
      </c>
      <c r="C829" t="s">
        <v>1434</v>
      </c>
      <c r="D829" t="s">
        <v>1295</v>
      </c>
      <c r="E829" t="s">
        <v>413</v>
      </c>
      <c r="F829" t="s">
        <v>17</v>
      </c>
      <c r="G829">
        <v>0.52083333333333337</v>
      </c>
      <c r="H829">
        <v>0.52222222222222225</v>
      </c>
      <c r="I829">
        <v>-7</v>
      </c>
      <c r="J829" t="s">
        <v>18</v>
      </c>
      <c r="K829" t="s">
        <v>19</v>
      </c>
      <c r="L829">
        <v>338</v>
      </c>
      <c r="M829">
        <v>2</v>
      </c>
      <c r="N829" t="s">
        <v>1679</v>
      </c>
      <c r="O829" t="s">
        <v>1662</v>
      </c>
      <c r="P829">
        <v>1</v>
      </c>
      <c r="Q829" t="s">
        <v>1663</v>
      </c>
    </row>
    <row r="830" spans="1:18" x14ac:dyDescent="0.35">
      <c r="A830" t="s">
        <v>1435</v>
      </c>
      <c r="B830" s="19">
        <v>46197</v>
      </c>
      <c r="C830" t="s">
        <v>1436</v>
      </c>
      <c r="D830" t="s">
        <v>546</v>
      </c>
      <c r="E830" t="s">
        <v>202</v>
      </c>
      <c r="F830" t="s">
        <v>28</v>
      </c>
      <c r="G830">
        <v>0.87152777777777779</v>
      </c>
      <c r="H830">
        <v>0.86736111111111114</v>
      </c>
      <c r="I830">
        <v>-3</v>
      </c>
      <c r="J830" t="s">
        <v>18</v>
      </c>
      <c r="K830" t="s">
        <v>19</v>
      </c>
      <c r="L830">
        <v>2171</v>
      </c>
      <c r="M830">
        <v>-6</v>
      </c>
      <c r="N830" t="s">
        <v>1679</v>
      </c>
      <c r="O830" t="s">
        <v>1662</v>
      </c>
      <c r="P830">
        <v>1</v>
      </c>
      <c r="Q830" t="s">
        <v>1665</v>
      </c>
    </row>
    <row r="831" spans="1:18" x14ac:dyDescent="0.35">
      <c r="A831" t="s">
        <v>1437</v>
      </c>
      <c r="B831" s="19">
        <v>46198</v>
      </c>
      <c r="C831" t="s">
        <v>26</v>
      </c>
      <c r="D831" t="s">
        <v>197</v>
      </c>
      <c r="E831" t="s">
        <v>71</v>
      </c>
      <c r="F831" t="s">
        <v>24</v>
      </c>
      <c r="G831">
        <v>0.54513888888888884</v>
      </c>
      <c r="H831">
        <v>0.5444444444444444</v>
      </c>
      <c r="I831">
        <v>-8</v>
      </c>
      <c r="J831" t="s">
        <v>18</v>
      </c>
      <c r="K831" t="s">
        <v>19</v>
      </c>
      <c r="L831">
        <v>738</v>
      </c>
      <c r="M831">
        <v>-1</v>
      </c>
      <c r="N831" t="s">
        <v>1679</v>
      </c>
      <c r="O831" t="s">
        <v>1664</v>
      </c>
      <c r="P831">
        <v>1</v>
      </c>
      <c r="Q831" t="s">
        <v>1663</v>
      </c>
    </row>
    <row r="832" spans="1:18" x14ac:dyDescent="0.35">
      <c r="A832" t="s">
        <v>1438</v>
      </c>
      <c r="B832" s="19">
        <v>46198</v>
      </c>
      <c r="C832" t="s">
        <v>1439</v>
      </c>
      <c r="D832" t="s">
        <v>588</v>
      </c>
      <c r="E832" t="s">
        <v>413</v>
      </c>
      <c r="F832" t="s">
        <v>28</v>
      </c>
      <c r="G832">
        <v>0.55555555555555558</v>
      </c>
      <c r="H832">
        <v>0.56041666666666667</v>
      </c>
      <c r="I832">
        <v>12</v>
      </c>
      <c r="J832" t="s">
        <v>18</v>
      </c>
      <c r="K832" t="s">
        <v>19</v>
      </c>
      <c r="L832">
        <v>1232</v>
      </c>
      <c r="M832">
        <v>7</v>
      </c>
      <c r="N832" t="s">
        <v>1679</v>
      </c>
      <c r="O832" t="s">
        <v>1664</v>
      </c>
      <c r="P832">
        <v>1</v>
      </c>
      <c r="Q832" t="s">
        <v>1663</v>
      </c>
    </row>
    <row r="833" spans="1:18" x14ac:dyDescent="0.35">
      <c r="A833" t="s">
        <v>1440</v>
      </c>
      <c r="B833" s="19">
        <v>46198</v>
      </c>
      <c r="C833" t="s">
        <v>1062</v>
      </c>
      <c r="D833" t="s">
        <v>226</v>
      </c>
      <c r="E833" t="s">
        <v>413</v>
      </c>
      <c r="F833" t="s">
        <v>17</v>
      </c>
      <c r="G833">
        <v>0.62152777777777779</v>
      </c>
      <c r="H833">
        <v>0.62083333333333335</v>
      </c>
      <c r="I833">
        <v>8</v>
      </c>
      <c r="J833" t="s">
        <v>18</v>
      </c>
      <c r="K833" t="s">
        <v>19</v>
      </c>
      <c r="L833">
        <v>861</v>
      </c>
      <c r="M833">
        <v>-1</v>
      </c>
      <c r="N833" t="s">
        <v>1679</v>
      </c>
      <c r="O833" t="s">
        <v>1664</v>
      </c>
      <c r="P833">
        <v>1</v>
      </c>
      <c r="Q833" t="s">
        <v>1663</v>
      </c>
    </row>
    <row r="834" spans="1:18" x14ac:dyDescent="0.35">
      <c r="A834" t="s">
        <v>1441</v>
      </c>
      <c r="B834" s="19">
        <v>46199</v>
      </c>
      <c r="C834" t="s">
        <v>1442</v>
      </c>
      <c r="D834" t="s">
        <v>197</v>
      </c>
      <c r="E834" t="s">
        <v>588</v>
      </c>
      <c r="F834" t="s">
        <v>28</v>
      </c>
      <c r="G834">
        <v>0.72916666666666663</v>
      </c>
      <c r="H834">
        <v>0.72569444444444442</v>
      </c>
      <c r="I834">
        <v>3</v>
      </c>
      <c r="J834" t="s">
        <v>18</v>
      </c>
      <c r="K834" t="s">
        <v>19</v>
      </c>
      <c r="L834">
        <v>1389</v>
      </c>
      <c r="M834">
        <v>-5</v>
      </c>
      <c r="N834" t="s">
        <v>1679</v>
      </c>
      <c r="O834" t="s">
        <v>1666</v>
      </c>
      <c r="P834">
        <v>1</v>
      </c>
      <c r="Q834" t="s">
        <v>1665</v>
      </c>
    </row>
    <row r="835" spans="1:18" x14ac:dyDescent="0.35">
      <c r="A835" t="s">
        <v>1443</v>
      </c>
      <c r="B835" s="19">
        <v>46200</v>
      </c>
      <c r="C835" t="s">
        <v>714</v>
      </c>
      <c r="D835" t="s">
        <v>202</v>
      </c>
      <c r="E835" t="s">
        <v>1171</v>
      </c>
      <c r="F835" t="s">
        <v>17</v>
      </c>
      <c r="G835">
        <v>0.58680555555555558</v>
      </c>
      <c r="H835">
        <v>0.59236111111111112</v>
      </c>
      <c r="I835">
        <v>-3</v>
      </c>
      <c r="J835" t="s">
        <v>18</v>
      </c>
      <c r="K835" t="s">
        <v>19</v>
      </c>
      <c r="L835">
        <v>1969</v>
      </c>
      <c r="M835">
        <v>8</v>
      </c>
      <c r="N835" t="s">
        <v>1679</v>
      </c>
      <c r="O835" t="s">
        <v>1667</v>
      </c>
      <c r="P835">
        <v>1</v>
      </c>
      <c r="Q835" t="s">
        <v>1663</v>
      </c>
    </row>
    <row r="836" spans="1:18" x14ac:dyDescent="0.35">
      <c r="A836" t="s">
        <v>1444</v>
      </c>
      <c r="B836" s="19">
        <v>46200</v>
      </c>
      <c r="C836" t="s">
        <v>812</v>
      </c>
      <c r="D836" t="s">
        <v>71</v>
      </c>
      <c r="E836" t="s">
        <v>588</v>
      </c>
      <c r="F836" t="s">
        <v>24</v>
      </c>
      <c r="G836">
        <v>0.65625</v>
      </c>
      <c r="H836">
        <v>0.65763888888888888</v>
      </c>
      <c r="I836">
        <v>-2</v>
      </c>
      <c r="J836" t="s">
        <v>18</v>
      </c>
      <c r="K836" t="s">
        <v>19</v>
      </c>
      <c r="L836">
        <v>802</v>
      </c>
      <c r="M836">
        <v>2</v>
      </c>
      <c r="N836" t="s">
        <v>1679</v>
      </c>
      <c r="O836" t="s">
        <v>1667</v>
      </c>
      <c r="P836">
        <v>1</v>
      </c>
      <c r="Q836" t="s">
        <v>1663</v>
      </c>
    </row>
    <row r="837" spans="1:18" x14ac:dyDescent="0.35">
      <c r="A837" t="s">
        <v>1445</v>
      </c>
      <c r="B837" s="19">
        <v>46201</v>
      </c>
      <c r="C837" t="s">
        <v>1233</v>
      </c>
      <c r="D837" t="s">
        <v>71</v>
      </c>
      <c r="E837" t="s">
        <v>588</v>
      </c>
      <c r="F837" t="s">
        <v>24</v>
      </c>
      <c r="G837">
        <v>0.36458333333333331</v>
      </c>
      <c r="H837">
        <v>0.39097222222222222</v>
      </c>
      <c r="I837">
        <v>23</v>
      </c>
      <c r="J837" t="s">
        <v>54</v>
      </c>
      <c r="K837" t="s">
        <v>19</v>
      </c>
      <c r="L837">
        <v>802</v>
      </c>
      <c r="M837">
        <v>38</v>
      </c>
      <c r="N837" t="s">
        <v>1679</v>
      </c>
      <c r="O837" t="s">
        <v>1668</v>
      </c>
      <c r="P837">
        <v>0</v>
      </c>
      <c r="Q837" t="s">
        <v>1660</v>
      </c>
      <c r="R837" t="s">
        <v>1657</v>
      </c>
    </row>
    <row r="838" spans="1:18" x14ac:dyDescent="0.35">
      <c r="A838" t="s">
        <v>1446</v>
      </c>
      <c r="B838" s="19">
        <v>46202</v>
      </c>
      <c r="C838" t="s">
        <v>1447</v>
      </c>
      <c r="D838" t="s">
        <v>1171</v>
      </c>
      <c r="E838" t="s">
        <v>197</v>
      </c>
      <c r="F838" t="s">
        <v>28</v>
      </c>
      <c r="G838">
        <v>0.49652777777777779</v>
      </c>
      <c r="H838">
        <v>0.49236111111111108</v>
      </c>
      <c r="I838">
        <v>-11</v>
      </c>
      <c r="J838" t="s">
        <v>18</v>
      </c>
      <c r="K838" t="s">
        <v>19</v>
      </c>
      <c r="L838">
        <v>2149</v>
      </c>
      <c r="M838">
        <v>-6</v>
      </c>
      <c r="N838" t="s">
        <v>1679</v>
      </c>
      <c r="O838" t="s">
        <v>1659</v>
      </c>
      <c r="P838">
        <v>1</v>
      </c>
      <c r="Q838" t="s">
        <v>1660</v>
      </c>
    </row>
    <row r="839" spans="1:18" x14ac:dyDescent="0.35">
      <c r="A839" t="s">
        <v>1448</v>
      </c>
      <c r="B839" s="19">
        <v>46202</v>
      </c>
      <c r="C839" t="s">
        <v>426</v>
      </c>
      <c r="D839" t="s">
        <v>226</v>
      </c>
      <c r="E839" t="s">
        <v>71</v>
      </c>
      <c r="F839" t="s">
        <v>17</v>
      </c>
      <c r="G839">
        <v>0.55902777777777779</v>
      </c>
      <c r="H839">
        <v>0.56041666666666667</v>
      </c>
      <c r="I839">
        <v>10</v>
      </c>
      <c r="J839" t="s">
        <v>18</v>
      </c>
      <c r="K839" t="s">
        <v>19</v>
      </c>
      <c r="L839">
        <v>886</v>
      </c>
      <c r="M839">
        <v>2</v>
      </c>
      <c r="N839" t="s">
        <v>1679</v>
      </c>
      <c r="O839" t="s">
        <v>1659</v>
      </c>
      <c r="P839">
        <v>1</v>
      </c>
      <c r="Q839" t="s">
        <v>1663</v>
      </c>
    </row>
    <row r="840" spans="1:18" x14ac:dyDescent="0.35">
      <c r="A840" t="s">
        <v>1449</v>
      </c>
      <c r="B840" s="19">
        <v>46203</v>
      </c>
      <c r="C840" t="s">
        <v>801</v>
      </c>
      <c r="D840" t="s">
        <v>588</v>
      </c>
      <c r="E840" t="s">
        <v>197</v>
      </c>
      <c r="F840" t="s">
        <v>28</v>
      </c>
      <c r="G840">
        <v>0.25347222222222221</v>
      </c>
      <c r="H840">
        <v>0.30833333333333329</v>
      </c>
      <c r="I840">
        <v>83</v>
      </c>
      <c r="J840" t="s">
        <v>60</v>
      </c>
      <c r="K840" t="s">
        <v>19</v>
      </c>
      <c r="L840">
        <v>1389</v>
      </c>
      <c r="M840">
        <v>79</v>
      </c>
      <c r="N840" t="s">
        <v>1679</v>
      </c>
      <c r="O840" t="s">
        <v>1661</v>
      </c>
      <c r="P840">
        <v>0</v>
      </c>
      <c r="Q840" t="s">
        <v>1660</v>
      </c>
      <c r="R840" t="s">
        <v>1657</v>
      </c>
    </row>
    <row r="841" spans="1:18" x14ac:dyDescent="0.35">
      <c r="A841" t="s">
        <v>1450</v>
      </c>
      <c r="B841" s="19">
        <v>46203</v>
      </c>
      <c r="C841" t="s">
        <v>1451</v>
      </c>
      <c r="D841" t="s">
        <v>84</v>
      </c>
      <c r="E841" t="s">
        <v>79</v>
      </c>
      <c r="F841" t="s">
        <v>17</v>
      </c>
      <c r="G841">
        <v>0.4861111111111111</v>
      </c>
      <c r="H841">
        <v>0.49236111111111108</v>
      </c>
      <c r="I841">
        <v>12</v>
      </c>
      <c r="J841" t="s">
        <v>18</v>
      </c>
      <c r="K841" t="s">
        <v>19</v>
      </c>
      <c r="L841">
        <v>2178</v>
      </c>
      <c r="M841">
        <v>9</v>
      </c>
      <c r="N841" t="s">
        <v>1679</v>
      </c>
      <c r="O841" t="s">
        <v>1661</v>
      </c>
      <c r="P841">
        <v>1</v>
      </c>
      <c r="Q841" t="s">
        <v>1660</v>
      </c>
    </row>
    <row r="842" spans="1:18" x14ac:dyDescent="0.35">
      <c r="A842" t="s">
        <v>1452</v>
      </c>
      <c r="B842" s="19">
        <v>46204</v>
      </c>
      <c r="C842" t="s">
        <v>519</v>
      </c>
      <c r="D842" t="s">
        <v>202</v>
      </c>
      <c r="E842" t="s">
        <v>588</v>
      </c>
      <c r="F842" t="s">
        <v>24</v>
      </c>
      <c r="G842">
        <v>0.33680555555555558</v>
      </c>
      <c r="H842">
        <v>0.34375</v>
      </c>
      <c r="I842">
        <v>16</v>
      </c>
      <c r="J842" t="s">
        <v>18</v>
      </c>
      <c r="K842" t="s">
        <v>19</v>
      </c>
      <c r="L842">
        <v>1120</v>
      </c>
      <c r="M842">
        <v>10</v>
      </c>
      <c r="N842" t="s">
        <v>1680</v>
      </c>
      <c r="O842" t="s">
        <v>1662</v>
      </c>
      <c r="P842">
        <v>0</v>
      </c>
      <c r="Q842" t="s">
        <v>1660</v>
      </c>
    </row>
    <row r="843" spans="1:18" x14ac:dyDescent="0.35">
      <c r="A843" t="s">
        <v>1453</v>
      </c>
      <c r="B843" s="19">
        <v>46204</v>
      </c>
      <c r="C843" t="s">
        <v>1454</v>
      </c>
      <c r="D843" t="s">
        <v>71</v>
      </c>
      <c r="E843" t="s">
        <v>79</v>
      </c>
      <c r="F843" t="s">
        <v>24</v>
      </c>
      <c r="G843">
        <v>0.40972222222222221</v>
      </c>
      <c r="H843">
        <v>0.41666666666666669</v>
      </c>
      <c r="I843">
        <v>4</v>
      </c>
      <c r="J843" t="s">
        <v>18</v>
      </c>
      <c r="K843" t="s">
        <v>19</v>
      </c>
      <c r="L843">
        <v>606</v>
      </c>
      <c r="M843">
        <v>10</v>
      </c>
      <c r="N843" t="s">
        <v>1680</v>
      </c>
      <c r="O843" t="s">
        <v>1662</v>
      </c>
      <c r="P843">
        <v>1</v>
      </c>
      <c r="Q843" t="s">
        <v>1660</v>
      </c>
    </row>
    <row r="844" spans="1:18" x14ac:dyDescent="0.35">
      <c r="A844" t="s">
        <v>1455</v>
      </c>
      <c r="B844" s="19">
        <v>46204</v>
      </c>
      <c r="C844" t="s">
        <v>1447</v>
      </c>
      <c r="D844" t="s">
        <v>1295</v>
      </c>
      <c r="E844" t="s">
        <v>79</v>
      </c>
      <c r="F844" t="s">
        <v>24</v>
      </c>
      <c r="G844">
        <v>0.5</v>
      </c>
      <c r="H844">
        <v>0.49861111111111112</v>
      </c>
      <c r="I844">
        <v>1</v>
      </c>
      <c r="J844" t="s">
        <v>18</v>
      </c>
      <c r="K844" t="s">
        <v>19</v>
      </c>
      <c r="L844">
        <v>2134</v>
      </c>
      <c r="M844">
        <v>-2</v>
      </c>
      <c r="N844" t="s">
        <v>1680</v>
      </c>
      <c r="O844" t="s">
        <v>1662</v>
      </c>
      <c r="P844">
        <v>1</v>
      </c>
      <c r="Q844" t="s">
        <v>1663</v>
      </c>
    </row>
    <row r="845" spans="1:18" x14ac:dyDescent="0.35">
      <c r="A845" t="s">
        <v>1456</v>
      </c>
      <c r="B845" s="19">
        <v>46204</v>
      </c>
      <c r="C845" t="s">
        <v>1457</v>
      </c>
      <c r="D845" t="s">
        <v>71</v>
      </c>
      <c r="E845" t="s">
        <v>79</v>
      </c>
      <c r="F845" t="s">
        <v>24</v>
      </c>
      <c r="G845">
        <v>0.63194444444444442</v>
      </c>
      <c r="H845">
        <v>0.63472222222222219</v>
      </c>
      <c r="I845">
        <v>-1</v>
      </c>
      <c r="J845" t="s">
        <v>18</v>
      </c>
      <c r="K845" t="s">
        <v>19</v>
      </c>
      <c r="L845">
        <v>606</v>
      </c>
      <c r="M845">
        <v>4</v>
      </c>
      <c r="N845" t="s">
        <v>1680</v>
      </c>
      <c r="O845" t="s">
        <v>1662</v>
      </c>
      <c r="P845">
        <v>1</v>
      </c>
      <c r="Q845" t="s">
        <v>1663</v>
      </c>
    </row>
    <row r="846" spans="1:18" x14ac:dyDescent="0.35">
      <c r="A846" t="s">
        <v>1458</v>
      </c>
      <c r="B846" s="19">
        <v>46204</v>
      </c>
      <c r="C846" t="s">
        <v>1010</v>
      </c>
      <c r="D846" t="s">
        <v>84</v>
      </c>
      <c r="E846" t="s">
        <v>226</v>
      </c>
      <c r="F846" t="s">
        <v>24</v>
      </c>
      <c r="G846">
        <v>0.77777777777777779</v>
      </c>
      <c r="H846">
        <v>0.79236111111111107</v>
      </c>
      <c r="I846">
        <v>13</v>
      </c>
      <c r="J846" t="s">
        <v>477</v>
      </c>
      <c r="K846" t="s">
        <v>19</v>
      </c>
      <c r="L846">
        <v>1023</v>
      </c>
      <c r="M846">
        <v>21</v>
      </c>
      <c r="N846" t="s">
        <v>1680</v>
      </c>
      <c r="O846" t="s">
        <v>1662</v>
      </c>
      <c r="P846">
        <v>1</v>
      </c>
      <c r="Q846" t="s">
        <v>1665</v>
      </c>
      <c r="R846" t="s">
        <v>1670</v>
      </c>
    </row>
    <row r="847" spans="1:18" x14ac:dyDescent="0.35">
      <c r="A847" t="s">
        <v>1459</v>
      </c>
      <c r="B847" s="19">
        <v>46204</v>
      </c>
      <c r="C847" t="s">
        <v>1460</v>
      </c>
      <c r="D847" t="s">
        <v>1171</v>
      </c>
      <c r="E847" t="s">
        <v>71</v>
      </c>
      <c r="F847" t="s">
        <v>17</v>
      </c>
      <c r="G847">
        <v>0.80555555555555558</v>
      </c>
      <c r="H847">
        <v>0.80833333333333335</v>
      </c>
      <c r="I847">
        <v>9</v>
      </c>
      <c r="J847" t="s">
        <v>18</v>
      </c>
      <c r="K847" t="s">
        <v>19</v>
      </c>
      <c r="L847">
        <v>1438</v>
      </c>
      <c r="M847">
        <v>4</v>
      </c>
      <c r="N847" t="s">
        <v>1680</v>
      </c>
      <c r="O847" t="s">
        <v>1662</v>
      </c>
      <c r="P847">
        <v>1</v>
      </c>
      <c r="Q847" t="s">
        <v>1665</v>
      </c>
    </row>
    <row r="848" spans="1:18" x14ac:dyDescent="0.35">
      <c r="A848" t="s">
        <v>1461</v>
      </c>
      <c r="B848" s="19">
        <v>46205</v>
      </c>
      <c r="C848" t="s">
        <v>1462</v>
      </c>
      <c r="D848" t="s">
        <v>1549</v>
      </c>
      <c r="E848" t="s">
        <v>197</v>
      </c>
      <c r="F848" t="s">
        <v>24</v>
      </c>
      <c r="G848">
        <v>0.74305555555555558</v>
      </c>
      <c r="H848">
        <v>0.74791666666666667</v>
      </c>
      <c r="I848">
        <v>-3</v>
      </c>
      <c r="J848" t="s">
        <v>18</v>
      </c>
      <c r="K848" t="s">
        <v>19</v>
      </c>
      <c r="L848">
        <v>186</v>
      </c>
      <c r="M848">
        <v>7</v>
      </c>
      <c r="N848" t="s">
        <v>1680</v>
      </c>
      <c r="O848" t="s">
        <v>1664</v>
      </c>
      <c r="P848">
        <v>1</v>
      </c>
      <c r="Q848" t="s">
        <v>1665</v>
      </c>
    </row>
    <row r="849" spans="1:18" x14ac:dyDescent="0.35">
      <c r="A849" t="s">
        <v>1463</v>
      </c>
      <c r="B849" s="19">
        <v>46205</v>
      </c>
      <c r="C849" t="s">
        <v>889</v>
      </c>
      <c r="D849" t="s">
        <v>84</v>
      </c>
      <c r="E849" t="s">
        <v>588</v>
      </c>
      <c r="F849" t="s">
        <v>17</v>
      </c>
      <c r="G849">
        <v>0.78819444444444442</v>
      </c>
      <c r="H849">
        <v>0.78680555555555554</v>
      </c>
      <c r="I849">
        <v>-1</v>
      </c>
      <c r="J849" t="s">
        <v>18</v>
      </c>
      <c r="K849" t="s">
        <v>19</v>
      </c>
      <c r="L849">
        <v>1658</v>
      </c>
      <c r="M849">
        <v>-2</v>
      </c>
      <c r="N849" t="s">
        <v>1680</v>
      </c>
      <c r="O849" t="s">
        <v>1664</v>
      </c>
      <c r="P849">
        <v>1</v>
      </c>
      <c r="Q849" t="s">
        <v>1665</v>
      </c>
    </row>
    <row r="850" spans="1:18" x14ac:dyDescent="0.35">
      <c r="A850" t="s">
        <v>1464</v>
      </c>
      <c r="B850" s="19">
        <v>46206</v>
      </c>
      <c r="C850" t="s">
        <v>1123</v>
      </c>
      <c r="D850" t="s">
        <v>588</v>
      </c>
      <c r="E850" t="s">
        <v>1549</v>
      </c>
      <c r="F850" t="s">
        <v>24</v>
      </c>
      <c r="G850">
        <v>0.3125</v>
      </c>
      <c r="H850">
        <v>0.35</v>
      </c>
      <c r="I850">
        <v>50</v>
      </c>
      <c r="J850" t="s">
        <v>60</v>
      </c>
      <c r="K850" t="s">
        <v>19</v>
      </c>
      <c r="L850">
        <v>1559</v>
      </c>
      <c r="M850">
        <v>54</v>
      </c>
      <c r="N850" t="s">
        <v>1680</v>
      </c>
      <c r="O850" t="s">
        <v>1666</v>
      </c>
      <c r="P850">
        <v>0</v>
      </c>
      <c r="Q850" t="s">
        <v>1660</v>
      </c>
      <c r="R850" t="s">
        <v>1657</v>
      </c>
    </row>
    <row r="851" spans="1:18" x14ac:dyDescent="0.35">
      <c r="A851" t="s">
        <v>1465</v>
      </c>
      <c r="B851" s="19">
        <v>46206</v>
      </c>
      <c r="C851" t="s">
        <v>905</v>
      </c>
      <c r="D851" t="s">
        <v>79</v>
      </c>
      <c r="E851" t="s">
        <v>84</v>
      </c>
      <c r="F851" t="s">
        <v>17</v>
      </c>
      <c r="G851">
        <v>0.93055555555555558</v>
      </c>
      <c r="H851">
        <v>0.93263888888888891</v>
      </c>
      <c r="I851">
        <v>1</v>
      </c>
      <c r="J851" t="s">
        <v>18</v>
      </c>
      <c r="K851" t="s">
        <v>19</v>
      </c>
      <c r="L851">
        <v>2178</v>
      </c>
      <c r="M851">
        <v>3</v>
      </c>
      <c r="N851" t="s">
        <v>1680</v>
      </c>
      <c r="O851" t="s">
        <v>1666</v>
      </c>
      <c r="P851">
        <v>1</v>
      </c>
      <c r="Q851" t="s">
        <v>1669</v>
      </c>
    </row>
    <row r="852" spans="1:18" x14ac:dyDescent="0.35">
      <c r="A852" t="s">
        <v>1466</v>
      </c>
      <c r="B852" s="19">
        <v>46207</v>
      </c>
      <c r="C852" t="s">
        <v>290</v>
      </c>
      <c r="D852" t="s">
        <v>588</v>
      </c>
      <c r="E852" t="s">
        <v>71</v>
      </c>
      <c r="F852" t="s">
        <v>28</v>
      </c>
      <c r="G852">
        <v>0.2638888888888889</v>
      </c>
      <c r="H852">
        <v>0.26458333333333328</v>
      </c>
      <c r="I852">
        <v>6</v>
      </c>
      <c r="J852" t="s">
        <v>18</v>
      </c>
      <c r="K852" t="s">
        <v>19</v>
      </c>
      <c r="L852">
        <v>802</v>
      </c>
      <c r="M852">
        <v>1</v>
      </c>
      <c r="N852" t="s">
        <v>1680</v>
      </c>
      <c r="O852" t="s">
        <v>1667</v>
      </c>
      <c r="P852">
        <v>1</v>
      </c>
      <c r="Q852" t="s">
        <v>1660</v>
      </c>
    </row>
    <row r="853" spans="1:18" x14ac:dyDescent="0.35">
      <c r="A853" t="s">
        <v>1467</v>
      </c>
      <c r="B853" s="19">
        <v>46207</v>
      </c>
      <c r="C853" t="s">
        <v>1468</v>
      </c>
      <c r="D853" t="s">
        <v>1171</v>
      </c>
      <c r="E853" t="s">
        <v>197</v>
      </c>
      <c r="F853" t="s">
        <v>28</v>
      </c>
      <c r="G853">
        <v>0.46527777777777779</v>
      </c>
      <c r="H853">
        <v>0.47222222222222221</v>
      </c>
      <c r="I853">
        <v>3</v>
      </c>
      <c r="J853" t="s">
        <v>18</v>
      </c>
      <c r="K853" t="s">
        <v>19</v>
      </c>
      <c r="L853">
        <v>2149</v>
      </c>
      <c r="M853">
        <v>10</v>
      </c>
      <c r="N853" t="s">
        <v>1680</v>
      </c>
      <c r="O853" t="s">
        <v>1667</v>
      </c>
      <c r="P853">
        <v>1</v>
      </c>
      <c r="Q853" t="s">
        <v>1660</v>
      </c>
    </row>
    <row r="854" spans="1:18" x14ac:dyDescent="0.35">
      <c r="A854" t="s">
        <v>1469</v>
      </c>
      <c r="B854" s="19">
        <v>46207</v>
      </c>
      <c r="C854" t="s">
        <v>1098</v>
      </c>
      <c r="D854" t="s">
        <v>79</v>
      </c>
      <c r="E854" t="s">
        <v>1171</v>
      </c>
      <c r="F854" t="s">
        <v>17</v>
      </c>
      <c r="G854">
        <v>0.46875</v>
      </c>
      <c r="I854">
        <v>0</v>
      </c>
      <c r="J854" t="s">
        <v>18</v>
      </c>
      <c r="K854" t="s">
        <v>19</v>
      </c>
      <c r="L854">
        <v>1584</v>
      </c>
      <c r="M854">
        <v>-3</v>
      </c>
      <c r="N854" t="s">
        <v>1680</v>
      </c>
      <c r="O854" t="s">
        <v>1667</v>
      </c>
      <c r="P854">
        <v>1</v>
      </c>
      <c r="Q854" t="s">
        <v>1660</v>
      </c>
    </row>
    <row r="855" spans="1:18" x14ac:dyDescent="0.35">
      <c r="A855" t="s">
        <v>1470</v>
      </c>
      <c r="B855" s="19">
        <v>46207</v>
      </c>
      <c r="C855" t="s">
        <v>465</v>
      </c>
      <c r="D855" t="s">
        <v>79</v>
      </c>
      <c r="E855" t="s">
        <v>1295</v>
      </c>
      <c r="F855" t="s">
        <v>24</v>
      </c>
      <c r="G855">
        <v>0.69444444444444442</v>
      </c>
      <c r="H855">
        <v>0.72013888888888888</v>
      </c>
      <c r="I855">
        <v>38</v>
      </c>
      <c r="J855" t="s">
        <v>129</v>
      </c>
      <c r="K855" t="s">
        <v>19</v>
      </c>
      <c r="L855">
        <v>2134</v>
      </c>
      <c r="M855">
        <v>37</v>
      </c>
      <c r="N855" t="s">
        <v>1680</v>
      </c>
      <c r="O855" t="s">
        <v>1667</v>
      </c>
      <c r="P855">
        <v>0</v>
      </c>
      <c r="Q855" t="s">
        <v>1663</v>
      </c>
      <c r="R855" t="s">
        <v>1670</v>
      </c>
    </row>
    <row r="856" spans="1:18" x14ac:dyDescent="0.35">
      <c r="A856" t="s">
        <v>1471</v>
      </c>
      <c r="B856" s="19">
        <v>46208</v>
      </c>
      <c r="C856" t="s">
        <v>176</v>
      </c>
      <c r="D856" t="s">
        <v>84</v>
      </c>
      <c r="E856" t="s">
        <v>71</v>
      </c>
      <c r="F856" t="s">
        <v>24</v>
      </c>
      <c r="G856">
        <v>0.35416666666666669</v>
      </c>
      <c r="H856">
        <v>0.39930555555555558</v>
      </c>
      <c r="I856">
        <v>61</v>
      </c>
      <c r="J856" t="s">
        <v>54</v>
      </c>
      <c r="K856" t="s">
        <v>19</v>
      </c>
      <c r="L856">
        <v>1717</v>
      </c>
      <c r="M856">
        <v>65</v>
      </c>
      <c r="N856" t="s">
        <v>1680</v>
      </c>
      <c r="O856" t="s">
        <v>1668</v>
      </c>
      <c r="P856">
        <v>0</v>
      </c>
      <c r="Q856" t="s">
        <v>1660</v>
      </c>
      <c r="R856" t="s">
        <v>1657</v>
      </c>
    </row>
    <row r="857" spans="1:18" x14ac:dyDescent="0.35">
      <c r="A857" t="s">
        <v>1472</v>
      </c>
      <c r="B857" s="19">
        <v>46208</v>
      </c>
      <c r="C857" t="s">
        <v>866</v>
      </c>
      <c r="D857" t="s">
        <v>71</v>
      </c>
      <c r="E857" t="s">
        <v>1549</v>
      </c>
      <c r="F857" t="s">
        <v>24</v>
      </c>
      <c r="G857">
        <v>0.60763888888888884</v>
      </c>
      <c r="H857">
        <v>0.68125000000000002</v>
      </c>
      <c r="I857">
        <v>106</v>
      </c>
      <c r="J857" t="s">
        <v>60</v>
      </c>
      <c r="K857" t="s">
        <v>19</v>
      </c>
      <c r="L857">
        <v>864</v>
      </c>
      <c r="M857">
        <v>106</v>
      </c>
      <c r="N857" t="s">
        <v>1680</v>
      </c>
      <c r="O857" t="s">
        <v>1668</v>
      </c>
      <c r="P857">
        <v>0</v>
      </c>
      <c r="Q857" t="s">
        <v>1663</v>
      </c>
      <c r="R857" t="s">
        <v>1657</v>
      </c>
    </row>
    <row r="858" spans="1:18" x14ac:dyDescent="0.35">
      <c r="A858" t="s">
        <v>1473</v>
      </c>
      <c r="B858" s="19">
        <v>46208</v>
      </c>
      <c r="C858" t="s">
        <v>804</v>
      </c>
      <c r="D858" t="s">
        <v>202</v>
      </c>
      <c r="E858" t="s">
        <v>71</v>
      </c>
      <c r="F858" t="s">
        <v>24</v>
      </c>
      <c r="G858">
        <v>0.66319444444444442</v>
      </c>
      <c r="H858">
        <v>0.66874999999999996</v>
      </c>
      <c r="I858">
        <v>-4</v>
      </c>
      <c r="J858" t="s">
        <v>18</v>
      </c>
      <c r="K858" t="s">
        <v>19</v>
      </c>
      <c r="L858">
        <v>1199</v>
      </c>
      <c r="M858">
        <v>8</v>
      </c>
      <c r="N858" t="s">
        <v>1680</v>
      </c>
      <c r="O858" t="s">
        <v>1668</v>
      </c>
      <c r="P858">
        <v>1</v>
      </c>
      <c r="Q858" t="s">
        <v>1663</v>
      </c>
    </row>
    <row r="859" spans="1:18" x14ac:dyDescent="0.35">
      <c r="A859" t="s">
        <v>1474</v>
      </c>
      <c r="B859" s="19">
        <v>46208</v>
      </c>
      <c r="C859" t="s">
        <v>1386</v>
      </c>
      <c r="D859" t="s">
        <v>197</v>
      </c>
      <c r="E859" t="s">
        <v>71</v>
      </c>
      <c r="F859" t="s">
        <v>17</v>
      </c>
      <c r="G859">
        <v>0.66666666666666663</v>
      </c>
      <c r="H859">
        <v>0.67083333333333328</v>
      </c>
      <c r="I859">
        <v>-3</v>
      </c>
      <c r="J859" t="s">
        <v>18</v>
      </c>
      <c r="K859" t="s">
        <v>19</v>
      </c>
      <c r="L859">
        <v>738</v>
      </c>
      <c r="M859">
        <v>6</v>
      </c>
      <c r="N859" t="s">
        <v>1680</v>
      </c>
      <c r="O859" t="s">
        <v>1668</v>
      </c>
      <c r="P859">
        <v>1</v>
      </c>
      <c r="Q859" t="s">
        <v>1663</v>
      </c>
    </row>
    <row r="860" spans="1:18" x14ac:dyDescent="0.35">
      <c r="A860" t="s">
        <v>1475</v>
      </c>
      <c r="B860" s="19">
        <v>46208</v>
      </c>
      <c r="C860" t="s">
        <v>182</v>
      </c>
      <c r="D860" t="s">
        <v>79</v>
      </c>
      <c r="E860" t="s">
        <v>1171</v>
      </c>
      <c r="F860" t="s">
        <v>24</v>
      </c>
      <c r="G860">
        <v>0.92708333333333337</v>
      </c>
      <c r="I860">
        <v>7</v>
      </c>
      <c r="J860" t="s">
        <v>18</v>
      </c>
      <c r="K860" t="s">
        <v>19</v>
      </c>
      <c r="L860">
        <v>1584</v>
      </c>
      <c r="M860">
        <v>4</v>
      </c>
      <c r="N860" t="s">
        <v>1680</v>
      </c>
      <c r="O860" t="s">
        <v>1668</v>
      </c>
      <c r="P860">
        <v>1</v>
      </c>
      <c r="Q860" t="s">
        <v>1669</v>
      </c>
    </row>
    <row r="861" spans="1:18" x14ac:dyDescent="0.35">
      <c r="A861" t="s">
        <v>1476</v>
      </c>
      <c r="B861" s="19">
        <v>46209</v>
      </c>
      <c r="C861" t="s">
        <v>1477</v>
      </c>
      <c r="D861" t="s">
        <v>588</v>
      </c>
      <c r="E861" t="s">
        <v>413</v>
      </c>
      <c r="F861" t="s">
        <v>17</v>
      </c>
      <c r="G861">
        <v>0.41666666666666669</v>
      </c>
      <c r="H861">
        <v>0.41388888888888892</v>
      </c>
      <c r="I861">
        <v>-7</v>
      </c>
      <c r="J861" t="s">
        <v>18</v>
      </c>
      <c r="K861" t="s">
        <v>19</v>
      </c>
      <c r="L861">
        <v>1232</v>
      </c>
      <c r="M861">
        <v>-4</v>
      </c>
      <c r="N861" t="s">
        <v>1680</v>
      </c>
      <c r="O861" t="s">
        <v>1659</v>
      </c>
      <c r="P861">
        <v>1</v>
      </c>
      <c r="Q861" t="s">
        <v>1660</v>
      </c>
    </row>
    <row r="862" spans="1:18" x14ac:dyDescent="0.35">
      <c r="A862" t="s">
        <v>1478</v>
      </c>
      <c r="B862" s="19">
        <v>46210</v>
      </c>
      <c r="C862" t="s">
        <v>444</v>
      </c>
      <c r="D862" t="s">
        <v>84</v>
      </c>
      <c r="E862" t="s">
        <v>197</v>
      </c>
      <c r="F862" t="s">
        <v>28</v>
      </c>
      <c r="G862">
        <v>0.25694444444444442</v>
      </c>
      <c r="H862">
        <v>0.26250000000000001</v>
      </c>
      <c r="I862">
        <v>-4</v>
      </c>
      <c r="J862" t="s">
        <v>18</v>
      </c>
      <c r="K862" t="s">
        <v>19</v>
      </c>
      <c r="L862">
        <v>2415</v>
      </c>
      <c r="M862">
        <v>8</v>
      </c>
      <c r="N862" t="s">
        <v>1680</v>
      </c>
      <c r="O862" t="s">
        <v>1661</v>
      </c>
      <c r="P862">
        <v>1</v>
      </c>
      <c r="Q862" t="s">
        <v>1660</v>
      </c>
    </row>
    <row r="863" spans="1:18" x14ac:dyDescent="0.35">
      <c r="A863" t="s">
        <v>1479</v>
      </c>
      <c r="B863" s="19">
        <v>46210</v>
      </c>
      <c r="C863" t="s">
        <v>877</v>
      </c>
      <c r="D863" t="s">
        <v>588</v>
      </c>
      <c r="E863" t="s">
        <v>226</v>
      </c>
      <c r="F863" t="s">
        <v>38</v>
      </c>
      <c r="G863">
        <v>0.26041666666666669</v>
      </c>
      <c r="H863">
        <v>0.26041666666666669</v>
      </c>
      <c r="I863">
        <v>8</v>
      </c>
      <c r="J863" t="s">
        <v>18</v>
      </c>
      <c r="K863" t="s">
        <v>19</v>
      </c>
      <c r="L863">
        <v>641</v>
      </c>
      <c r="M863">
        <v>0</v>
      </c>
      <c r="N863" t="s">
        <v>1680</v>
      </c>
      <c r="O863" t="s">
        <v>1661</v>
      </c>
      <c r="P863">
        <v>1</v>
      </c>
      <c r="Q863" t="s">
        <v>1660</v>
      </c>
    </row>
    <row r="864" spans="1:18" x14ac:dyDescent="0.35">
      <c r="A864" t="s">
        <v>1480</v>
      </c>
      <c r="B864" s="19">
        <v>46210</v>
      </c>
      <c r="C864" t="s">
        <v>1481</v>
      </c>
      <c r="D864" t="s">
        <v>71</v>
      </c>
      <c r="E864" t="s">
        <v>197</v>
      </c>
      <c r="F864" t="s">
        <v>38</v>
      </c>
      <c r="G864">
        <v>0.30208333333333331</v>
      </c>
      <c r="H864">
        <v>0.33611111111111108</v>
      </c>
      <c r="I864">
        <v>41</v>
      </c>
      <c r="J864" t="s">
        <v>54</v>
      </c>
      <c r="K864" t="s">
        <v>19</v>
      </c>
      <c r="L864">
        <v>738</v>
      </c>
      <c r="M864">
        <v>49</v>
      </c>
      <c r="N864" t="s">
        <v>1680</v>
      </c>
      <c r="O864" t="s">
        <v>1661</v>
      </c>
      <c r="P864">
        <v>0</v>
      </c>
      <c r="Q864" t="s">
        <v>1660</v>
      </c>
      <c r="R864" t="s">
        <v>1657</v>
      </c>
    </row>
    <row r="865" spans="1:18" x14ac:dyDescent="0.35">
      <c r="A865" t="s">
        <v>1482</v>
      </c>
      <c r="B865" s="19">
        <v>46210</v>
      </c>
      <c r="C865" t="s">
        <v>1483</v>
      </c>
      <c r="D865" t="s">
        <v>202</v>
      </c>
      <c r="E865" t="s">
        <v>79</v>
      </c>
      <c r="F865" t="s">
        <v>17</v>
      </c>
      <c r="G865">
        <v>0.34027777777777779</v>
      </c>
      <c r="H865">
        <v>0.33680555555555558</v>
      </c>
      <c r="I865">
        <v>3</v>
      </c>
      <c r="J865" t="s">
        <v>18</v>
      </c>
      <c r="K865" t="s">
        <v>19</v>
      </c>
      <c r="L865">
        <v>596</v>
      </c>
      <c r="M865">
        <v>-5</v>
      </c>
      <c r="N865" t="s">
        <v>1680</v>
      </c>
      <c r="O865" t="s">
        <v>1661</v>
      </c>
      <c r="P865">
        <v>1</v>
      </c>
      <c r="Q865" t="s">
        <v>1660</v>
      </c>
    </row>
    <row r="866" spans="1:18" x14ac:dyDescent="0.35">
      <c r="A866" t="s">
        <v>1484</v>
      </c>
      <c r="B866" s="19">
        <v>46210</v>
      </c>
      <c r="C866" t="s">
        <v>1110</v>
      </c>
      <c r="D866" t="s">
        <v>588</v>
      </c>
      <c r="E866" t="s">
        <v>79</v>
      </c>
      <c r="F866" t="s">
        <v>28</v>
      </c>
      <c r="G866">
        <v>0.3576388888888889</v>
      </c>
      <c r="H866">
        <v>0.3576388888888889</v>
      </c>
      <c r="I866">
        <v>7</v>
      </c>
      <c r="J866" t="s">
        <v>18</v>
      </c>
      <c r="K866" t="s">
        <v>19</v>
      </c>
      <c r="L866">
        <v>730</v>
      </c>
      <c r="M866">
        <v>0</v>
      </c>
      <c r="N866" t="s">
        <v>1680</v>
      </c>
      <c r="O866" t="s">
        <v>1661</v>
      </c>
      <c r="P866">
        <v>1</v>
      </c>
      <c r="Q866" t="s">
        <v>1660</v>
      </c>
    </row>
    <row r="867" spans="1:18" x14ac:dyDescent="0.35">
      <c r="A867" t="s">
        <v>1485</v>
      </c>
      <c r="B867" s="19">
        <v>46210</v>
      </c>
      <c r="C867" t="s">
        <v>1142</v>
      </c>
      <c r="D867" t="s">
        <v>79</v>
      </c>
      <c r="E867" t="s">
        <v>71</v>
      </c>
      <c r="F867" t="s">
        <v>24</v>
      </c>
      <c r="G867">
        <v>0.3576388888888889</v>
      </c>
      <c r="H867">
        <v>0.39652777777777781</v>
      </c>
      <c r="I867">
        <v>42</v>
      </c>
      <c r="J867" t="s">
        <v>60</v>
      </c>
      <c r="K867" t="s">
        <v>19</v>
      </c>
      <c r="L867">
        <v>606</v>
      </c>
      <c r="M867">
        <v>56</v>
      </c>
      <c r="N867" t="s">
        <v>1680</v>
      </c>
      <c r="O867" t="s">
        <v>1661</v>
      </c>
      <c r="P867">
        <v>0</v>
      </c>
      <c r="Q867" t="s">
        <v>1660</v>
      </c>
      <c r="R867" t="s">
        <v>1657</v>
      </c>
    </row>
    <row r="868" spans="1:18" x14ac:dyDescent="0.35">
      <c r="A868" t="s">
        <v>1486</v>
      </c>
      <c r="B868" s="19">
        <v>46210</v>
      </c>
      <c r="C868" t="s">
        <v>1487</v>
      </c>
      <c r="D868" t="s">
        <v>588</v>
      </c>
      <c r="E868" t="s">
        <v>546</v>
      </c>
      <c r="F868" t="s">
        <v>24</v>
      </c>
      <c r="G868">
        <v>0.65972222222222221</v>
      </c>
      <c r="H868">
        <v>0.7055555555555556</v>
      </c>
      <c r="I868">
        <v>67</v>
      </c>
      <c r="J868" t="s">
        <v>129</v>
      </c>
      <c r="K868" t="s">
        <v>19</v>
      </c>
      <c r="L868">
        <v>1053</v>
      </c>
      <c r="M868">
        <v>66</v>
      </c>
      <c r="N868" t="s">
        <v>1680</v>
      </c>
      <c r="O868" t="s">
        <v>1661</v>
      </c>
      <c r="P868">
        <v>0</v>
      </c>
      <c r="Q868" t="s">
        <v>1663</v>
      </c>
      <c r="R868" t="s">
        <v>1670</v>
      </c>
    </row>
    <row r="869" spans="1:18" x14ac:dyDescent="0.35">
      <c r="A869" t="s">
        <v>1488</v>
      </c>
      <c r="B869" s="19">
        <v>46210</v>
      </c>
      <c r="C869" t="s">
        <v>1489</v>
      </c>
      <c r="D869" t="s">
        <v>71</v>
      </c>
      <c r="E869" t="s">
        <v>197</v>
      </c>
      <c r="F869" t="s">
        <v>24</v>
      </c>
      <c r="G869">
        <v>0.78472222222222221</v>
      </c>
      <c r="H869">
        <v>0.78055555555555556</v>
      </c>
      <c r="I869">
        <v>-8</v>
      </c>
      <c r="J869" t="s">
        <v>18</v>
      </c>
      <c r="K869" t="s">
        <v>19</v>
      </c>
      <c r="L869">
        <v>738</v>
      </c>
      <c r="M869">
        <v>-6</v>
      </c>
      <c r="N869" t="s">
        <v>1680</v>
      </c>
      <c r="O869" t="s">
        <v>1661</v>
      </c>
      <c r="P869">
        <v>1</v>
      </c>
      <c r="Q869" t="s">
        <v>1665</v>
      </c>
    </row>
    <row r="870" spans="1:18" x14ac:dyDescent="0.35">
      <c r="A870" t="s">
        <v>1490</v>
      </c>
      <c r="B870" s="19">
        <v>46211</v>
      </c>
      <c r="C870" t="s">
        <v>804</v>
      </c>
      <c r="D870" t="s">
        <v>84</v>
      </c>
      <c r="E870" t="s">
        <v>1549</v>
      </c>
      <c r="F870" t="s">
        <v>24</v>
      </c>
      <c r="G870">
        <v>0.40277777777777779</v>
      </c>
      <c r="H870">
        <v>0.40902777777777782</v>
      </c>
      <c r="I870">
        <v>1</v>
      </c>
      <c r="J870" t="s">
        <v>18</v>
      </c>
      <c r="K870" t="s">
        <v>19</v>
      </c>
      <c r="L870">
        <v>2489</v>
      </c>
      <c r="M870">
        <v>9</v>
      </c>
      <c r="N870" t="s">
        <v>1680</v>
      </c>
      <c r="O870" t="s">
        <v>1662</v>
      </c>
      <c r="P870">
        <v>1</v>
      </c>
      <c r="Q870" t="s">
        <v>1660</v>
      </c>
    </row>
    <row r="871" spans="1:18" x14ac:dyDescent="0.35">
      <c r="A871" t="s">
        <v>1491</v>
      </c>
      <c r="B871" s="19">
        <v>46211</v>
      </c>
      <c r="C871" t="s">
        <v>512</v>
      </c>
      <c r="D871" t="s">
        <v>71</v>
      </c>
      <c r="E871" t="s">
        <v>79</v>
      </c>
      <c r="F871" t="s">
        <v>17</v>
      </c>
      <c r="G871">
        <v>0.40277777777777779</v>
      </c>
      <c r="H871">
        <v>0.39861111111111108</v>
      </c>
      <c r="I871">
        <v>-12</v>
      </c>
      <c r="J871" t="s">
        <v>18</v>
      </c>
      <c r="K871" t="s">
        <v>19</v>
      </c>
      <c r="L871">
        <v>606</v>
      </c>
      <c r="M871">
        <v>-6</v>
      </c>
      <c r="N871" t="s">
        <v>1680</v>
      </c>
      <c r="O871" t="s">
        <v>1662</v>
      </c>
      <c r="P871">
        <v>1</v>
      </c>
      <c r="Q871" t="s">
        <v>1660</v>
      </c>
    </row>
    <row r="872" spans="1:18" x14ac:dyDescent="0.35">
      <c r="A872" t="s">
        <v>1492</v>
      </c>
      <c r="B872" s="19">
        <v>46211</v>
      </c>
      <c r="C872" t="s">
        <v>1131</v>
      </c>
      <c r="D872" t="s">
        <v>79</v>
      </c>
      <c r="E872" t="s">
        <v>546</v>
      </c>
      <c r="F872" t="s">
        <v>17</v>
      </c>
      <c r="G872">
        <v>0.72569444444444442</v>
      </c>
      <c r="H872">
        <v>0.81736111111111109</v>
      </c>
      <c r="I872">
        <v>134</v>
      </c>
      <c r="J872" t="s">
        <v>60</v>
      </c>
      <c r="K872" t="s">
        <v>19</v>
      </c>
      <c r="L872">
        <v>1743</v>
      </c>
      <c r="M872">
        <v>132</v>
      </c>
      <c r="N872" t="s">
        <v>1680</v>
      </c>
      <c r="O872" t="s">
        <v>1662</v>
      </c>
      <c r="P872">
        <v>0</v>
      </c>
      <c r="Q872" t="s">
        <v>1665</v>
      </c>
      <c r="R872" t="s">
        <v>1657</v>
      </c>
    </row>
    <row r="873" spans="1:18" x14ac:dyDescent="0.35">
      <c r="A873" t="s">
        <v>1493</v>
      </c>
      <c r="B873" s="19">
        <v>46211</v>
      </c>
      <c r="C873" t="s">
        <v>605</v>
      </c>
      <c r="D873" t="s">
        <v>197</v>
      </c>
      <c r="E873" t="s">
        <v>79</v>
      </c>
      <c r="F873" t="s">
        <v>24</v>
      </c>
      <c r="G873">
        <v>0.74305555555555558</v>
      </c>
      <c r="H873">
        <v>0.73888888888888893</v>
      </c>
      <c r="I873">
        <v>-8</v>
      </c>
      <c r="J873" t="s">
        <v>18</v>
      </c>
      <c r="K873" t="s">
        <v>19</v>
      </c>
      <c r="L873">
        <v>759</v>
      </c>
      <c r="M873">
        <v>-6</v>
      </c>
      <c r="N873" t="s">
        <v>1680</v>
      </c>
      <c r="O873" t="s">
        <v>1662</v>
      </c>
      <c r="P873">
        <v>1</v>
      </c>
      <c r="Q873" t="s">
        <v>1665</v>
      </c>
    </row>
    <row r="874" spans="1:18" x14ac:dyDescent="0.35">
      <c r="A874" t="s">
        <v>1494</v>
      </c>
      <c r="B874" s="19">
        <v>46211</v>
      </c>
      <c r="C874" t="s">
        <v>841</v>
      </c>
      <c r="D874" t="s">
        <v>79</v>
      </c>
      <c r="E874" t="s">
        <v>84</v>
      </c>
      <c r="F874" t="s">
        <v>24</v>
      </c>
      <c r="G874">
        <v>0.80208333333333337</v>
      </c>
      <c r="H874">
        <v>0.81388888888888888</v>
      </c>
      <c r="I874">
        <v>17</v>
      </c>
      <c r="J874" t="s">
        <v>54</v>
      </c>
      <c r="K874" t="s">
        <v>19</v>
      </c>
      <c r="L874">
        <v>2178</v>
      </c>
      <c r="M874">
        <v>17</v>
      </c>
      <c r="N874" t="s">
        <v>1680</v>
      </c>
      <c r="O874" t="s">
        <v>1662</v>
      </c>
      <c r="P874">
        <v>0</v>
      </c>
      <c r="Q874" t="s">
        <v>1665</v>
      </c>
      <c r="R874" t="s">
        <v>1657</v>
      </c>
    </row>
    <row r="875" spans="1:18" x14ac:dyDescent="0.35">
      <c r="A875" t="s">
        <v>1495</v>
      </c>
      <c r="B875" s="19">
        <v>46212</v>
      </c>
      <c r="C875" t="s">
        <v>677</v>
      </c>
      <c r="D875" t="s">
        <v>79</v>
      </c>
      <c r="E875" t="s">
        <v>226</v>
      </c>
      <c r="F875" t="s">
        <v>17</v>
      </c>
      <c r="G875">
        <v>0.57638888888888884</v>
      </c>
      <c r="H875">
        <v>0.57222222222222219</v>
      </c>
      <c r="I875">
        <v>-15</v>
      </c>
      <c r="J875" t="s">
        <v>18</v>
      </c>
      <c r="K875" t="s">
        <v>19</v>
      </c>
      <c r="L875">
        <v>1197</v>
      </c>
      <c r="M875">
        <v>-6</v>
      </c>
      <c r="N875" t="s">
        <v>1680</v>
      </c>
      <c r="O875" t="s">
        <v>1664</v>
      </c>
      <c r="P875">
        <v>1</v>
      </c>
      <c r="Q875" t="s">
        <v>1663</v>
      </c>
    </row>
    <row r="876" spans="1:18" x14ac:dyDescent="0.35">
      <c r="A876" t="s">
        <v>1496</v>
      </c>
      <c r="B876" s="19">
        <v>46212</v>
      </c>
      <c r="C876" t="s">
        <v>422</v>
      </c>
      <c r="D876" t="s">
        <v>84</v>
      </c>
      <c r="E876" t="s">
        <v>226</v>
      </c>
      <c r="F876" t="s">
        <v>24</v>
      </c>
      <c r="G876">
        <v>0.61805555555555558</v>
      </c>
      <c r="H876">
        <v>0.61319444444444449</v>
      </c>
      <c r="I876">
        <v>-6</v>
      </c>
      <c r="J876" t="s">
        <v>18</v>
      </c>
      <c r="K876" t="s">
        <v>19</v>
      </c>
      <c r="L876">
        <v>1023</v>
      </c>
      <c r="M876">
        <v>-7</v>
      </c>
      <c r="N876" t="s">
        <v>1680</v>
      </c>
      <c r="O876" t="s">
        <v>1664</v>
      </c>
      <c r="P876">
        <v>1</v>
      </c>
      <c r="Q876" t="s">
        <v>1663</v>
      </c>
    </row>
    <row r="877" spans="1:18" x14ac:dyDescent="0.35">
      <c r="A877" t="s">
        <v>1497</v>
      </c>
      <c r="B877" s="19">
        <v>46212</v>
      </c>
      <c r="C877" t="s">
        <v>1498</v>
      </c>
      <c r="D877" t="s">
        <v>79</v>
      </c>
      <c r="E877" t="s">
        <v>413</v>
      </c>
      <c r="F877" t="s">
        <v>17</v>
      </c>
      <c r="G877">
        <v>0.65625</v>
      </c>
      <c r="H877">
        <v>0.65763888888888888</v>
      </c>
      <c r="I877">
        <v>3</v>
      </c>
      <c r="J877" t="s">
        <v>18</v>
      </c>
      <c r="K877" t="s">
        <v>19</v>
      </c>
      <c r="L877">
        <v>1942</v>
      </c>
      <c r="M877">
        <v>2</v>
      </c>
      <c r="N877" t="s">
        <v>1680</v>
      </c>
      <c r="O877" t="s">
        <v>1664</v>
      </c>
      <c r="P877">
        <v>1</v>
      </c>
      <c r="Q877" t="s">
        <v>1663</v>
      </c>
    </row>
    <row r="878" spans="1:18" x14ac:dyDescent="0.35">
      <c r="A878" t="s">
        <v>1499</v>
      </c>
      <c r="B878" s="19">
        <v>46213</v>
      </c>
      <c r="C878" t="s">
        <v>273</v>
      </c>
      <c r="D878" t="s">
        <v>84</v>
      </c>
      <c r="E878" t="s">
        <v>546</v>
      </c>
      <c r="F878" t="s">
        <v>28</v>
      </c>
      <c r="G878">
        <v>0.65972222222222221</v>
      </c>
      <c r="H878">
        <v>0.68958333333333333</v>
      </c>
      <c r="I878">
        <v>40</v>
      </c>
      <c r="J878" t="s">
        <v>129</v>
      </c>
      <c r="K878" t="s">
        <v>19</v>
      </c>
      <c r="L878">
        <v>867</v>
      </c>
      <c r="M878">
        <v>43</v>
      </c>
      <c r="N878" t="s">
        <v>1680</v>
      </c>
      <c r="O878" t="s">
        <v>1666</v>
      </c>
      <c r="P878">
        <v>0</v>
      </c>
      <c r="Q878" t="s">
        <v>1663</v>
      </c>
      <c r="R878" t="s">
        <v>1670</v>
      </c>
    </row>
    <row r="879" spans="1:18" x14ac:dyDescent="0.35">
      <c r="A879" t="s">
        <v>1500</v>
      </c>
      <c r="B879" s="19">
        <v>46214</v>
      </c>
      <c r="C879" t="s">
        <v>49</v>
      </c>
      <c r="D879" t="s">
        <v>226</v>
      </c>
      <c r="E879" t="s">
        <v>1171</v>
      </c>
      <c r="F879" t="s">
        <v>17</v>
      </c>
      <c r="G879">
        <v>0.52083333333333337</v>
      </c>
      <c r="H879">
        <v>0.52083333333333337</v>
      </c>
      <c r="I879">
        <v>1</v>
      </c>
      <c r="J879" t="s">
        <v>18</v>
      </c>
      <c r="K879" t="s">
        <v>19</v>
      </c>
      <c r="L879">
        <v>602</v>
      </c>
      <c r="M879">
        <v>0</v>
      </c>
      <c r="N879" t="s">
        <v>1680</v>
      </c>
      <c r="O879" t="s">
        <v>1667</v>
      </c>
      <c r="P879">
        <v>1</v>
      </c>
      <c r="Q879" t="s">
        <v>1663</v>
      </c>
    </row>
    <row r="880" spans="1:18" x14ac:dyDescent="0.35">
      <c r="A880" t="s">
        <v>1501</v>
      </c>
      <c r="B880" s="19">
        <v>46215</v>
      </c>
      <c r="C880" t="s">
        <v>1207</v>
      </c>
      <c r="D880" t="s">
        <v>1171</v>
      </c>
      <c r="E880" t="s">
        <v>71</v>
      </c>
      <c r="F880" t="s">
        <v>38</v>
      </c>
      <c r="G880">
        <v>0.38541666666666669</v>
      </c>
      <c r="H880">
        <v>0.40069444444444452</v>
      </c>
      <c r="I880">
        <v>7</v>
      </c>
      <c r="J880" t="s">
        <v>54</v>
      </c>
      <c r="K880" t="s">
        <v>19</v>
      </c>
      <c r="L880">
        <v>1438</v>
      </c>
      <c r="M880">
        <v>22</v>
      </c>
      <c r="N880" t="s">
        <v>1680</v>
      </c>
      <c r="O880" t="s">
        <v>1668</v>
      </c>
      <c r="P880">
        <v>1</v>
      </c>
      <c r="Q880" t="s">
        <v>1660</v>
      </c>
      <c r="R880" t="s">
        <v>1657</v>
      </c>
    </row>
    <row r="881" spans="1:18" x14ac:dyDescent="0.35">
      <c r="A881" t="s">
        <v>1502</v>
      </c>
      <c r="B881" s="19">
        <v>46215</v>
      </c>
      <c r="C881" t="s">
        <v>1503</v>
      </c>
      <c r="D881" t="s">
        <v>197</v>
      </c>
      <c r="E881" t="s">
        <v>202</v>
      </c>
      <c r="F881" t="s">
        <v>28</v>
      </c>
      <c r="G881">
        <v>0.46875</v>
      </c>
      <c r="H881">
        <v>0.48472222222222222</v>
      </c>
      <c r="I881">
        <v>9</v>
      </c>
      <c r="J881" t="s">
        <v>477</v>
      </c>
      <c r="K881" t="s">
        <v>19</v>
      </c>
      <c r="L881">
        <v>1092</v>
      </c>
      <c r="M881">
        <v>23</v>
      </c>
      <c r="N881" t="s">
        <v>1680</v>
      </c>
      <c r="O881" t="s">
        <v>1668</v>
      </c>
      <c r="P881">
        <v>1</v>
      </c>
      <c r="Q881" t="s">
        <v>1660</v>
      </c>
      <c r="R881" t="s">
        <v>1670</v>
      </c>
    </row>
    <row r="882" spans="1:18" x14ac:dyDescent="0.35">
      <c r="A882" t="s">
        <v>1504</v>
      </c>
      <c r="B882" s="19">
        <v>46215</v>
      </c>
      <c r="C882" t="s">
        <v>740</v>
      </c>
      <c r="D882" t="s">
        <v>71</v>
      </c>
      <c r="E882" t="s">
        <v>1549</v>
      </c>
      <c r="F882" t="s">
        <v>28</v>
      </c>
      <c r="G882">
        <v>0.65625</v>
      </c>
      <c r="H882">
        <v>0.65208333333333335</v>
      </c>
      <c r="I882">
        <v>-6</v>
      </c>
      <c r="J882" t="s">
        <v>18</v>
      </c>
      <c r="K882" t="s">
        <v>19</v>
      </c>
      <c r="L882">
        <v>864</v>
      </c>
      <c r="M882">
        <v>-6</v>
      </c>
      <c r="N882" t="s">
        <v>1680</v>
      </c>
      <c r="O882" t="s">
        <v>1668</v>
      </c>
      <c r="P882">
        <v>1</v>
      </c>
      <c r="Q882" t="s">
        <v>1663</v>
      </c>
    </row>
    <row r="883" spans="1:18" x14ac:dyDescent="0.35">
      <c r="A883" t="s">
        <v>1505</v>
      </c>
      <c r="B883" s="19">
        <v>46217</v>
      </c>
      <c r="C883" t="s">
        <v>587</v>
      </c>
      <c r="D883" t="s">
        <v>226</v>
      </c>
      <c r="E883" t="s">
        <v>1295</v>
      </c>
      <c r="F883" t="s">
        <v>17</v>
      </c>
      <c r="G883">
        <v>0.27777777777777779</v>
      </c>
      <c r="H883">
        <v>0.27986111111111112</v>
      </c>
      <c r="I883">
        <v>-7</v>
      </c>
      <c r="J883" t="s">
        <v>18</v>
      </c>
      <c r="K883" t="s">
        <v>19</v>
      </c>
      <c r="L883">
        <v>965</v>
      </c>
      <c r="M883">
        <v>3</v>
      </c>
      <c r="N883" t="s">
        <v>1680</v>
      </c>
      <c r="O883" t="s">
        <v>1661</v>
      </c>
      <c r="P883">
        <v>1</v>
      </c>
      <c r="Q883" t="s">
        <v>1660</v>
      </c>
    </row>
    <row r="884" spans="1:18" x14ac:dyDescent="0.35">
      <c r="A884" t="s">
        <v>1506</v>
      </c>
      <c r="B884" s="19">
        <v>46217</v>
      </c>
      <c r="C884" t="s">
        <v>1487</v>
      </c>
      <c r="D884" t="s">
        <v>71</v>
      </c>
      <c r="E884" t="s">
        <v>202</v>
      </c>
      <c r="F884" t="s">
        <v>17</v>
      </c>
      <c r="G884">
        <v>0.3263888888888889</v>
      </c>
      <c r="H884">
        <v>0.34236111111111112</v>
      </c>
      <c r="I884">
        <v>26</v>
      </c>
      <c r="J884" t="s">
        <v>129</v>
      </c>
      <c r="K884" t="s">
        <v>19</v>
      </c>
      <c r="L884">
        <v>1199</v>
      </c>
      <c r="M884">
        <v>23</v>
      </c>
      <c r="N884" t="s">
        <v>1680</v>
      </c>
      <c r="O884" t="s">
        <v>1661</v>
      </c>
      <c r="P884">
        <v>0</v>
      </c>
      <c r="Q884" t="s">
        <v>1660</v>
      </c>
      <c r="R884" t="s">
        <v>1670</v>
      </c>
    </row>
    <row r="885" spans="1:18" x14ac:dyDescent="0.35">
      <c r="A885" t="s">
        <v>1507</v>
      </c>
      <c r="B885" s="19">
        <v>46217</v>
      </c>
      <c r="C885" t="s">
        <v>262</v>
      </c>
      <c r="D885" t="s">
        <v>202</v>
      </c>
      <c r="E885" t="s">
        <v>1171</v>
      </c>
      <c r="F885" t="s">
        <v>24</v>
      </c>
      <c r="G885">
        <v>0.61458333333333337</v>
      </c>
      <c r="H885">
        <v>0.61388888888888893</v>
      </c>
      <c r="I885">
        <v>6</v>
      </c>
      <c r="J885" t="s">
        <v>18</v>
      </c>
      <c r="K885" t="s">
        <v>19</v>
      </c>
      <c r="L885">
        <v>1969</v>
      </c>
      <c r="M885">
        <v>-1</v>
      </c>
      <c r="N885" t="s">
        <v>1680</v>
      </c>
      <c r="O885" t="s">
        <v>1661</v>
      </c>
      <c r="P885">
        <v>1</v>
      </c>
      <c r="Q885" t="s">
        <v>1663</v>
      </c>
    </row>
    <row r="886" spans="1:18" x14ac:dyDescent="0.35">
      <c r="A886" t="s">
        <v>1508</v>
      </c>
      <c r="B886" s="19">
        <v>46217</v>
      </c>
      <c r="C886" t="s">
        <v>607</v>
      </c>
      <c r="D886" t="s">
        <v>1549</v>
      </c>
      <c r="E886" t="s">
        <v>71</v>
      </c>
      <c r="F886" t="s">
        <v>17</v>
      </c>
      <c r="G886">
        <v>0.74652777777777779</v>
      </c>
      <c r="H886">
        <v>0.76041666666666663</v>
      </c>
      <c r="I886">
        <v>20</v>
      </c>
      <c r="J886" t="s">
        <v>54</v>
      </c>
      <c r="K886" t="s">
        <v>19</v>
      </c>
      <c r="L886">
        <v>864</v>
      </c>
      <c r="M886">
        <v>20</v>
      </c>
      <c r="N886" t="s">
        <v>1680</v>
      </c>
      <c r="O886" t="s">
        <v>1661</v>
      </c>
      <c r="P886">
        <v>0</v>
      </c>
      <c r="Q886" t="s">
        <v>1665</v>
      </c>
      <c r="R886" t="s">
        <v>1657</v>
      </c>
    </row>
    <row r="887" spans="1:18" x14ac:dyDescent="0.35">
      <c r="A887" t="s">
        <v>1509</v>
      </c>
      <c r="B887" s="19">
        <v>46218</v>
      </c>
      <c r="C887" t="s">
        <v>483</v>
      </c>
      <c r="D887" t="s">
        <v>413</v>
      </c>
      <c r="E887" t="s">
        <v>71</v>
      </c>
      <c r="F887" t="s">
        <v>17</v>
      </c>
      <c r="G887">
        <v>0.65972222222222221</v>
      </c>
      <c r="H887">
        <v>0.6645833333333333</v>
      </c>
      <c r="I887">
        <v>17</v>
      </c>
      <c r="J887" t="s">
        <v>18</v>
      </c>
      <c r="K887" t="s">
        <v>19</v>
      </c>
      <c r="L887">
        <v>1742</v>
      </c>
      <c r="M887">
        <v>7</v>
      </c>
      <c r="N887" t="s">
        <v>1680</v>
      </c>
      <c r="O887" t="s">
        <v>1662</v>
      </c>
      <c r="P887">
        <v>0</v>
      </c>
      <c r="Q887" t="s">
        <v>1663</v>
      </c>
    </row>
    <row r="888" spans="1:18" x14ac:dyDescent="0.35">
      <c r="A888" t="s">
        <v>1510</v>
      </c>
      <c r="B888" s="19">
        <v>46219</v>
      </c>
      <c r="C888" t="s">
        <v>487</v>
      </c>
      <c r="D888" t="s">
        <v>413</v>
      </c>
      <c r="E888" t="s">
        <v>79</v>
      </c>
      <c r="F888" t="s">
        <v>17</v>
      </c>
      <c r="G888">
        <v>0.40277777777777779</v>
      </c>
      <c r="H888">
        <v>0.42777777777777781</v>
      </c>
      <c r="I888">
        <v>41</v>
      </c>
      <c r="J888" t="s">
        <v>129</v>
      </c>
      <c r="K888" t="s">
        <v>19</v>
      </c>
      <c r="L888">
        <v>1942</v>
      </c>
      <c r="M888">
        <v>36</v>
      </c>
      <c r="N888" t="s">
        <v>1680</v>
      </c>
      <c r="O888" t="s">
        <v>1664</v>
      </c>
      <c r="P888">
        <v>0</v>
      </c>
      <c r="Q888" t="s">
        <v>1660</v>
      </c>
      <c r="R888" t="s">
        <v>1670</v>
      </c>
    </row>
    <row r="889" spans="1:18" x14ac:dyDescent="0.35">
      <c r="A889" t="s">
        <v>1511</v>
      </c>
      <c r="B889" s="19">
        <v>46219</v>
      </c>
      <c r="C889" t="s">
        <v>1483</v>
      </c>
      <c r="D889" t="s">
        <v>1549</v>
      </c>
      <c r="E889" t="s">
        <v>226</v>
      </c>
      <c r="F889" t="s">
        <v>38</v>
      </c>
      <c r="G889">
        <v>0.59722222222222221</v>
      </c>
      <c r="H889">
        <v>0.60486111111111107</v>
      </c>
      <c r="I889">
        <v>5</v>
      </c>
      <c r="J889" t="s">
        <v>18</v>
      </c>
      <c r="K889" t="s">
        <v>19</v>
      </c>
      <c r="L889">
        <v>1749</v>
      </c>
      <c r="M889">
        <v>11</v>
      </c>
      <c r="N889" t="s">
        <v>1680</v>
      </c>
      <c r="O889" t="s">
        <v>1664</v>
      </c>
      <c r="P889">
        <v>1</v>
      </c>
      <c r="Q889" t="s">
        <v>1663</v>
      </c>
    </row>
    <row r="890" spans="1:18" x14ac:dyDescent="0.35">
      <c r="A890" t="s">
        <v>1512</v>
      </c>
      <c r="B890" s="19">
        <v>46221</v>
      </c>
      <c r="C890" t="s">
        <v>835</v>
      </c>
      <c r="D890" t="s">
        <v>1171</v>
      </c>
      <c r="E890" t="s">
        <v>588</v>
      </c>
      <c r="F890" t="s">
        <v>17</v>
      </c>
      <c r="G890">
        <v>0.78819444444444442</v>
      </c>
      <c r="H890">
        <v>0.79305555555555551</v>
      </c>
      <c r="J890" t="s">
        <v>18</v>
      </c>
      <c r="K890" t="s">
        <v>19</v>
      </c>
      <c r="L890">
        <v>866</v>
      </c>
      <c r="M890">
        <v>7</v>
      </c>
      <c r="N890" t="s">
        <v>1680</v>
      </c>
      <c r="O890" t="s">
        <v>1667</v>
      </c>
      <c r="Q890" t="s">
        <v>1665</v>
      </c>
    </row>
    <row r="891" spans="1:18" x14ac:dyDescent="0.35">
      <c r="A891" t="s">
        <v>1513</v>
      </c>
      <c r="B891" s="19">
        <v>46221</v>
      </c>
      <c r="C891" t="s">
        <v>417</v>
      </c>
      <c r="D891" t="s">
        <v>79</v>
      </c>
      <c r="E891" t="s">
        <v>1295</v>
      </c>
      <c r="F891" t="s">
        <v>17</v>
      </c>
      <c r="G891">
        <v>0.79861111111111116</v>
      </c>
      <c r="H891">
        <v>0.87430555555555556</v>
      </c>
      <c r="I891">
        <v>116</v>
      </c>
      <c r="J891" t="s">
        <v>129</v>
      </c>
      <c r="K891" t="s">
        <v>19</v>
      </c>
      <c r="L891">
        <v>2134</v>
      </c>
      <c r="M891">
        <v>109</v>
      </c>
      <c r="N891" t="s">
        <v>1680</v>
      </c>
      <c r="O891" t="s">
        <v>1667</v>
      </c>
      <c r="P891">
        <v>0</v>
      </c>
      <c r="Q891" t="s">
        <v>1665</v>
      </c>
      <c r="R891" t="s">
        <v>1670</v>
      </c>
    </row>
    <row r="892" spans="1:18" x14ac:dyDescent="0.35">
      <c r="A892" t="s">
        <v>1514</v>
      </c>
      <c r="B892" s="19">
        <v>46223</v>
      </c>
      <c r="C892" t="s">
        <v>1195</v>
      </c>
      <c r="D892" t="s">
        <v>79</v>
      </c>
      <c r="E892" t="s">
        <v>1171</v>
      </c>
      <c r="F892" t="s">
        <v>28</v>
      </c>
      <c r="G892">
        <v>0.25</v>
      </c>
      <c r="H892">
        <v>0.24444444444444441</v>
      </c>
      <c r="I892">
        <v>-5</v>
      </c>
      <c r="J892" t="s">
        <v>18</v>
      </c>
      <c r="K892" t="s">
        <v>19</v>
      </c>
      <c r="L892">
        <v>1584</v>
      </c>
      <c r="M892">
        <v>-8</v>
      </c>
      <c r="N892" t="s">
        <v>1680</v>
      </c>
      <c r="O892" t="s">
        <v>1659</v>
      </c>
      <c r="P892">
        <v>1</v>
      </c>
      <c r="Q892" t="s">
        <v>1660</v>
      </c>
    </row>
    <row r="893" spans="1:18" x14ac:dyDescent="0.35">
      <c r="A893" t="s">
        <v>1515</v>
      </c>
      <c r="B893" s="19">
        <v>46223</v>
      </c>
      <c r="C893" t="s">
        <v>603</v>
      </c>
      <c r="D893" t="s">
        <v>1549</v>
      </c>
      <c r="E893" t="s">
        <v>79</v>
      </c>
      <c r="F893" t="s">
        <v>24</v>
      </c>
      <c r="G893">
        <v>0.2638888888888889</v>
      </c>
      <c r="H893">
        <v>0.26597222222222222</v>
      </c>
      <c r="I893">
        <v>-5</v>
      </c>
      <c r="J893" t="s">
        <v>18</v>
      </c>
      <c r="K893" t="s">
        <v>19</v>
      </c>
      <c r="L893">
        <v>945</v>
      </c>
      <c r="M893">
        <v>3</v>
      </c>
      <c r="N893" t="s">
        <v>1680</v>
      </c>
      <c r="O893" t="s">
        <v>1659</v>
      </c>
      <c r="P893">
        <v>1</v>
      </c>
      <c r="Q893" t="s">
        <v>1660</v>
      </c>
    </row>
    <row r="894" spans="1:18" x14ac:dyDescent="0.35">
      <c r="A894" t="s">
        <v>1516</v>
      </c>
      <c r="B894" s="19">
        <v>46223</v>
      </c>
      <c r="C894" t="s">
        <v>1077</v>
      </c>
      <c r="D894" t="s">
        <v>71</v>
      </c>
      <c r="E894" t="s">
        <v>413</v>
      </c>
      <c r="F894" t="s">
        <v>38</v>
      </c>
      <c r="G894">
        <v>0.47569444444444442</v>
      </c>
      <c r="H894">
        <v>0.48333333333333328</v>
      </c>
      <c r="I894">
        <v>11</v>
      </c>
      <c r="J894" t="s">
        <v>18</v>
      </c>
      <c r="K894" t="s">
        <v>19</v>
      </c>
      <c r="L894">
        <v>1742</v>
      </c>
      <c r="M894">
        <v>11</v>
      </c>
      <c r="N894" t="s">
        <v>1680</v>
      </c>
      <c r="O894" t="s">
        <v>1659</v>
      </c>
      <c r="P894">
        <v>1</v>
      </c>
      <c r="Q894" t="s">
        <v>1660</v>
      </c>
    </row>
    <row r="895" spans="1:18" x14ac:dyDescent="0.35">
      <c r="A895" t="s">
        <v>1517</v>
      </c>
      <c r="B895" s="19">
        <v>46223</v>
      </c>
      <c r="C895" t="s">
        <v>1518</v>
      </c>
      <c r="D895" t="s">
        <v>71</v>
      </c>
      <c r="E895" t="s">
        <v>546</v>
      </c>
      <c r="F895" t="s">
        <v>17</v>
      </c>
      <c r="G895">
        <v>0.54513888888888884</v>
      </c>
      <c r="H895">
        <v>0.56805555555555554</v>
      </c>
      <c r="I895">
        <v>31</v>
      </c>
      <c r="J895" t="s">
        <v>319</v>
      </c>
      <c r="K895" t="s">
        <v>19</v>
      </c>
      <c r="L895">
        <v>1511</v>
      </c>
      <c r="M895">
        <v>33</v>
      </c>
      <c r="N895" t="s">
        <v>1680</v>
      </c>
      <c r="O895" t="s">
        <v>1659</v>
      </c>
      <c r="P895">
        <v>0</v>
      </c>
      <c r="Q895" t="s">
        <v>1663</v>
      </c>
      <c r="R895" t="s">
        <v>1670</v>
      </c>
    </row>
    <row r="896" spans="1:18" x14ac:dyDescent="0.35">
      <c r="A896" t="s">
        <v>1519</v>
      </c>
      <c r="B896" s="19">
        <v>46223</v>
      </c>
      <c r="C896" t="s">
        <v>789</v>
      </c>
      <c r="D896" t="s">
        <v>79</v>
      </c>
      <c r="E896" t="s">
        <v>226</v>
      </c>
      <c r="F896" t="s">
        <v>17</v>
      </c>
      <c r="G896">
        <v>0.69791666666666663</v>
      </c>
      <c r="H896">
        <v>0.7006944444444444</v>
      </c>
      <c r="I896">
        <v>6</v>
      </c>
      <c r="J896" t="s">
        <v>18</v>
      </c>
      <c r="K896" t="s">
        <v>19</v>
      </c>
      <c r="L896">
        <v>1197</v>
      </c>
      <c r="M896">
        <v>4</v>
      </c>
      <c r="N896" t="s">
        <v>1680</v>
      </c>
      <c r="O896" t="s">
        <v>1659</v>
      </c>
      <c r="P896">
        <v>1</v>
      </c>
      <c r="Q896" t="s">
        <v>1663</v>
      </c>
    </row>
    <row r="897" spans="1:18" x14ac:dyDescent="0.35">
      <c r="A897" t="s">
        <v>1520</v>
      </c>
      <c r="B897" s="19">
        <v>46224</v>
      </c>
      <c r="C897" t="s">
        <v>1521</v>
      </c>
      <c r="D897" t="s">
        <v>71</v>
      </c>
      <c r="E897" t="s">
        <v>413</v>
      </c>
      <c r="F897" t="s">
        <v>17</v>
      </c>
      <c r="G897">
        <v>0.69444444444444442</v>
      </c>
      <c r="H897">
        <v>0.69236111111111109</v>
      </c>
      <c r="I897">
        <v>7</v>
      </c>
      <c r="J897" t="s">
        <v>18</v>
      </c>
      <c r="K897" t="s">
        <v>19</v>
      </c>
      <c r="L897">
        <v>1742</v>
      </c>
      <c r="M897">
        <v>-3</v>
      </c>
      <c r="N897" t="s">
        <v>1680</v>
      </c>
      <c r="O897" t="s">
        <v>1661</v>
      </c>
      <c r="P897">
        <v>1</v>
      </c>
      <c r="Q897" t="s">
        <v>1663</v>
      </c>
    </row>
    <row r="898" spans="1:18" x14ac:dyDescent="0.35">
      <c r="A898" t="s">
        <v>1522</v>
      </c>
      <c r="B898" s="19">
        <v>46225</v>
      </c>
      <c r="C898" t="s">
        <v>654</v>
      </c>
      <c r="D898" t="s">
        <v>79</v>
      </c>
      <c r="E898" t="s">
        <v>413</v>
      </c>
      <c r="F898" t="s">
        <v>17</v>
      </c>
      <c r="G898">
        <v>0.24305555555555561</v>
      </c>
      <c r="H898">
        <v>0.24236111111111111</v>
      </c>
      <c r="I898">
        <v>1</v>
      </c>
      <c r="J898" t="s">
        <v>18</v>
      </c>
      <c r="K898" t="s">
        <v>19</v>
      </c>
      <c r="L898">
        <v>1942</v>
      </c>
      <c r="M898">
        <v>-1</v>
      </c>
      <c r="N898" t="s">
        <v>1680</v>
      </c>
      <c r="O898" t="s">
        <v>1662</v>
      </c>
      <c r="P898">
        <v>1</v>
      </c>
      <c r="Q898" t="s">
        <v>1660</v>
      </c>
    </row>
    <row r="899" spans="1:18" x14ac:dyDescent="0.35">
      <c r="A899" t="s">
        <v>1523</v>
      </c>
      <c r="B899" s="19">
        <v>46225</v>
      </c>
      <c r="C899" t="s">
        <v>1524</v>
      </c>
      <c r="D899" t="s">
        <v>197</v>
      </c>
      <c r="E899" t="s">
        <v>1171</v>
      </c>
      <c r="F899" t="s">
        <v>28</v>
      </c>
      <c r="G899">
        <v>0.28819444444444442</v>
      </c>
      <c r="H899">
        <v>0.28472222222222221</v>
      </c>
      <c r="I899">
        <v>-13</v>
      </c>
      <c r="J899" t="s">
        <v>18</v>
      </c>
      <c r="K899" t="s">
        <v>19</v>
      </c>
      <c r="L899">
        <v>2149</v>
      </c>
      <c r="M899">
        <v>-5</v>
      </c>
      <c r="N899" t="s">
        <v>1680</v>
      </c>
      <c r="O899" t="s">
        <v>1662</v>
      </c>
      <c r="P899">
        <v>1</v>
      </c>
      <c r="Q899" t="s">
        <v>1660</v>
      </c>
    </row>
    <row r="900" spans="1:18" x14ac:dyDescent="0.35">
      <c r="A900" t="s">
        <v>1525</v>
      </c>
      <c r="B900" s="19">
        <v>46225</v>
      </c>
      <c r="C900" t="s">
        <v>1526</v>
      </c>
      <c r="D900" t="s">
        <v>413</v>
      </c>
      <c r="E900" t="s">
        <v>79</v>
      </c>
      <c r="F900" t="s">
        <v>38</v>
      </c>
      <c r="G900">
        <v>0.375</v>
      </c>
      <c r="H900">
        <v>0.45347222222222222</v>
      </c>
      <c r="I900">
        <v>105</v>
      </c>
      <c r="J900" t="s">
        <v>60</v>
      </c>
      <c r="K900" t="s">
        <v>19</v>
      </c>
      <c r="L900">
        <v>1942</v>
      </c>
      <c r="M900">
        <v>113</v>
      </c>
      <c r="N900" t="s">
        <v>1680</v>
      </c>
      <c r="O900" t="s">
        <v>1662</v>
      </c>
      <c r="P900">
        <v>0</v>
      </c>
      <c r="Q900" t="s">
        <v>1660</v>
      </c>
      <c r="R900" t="s">
        <v>1657</v>
      </c>
    </row>
    <row r="901" spans="1:18" x14ac:dyDescent="0.35">
      <c r="A901" t="s">
        <v>1527</v>
      </c>
      <c r="B901" s="19">
        <v>46225</v>
      </c>
      <c r="C901" t="s">
        <v>1503</v>
      </c>
      <c r="D901" t="s">
        <v>1549</v>
      </c>
      <c r="E901" t="s">
        <v>79</v>
      </c>
      <c r="F901" t="s">
        <v>17</v>
      </c>
      <c r="G901">
        <v>0.47916666666666669</v>
      </c>
      <c r="I901">
        <v>149</v>
      </c>
      <c r="J901" t="s">
        <v>477</v>
      </c>
      <c r="K901" t="s">
        <v>19</v>
      </c>
      <c r="L901">
        <v>945</v>
      </c>
      <c r="M901">
        <v>158</v>
      </c>
      <c r="N901" t="s">
        <v>1680</v>
      </c>
      <c r="O901" t="s">
        <v>1662</v>
      </c>
      <c r="P901">
        <v>0</v>
      </c>
      <c r="Q901" t="s">
        <v>1660</v>
      </c>
      <c r="R901" t="s">
        <v>1670</v>
      </c>
    </row>
    <row r="902" spans="1:18" x14ac:dyDescent="0.35">
      <c r="A902" t="s">
        <v>1631</v>
      </c>
      <c r="B902" s="19">
        <v>46256</v>
      </c>
      <c r="C902" t="s">
        <v>496</v>
      </c>
      <c r="D902" t="s">
        <v>79</v>
      </c>
      <c r="E902" t="s">
        <v>202</v>
      </c>
      <c r="F902" t="s">
        <v>38</v>
      </c>
      <c r="G902">
        <v>0.46875</v>
      </c>
      <c r="H902">
        <v>0.47499999999999998</v>
      </c>
      <c r="J902" t="s">
        <v>18</v>
      </c>
      <c r="K902" t="s">
        <v>19</v>
      </c>
      <c r="L902">
        <v>596</v>
      </c>
      <c r="M902">
        <v>9</v>
      </c>
      <c r="N902" t="s">
        <v>1681</v>
      </c>
      <c r="O902" t="s">
        <v>1667</v>
      </c>
      <c r="Q902" t="s">
        <v>1660</v>
      </c>
    </row>
    <row r="903" spans="1:18" x14ac:dyDescent="0.35">
      <c r="A903" t="s">
        <v>1529</v>
      </c>
      <c r="B903" s="19">
        <v>46227</v>
      </c>
      <c r="C903" t="s">
        <v>383</v>
      </c>
      <c r="D903" t="s">
        <v>79</v>
      </c>
      <c r="E903" t="s">
        <v>197</v>
      </c>
      <c r="F903" t="s">
        <v>24</v>
      </c>
      <c r="G903">
        <v>0.5625</v>
      </c>
      <c r="H903">
        <v>0.57361111111111107</v>
      </c>
      <c r="I903">
        <v>20</v>
      </c>
      <c r="J903" t="s">
        <v>54</v>
      </c>
      <c r="K903" t="s">
        <v>19</v>
      </c>
      <c r="L903">
        <v>759</v>
      </c>
      <c r="M903">
        <v>16</v>
      </c>
      <c r="N903" t="s">
        <v>1680</v>
      </c>
      <c r="O903" t="s">
        <v>1666</v>
      </c>
      <c r="P903">
        <v>0</v>
      </c>
      <c r="Q903" t="s">
        <v>1663</v>
      </c>
      <c r="R903" t="s">
        <v>1657</v>
      </c>
    </row>
    <row r="904" spans="1:18" x14ac:dyDescent="0.35">
      <c r="A904" t="s">
        <v>1530</v>
      </c>
      <c r="B904" s="19">
        <v>46227</v>
      </c>
      <c r="C904" t="s">
        <v>1531</v>
      </c>
      <c r="D904" t="s">
        <v>1549</v>
      </c>
      <c r="E904" t="s">
        <v>71</v>
      </c>
      <c r="F904" t="s">
        <v>17</v>
      </c>
      <c r="G904">
        <v>0.67708333333333337</v>
      </c>
      <c r="H904">
        <v>0.67847222222222225</v>
      </c>
      <c r="I904">
        <v>4</v>
      </c>
      <c r="J904" t="s">
        <v>18</v>
      </c>
      <c r="K904" t="s">
        <v>19</v>
      </c>
      <c r="L904">
        <v>864</v>
      </c>
      <c r="M904">
        <v>2</v>
      </c>
      <c r="N904" t="s">
        <v>1680</v>
      </c>
      <c r="O904" t="s">
        <v>1666</v>
      </c>
      <c r="P904">
        <v>1</v>
      </c>
      <c r="Q904" t="s">
        <v>1663</v>
      </c>
    </row>
    <row r="905" spans="1:18" x14ac:dyDescent="0.35">
      <c r="A905" t="s">
        <v>1532</v>
      </c>
      <c r="B905" s="19">
        <v>46228</v>
      </c>
      <c r="C905" t="s">
        <v>100</v>
      </c>
      <c r="D905" t="s">
        <v>197</v>
      </c>
      <c r="E905" t="s">
        <v>202</v>
      </c>
      <c r="F905" t="s">
        <v>24</v>
      </c>
      <c r="G905">
        <v>0.2361111111111111</v>
      </c>
      <c r="H905">
        <v>0.25972222222222219</v>
      </c>
      <c r="I905">
        <v>28</v>
      </c>
      <c r="J905" t="s">
        <v>60</v>
      </c>
      <c r="K905" t="s">
        <v>19</v>
      </c>
      <c r="L905">
        <v>1092</v>
      </c>
      <c r="M905">
        <v>34</v>
      </c>
      <c r="N905" t="s">
        <v>1680</v>
      </c>
      <c r="O905" t="s">
        <v>1667</v>
      </c>
      <c r="P905">
        <v>0</v>
      </c>
      <c r="Q905" t="s">
        <v>1660</v>
      </c>
      <c r="R905" t="s">
        <v>1657</v>
      </c>
    </row>
    <row r="906" spans="1:18" x14ac:dyDescent="0.35">
      <c r="A906" t="s">
        <v>1533</v>
      </c>
      <c r="B906" s="19">
        <v>46228</v>
      </c>
      <c r="C906" t="s">
        <v>847</v>
      </c>
      <c r="D906" t="s">
        <v>79</v>
      </c>
      <c r="E906" t="s">
        <v>71</v>
      </c>
      <c r="F906" t="s">
        <v>17</v>
      </c>
      <c r="G906">
        <v>0.46875</v>
      </c>
      <c r="H906">
        <v>0.46666666666666667</v>
      </c>
      <c r="I906">
        <v>-4</v>
      </c>
      <c r="J906" t="s">
        <v>18</v>
      </c>
      <c r="K906" t="s">
        <v>19</v>
      </c>
      <c r="L906">
        <v>606</v>
      </c>
      <c r="M906">
        <v>-3</v>
      </c>
      <c r="N906" t="s">
        <v>1680</v>
      </c>
      <c r="O906" t="s">
        <v>1667</v>
      </c>
      <c r="P906">
        <v>1</v>
      </c>
      <c r="Q906" t="s">
        <v>1660</v>
      </c>
    </row>
    <row r="907" spans="1:18" x14ac:dyDescent="0.35">
      <c r="A907" t="s">
        <v>1534</v>
      </c>
      <c r="B907" s="19">
        <v>46228</v>
      </c>
      <c r="C907" t="s">
        <v>837</v>
      </c>
      <c r="D907" t="s">
        <v>1171</v>
      </c>
      <c r="E907" t="s">
        <v>71</v>
      </c>
      <c r="F907" t="s">
        <v>38</v>
      </c>
      <c r="G907">
        <v>0.53125</v>
      </c>
      <c r="H907">
        <v>0.56805555555555554</v>
      </c>
      <c r="I907">
        <v>38</v>
      </c>
      <c r="J907" t="s">
        <v>54</v>
      </c>
      <c r="K907" t="s">
        <v>19</v>
      </c>
      <c r="L907">
        <v>1438</v>
      </c>
      <c r="M907">
        <v>53</v>
      </c>
      <c r="N907" t="s">
        <v>1680</v>
      </c>
      <c r="O907" t="s">
        <v>1667</v>
      </c>
      <c r="P907">
        <v>0</v>
      </c>
      <c r="Q907" t="s">
        <v>1663</v>
      </c>
      <c r="R907" t="s">
        <v>1657</v>
      </c>
    </row>
    <row r="908" spans="1:18" x14ac:dyDescent="0.35">
      <c r="A908" t="s">
        <v>1535</v>
      </c>
      <c r="B908" s="19">
        <v>46229</v>
      </c>
      <c r="C908" t="s">
        <v>1536</v>
      </c>
      <c r="D908" t="s">
        <v>71</v>
      </c>
      <c r="E908" t="s">
        <v>546</v>
      </c>
      <c r="F908" t="s">
        <v>24</v>
      </c>
      <c r="G908">
        <v>0.42708333333333331</v>
      </c>
      <c r="H908">
        <v>0.4465277777777778</v>
      </c>
      <c r="J908" t="s">
        <v>60</v>
      </c>
      <c r="K908" t="s">
        <v>19</v>
      </c>
      <c r="L908">
        <v>1511</v>
      </c>
      <c r="M908">
        <v>28</v>
      </c>
      <c r="N908" t="s">
        <v>1680</v>
      </c>
      <c r="O908" t="s">
        <v>1668</v>
      </c>
      <c r="Q908" t="s">
        <v>1660</v>
      </c>
      <c r="R908" t="s">
        <v>1657</v>
      </c>
    </row>
    <row r="909" spans="1:18" x14ac:dyDescent="0.35">
      <c r="A909" t="s">
        <v>1537</v>
      </c>
      <c r="B909" s="19">
        <v>46229</v>
      </c>
      <c r="C909" t="s">
        <v>942</v>
      </c>
      <c r="D909" t="s">
        <v>197</v>
      </c>
      <c r="E909" t="s">
        <v>588</v>
      </c>
      <c r="F909" t="s">
        <v>17</v>
      </c>
      <c r="G909">
        <v>0.70138888888888884</v>
      </c>
      <c r="H909">
        <v>0.70694444444444449</v>
      </c>
      <c r="I909">
        <v>9</v>
      </c>
      <c r="J909" t="s">
        <v>18</v>
      </c>
      <c r="K909" t="s">
        <v>19</v>
      </c>
      <c r="L909">
        <v>1389</v>
      </c>
      <c r="M909">
        <v>8</v>
      </c>
      <c r="N909" t="s">
        <v>1680</v>
      </c>
      <c r="O909" t="s">
        <v>1668</v>
      </c>
      <c r="P909">
        <v>1</v>
      </c>
      <c r="Q909" t="s">
        <v>1663</v>
      </c>
    </row>
    <row r="910" spans="1:18" x14ac:dyDescent="0.35">
      <c r="A910" t="s">
        <v>1538</v>
      </c>
      <c r="B910" s="19">
        <v>46229</v>
      </c>
      <c r="C910" t="s">
        <v>1105</v>
      </c>
      <c r="D910" t="s">
        <v>79</v>
      </c>
      <c r="E910" t="s">
        <v>546</v>
      </c>
      <c r="F910" t="s">
        <v>17</v>
      </c>
      <c r="G910">
        <v>0.77777777777777779</v>
      </c>
      <c r="H910">
        <v>0.77847222222222223</v>
      </c>
      <c r="I910">
        <v>5</v>
      </c>
      <c r="J910" t="s">
        <v>18</v>
      </c>
      <c r="K910" t="s">
        <v>19</v>
      </c>
      <c r="L910">
        <v>1743</v>
      </c>
      <c r="M910">
        <v>1</v>
      </c>
      <c r="N910" t="s">
        <v>1680</v>
      </c>
      <c r="O910" t="s">
        <v>1668</v>
      </c>
      <c r="P910">
        <v>1</v>
      </c>
      <c r="Q910" t="s">
        <v>1665</v>
      </c>
    </row>
    <row r="911" spans="1:18" x14ac:dyDescent="0.35">
      <c r="A911" t="s">
        <v>1539</v>
      </c>
      <c r="B911" s="19">
        <v>46230</v>
      </c>
      <c r="C911" t="s">
        <v>21</v>
      </c>
      <c r="D911" t="s">
        <v>79</v>
      </c>
      <c r="E911" t="s">
        <v>202</v>
      </c>
      <c r="F911" t="s">
        <v>24</v>
      </c>
      <c r="G911">
        <v>0.52083333333333337</v>
      </c>
      <c r="H911">
        <v>0.53194444444444444</v>
      </c>
      <c r="I911">
        <v>8</v>
      </c>
      <c r="J911" t="s">
        <v>54</v>
      </c>
      <c r="K911" t="s">
        <v>19</v>
      </c>
      <c r="L911">
        <v>596</v>
      </c>
      <c r="M911">
        <v>16</v>
      </c>
      <c r="N911" t="s">
        <v>1680</v>
      </c>
      <c r="O911" t="s">
        <v>1659</v>
      </c>
      <c r="P911">
        <v>1</v>
      </c>
      <c r="Q911" t="s">
        <v>1663</v>
      </c>
      <c r="R911" t="s">
        <v>1657</v>
      </c>
    </row>
    <row r="912" spans="1:18" x14ac:dyDescent="0.35">
      <c r="A912" t="s">
        <v>1540</v>
      </c>
      <c r="B912" s="19">
        <v>46230</v>
      </c>
      <c r="C912" t="s">
        <v>1343</v>
      </c>
      <c r="D912" t="s">
        <v>79</v>
      </c>
      <c r="E912" t="s">
        <v>588</v>
      </c>
      <c r="F912" t="s">
        <v>28</v>
      </c>
      <c r="G912">
        <v>0.53125</v>
      </c>
      <c r="H912">
        <v>0.52638888888888891</v>
      </c>
      <c r="J912" t="s">
        <v>18</v>
      </c>
      <c r="K912" t="s">
        <v>19</v>
      </c>
      <c r="L912">
        <v>730</v>
      </c>
      <c r="M912">
        <v>-7</v>
      </c>
      <c r="N912" t="s">
        <v>1680</v>
      </c>
      <c r="O912" t="s">
        <v>1659</v>
      </c>
      <c r="Q912" t="s">
        <v>1663</v>
      </c>
    </row>
    <row r="913" spans="1:18" x14ac:dyDescent="0.35">
      <c r="A913" t="s">
        <v>1541</v>
      </c>
      <c r="B913" s="19">
        <v>46230</v>
      </c>
      <c r="C913" t="s">
        <v>90</v>
      </c>
      <c r="D913" t="s">
        <v>588</v>
      </c>
      <c r="E913" t="s">
        <v>546</v>
      </c>
      <c r="F913" t="s">
        <v>17</v>
      </c>
      <c r="G913">
        <v>0.68402777777777779</v>
      </c>
      <c r="H913">
        <v>0.67986111111111114</v>
      </c>
      <c r="I913">
        <v>-14</v>
      </c>
      <c r="J913" t="s">
        <v>18</v>
      </c>
      <c r="K913" t="s">
        <v>19</v>
      </c>
      <c r="L913">
        <v>1053</v>
      </c>
      <c r="N913" t="s">
        <v>1680</v>
      </c>
      <c r="O913" t="s">
        <v>1659</v>
      </c>
      <c r="P913">
        <v>1</v>
      </c>
      <c r="Q913" t="s">
        <v>1663</v>
      </c>
    </row>
    <row r="914" spans="1:18" x14ac:dyDescent="0.35">
      <c r="A914" t="s">
        <v>1542</v>
      </c>
      <c r="B914" s="19">
        <v>46230</v>
      </c>
      <c r="C914" t="s">
        <v>1543</v>
      </c>
      <c r="D914" t="s">
        <v>79</v>
      </c>
      <c r="E914" t="s">
        <v>197</v>
      </c>
      <c r="F914" t="s">
        <v>28</v>
      </c>
      <c r="G914">
        <v>0.90972222222222221</v>
      </c>
      <c r="H914">
        <v>0.90486111111111112</v>
      </c>
      <c r="I914">
        <v>-3</v>
      </c>
      <c r="J914" t="s">
        <v>18</v>
      </c>
      <c r="K914" t="s">
        <v>19</v>
      </c>
      <c r="L914">
        <v>759</v>
      </c>
      <c r="M914">
        <v>-7</v>
      </c>
      <c r="N914" t="s">
        <v>1680</v>
      </c>
      <c r="O914" t="s">
        <v>1659</v>
      </c>
      <c r="P914">
        <v>1</v>
      </c>
      <c r="Q914" t="s">
        <v>1669</v>
      </c>
    </row>
    <row r="915" spans="1:18" x14ac:dyDescent="0.35">
      <c r="A915" t="s">
        <v>1544</v>
      </c>
      <c r="B915" s="19">
        <v>46231</v>
      </c>
      <c r="C915" t="s">
        <v>1545</v>
      </c>
      <c r="D915" t="s">
        <v>1549</v>
      </c>
      <c r="E915" t="s">
        <v>202</v>
      </c>
      <c r="F915" t="s">
        <v>38</v>
      </c>
      <c r="G915">
        <v>0.28125</v>
      </c>
      <c r="H915">
        <v>0.28333333333333333</v>
      </c>
      <c r="I915">
        <v>0</v>
      </c>
      <c r="J915" t="s">
        <v>18</v>
      </c>
      <c r="K915" t="s">
        <v>19</v>
      </c>
      <c r="L915">
        <v>1260</v>
      </c>
      <c r="M915">
        <v>3</v>
      </c>
      <c r="N915" t="s">
        <v>1680</v>
      </c>
      <c r="O915" t="s">
        <v>1661</v>
      </c>
      <c r="P915">
        <v>1</v>
      </c>
      <c r="Q915" t="s">
        <v>1660</v>
      </c>
    </row>
    <row r="916" spans="1:18" x14ac:dyDescent="0.35">
      <c r="A916" t="s">
        <v>1546</v>
      </c>
      <c r="B916" s="19">
        <v>46231</v>
      </c>
      <c r="C916" t="s">
        <v>1547</v>
      </c>
      <c r="D916" t="s">
        <v>413</v>
      </c>
      <c r="E916" t="s">
        <v>226</v>
      </c>
      <c r="F916" t="s">
        <v>28</v>
      </c>
      <c r="G916">
        <v>0.34375</v>
      </c>
      <c r="H916">
        <v>0.35</v>
      </c>
      <c r="I916">
        <v>-2</v>
      </c>
      <c r="J916" t="s">
        <v>18</v>
      </c>
      <c r="K916" t="s">
        <v>19</v>
      </c>
      <c r="L916">
        <v>861</v>
      </c>
      <c r="M916">
        <v>9</v>
      </c>
      <c r="N916" t="s">
        <v>1680</v>
      </c>
      <c r="O916" t="s">
        <v>1661</v>
      </c>
      <c r="P916">
        <v>1</v>
      </c>
      <c r="Q916" t="s">
        <v>1660</v>
      </c>
    </row>
    <row r="917" spans="1:18" x14ac:dyDescent="0.35">
      <c r="A917" t="s">
        <v>1548</v>
      </c>
      <c r="B917" s="19">
        <v>46231</v>
      </c>
      <c r="C917" t="s">
        <v>66</v>
      </c>
      <c r="D917" t="s">
        <v>1549</v>
      </c>
      <c r="E917" t="s">
        <v>202</v>
      </c>
      <c r="F917" t="s">
        <v>38</v>
      </c>
      <c r="G917">
        <v>0.53819444444444442</v>
      </c>
      <c r="H917">
        <v>0.53611111111111109</v>
      </c>
      <c r="I917">
        <v>6</v>
      </c>
      <c r="J917" t="s">
        <v>18</v>
      </c>
      <c r="K917" t="s">
        <v>19</v>
      </c>
      <c r="L917">
        <v>1260</v>
      </c>
      <c r="M917">
        <v>-3</v>
      </c>
      <c r="N917" t="s">
        <v>1680</v>
      </c>
      <c r="O917" t="s">
        <v>1661</v>
      </c>
      <c r="P917">
        <v>1</v>
      </c>
      <c r="Q917" t="s">
        <v>1663</v>
      </c>
    </row>
    <row r="918" spans="1:18" x14ac:dyDescent="0.35">
      <c r="A918" t="s">
        <v>1550</v>
      </c>
      <c r="B918" s="19">
        <v>46231</v>
      </c>
      <c r="C918" t="s">
        <v>1551</v>
      </c>
      <c r="D918" t="s">
        <v>546</v>
      </c>
      <c r="E918" t="s">
        <v>413</v>
      </c>
      <c r="F918" t="s">
        <v>24</v>
      </c>
      <c r="G918">
        <v>0.85069444444444442</v>
      </c>
      <c r="H918">
        <v>0.85</v>
      </c>
      <c r="I918">
        <v>-11</v>
      </c>
      <c r="J918" t="s">
        <v>18</v>
      </c>
      <c r="K918" t="s">
        <v>19</v>
      </c>
      <c r="L918">
        <v>236</v>
      </c>
      <c r="M918">
        <v>-1</v>
      </c>
      <c r="N918" t="s">
        <v>1680</v>
      </c>
      <c r="O918" t="s">
        <v>1661</v>
      </c>
      <c r="P918">
        <v>1</v>
      </c>
      <c r="Q918" t="s">
        <v>1665</v>
      </c>
    </row>
    <row r="919" spans="1:18" x14ac:dyDescent="0.35">
      <c r="A919" t="s">
        <v>1552</v>
      </c>
      <c r="B919" s="19">
        <v>46231</v>
      </c>
      <c r="C919" t="s">
        <v>406</v>
      </c>
      <c r="D919" t="s">
        <v>226</v>
      </c>
      <c r="E919" t="s">
        <v>413</v>
      </c>
      <c r="F919" t="s">
        <v>17</v>
      </c>
      <c r="G919">
        <v>0.91319444444444442</v>
      </c>
      <c r="H919">
        <v>0.96458333333333335</v>
      </c>
      <c r="I919">
        <v>72</v>
      </c>
      <c r="J919" t="s">
        <v>54</v>
      </c>
      <c r="K919" t="s">
        <v>19</v>
      </c>
      <c r="L919">
        <v>861</v>
      </c>
      <c r="M919">
        <v>74</v>
      </c>
      <c r="N919" t="s">
        <v>1680</v>
      </c>
      <c r="O919" t="s">
        <v>1661</v>
      </c>
      <c r="P919">
        <v>0</v>
      </c>
      <c r="Q919" t="s">
        <v>1669</v>
      </c>
      <c r="R919" t="s">
        <v>1657</v>
      </c>
    </row>
    <row r="920" spans="1:18" x14ac:dyDescent="0.35">
      <c r="A920" t="s">
        <v>1553</v>
      </c>
      <c r="B920" s="19">
        <v>46232</v>
      </c>
      <c r="C920" t="s">
        <v>1554</v>
      </c>
      <c r="D920" t="s">
        <v>197</v>
      </c>
      <c r="E920" t="s">
        <v>413</v>
      </c>
      <c r="F920" t="s">
        <v>38</v>
      </c>
      <c r="G920">
        <v>0.71527777777777779</v>
      </c>
      <c r="H920">
        <v>0.71319444444444446</v>
      </c>
      <c r="I920">
        <v>-8</v>
      </c>
      <c r="J920" t="s">
        <v>18</v>
      </c>
      <c r="K920" t="s">
        <v>19</v>
      </c>
      <c r="L920">
        <v>2470</v>
      </c>
      <c r="M920">
        <v>-3</v>
      </c>
      <c r="N920" t="s">
        <v>1680</v>
      </c>
      <c r="O920" t="s">
        <v>1662</v>
      </c>
      <c r="P920">
        <v>1</v>
      </c>
      <c r="Q920" t="s">
        <v>1665</v>
      </c>
    </row>
    <row r="921" spans="1:18" x14ac:dyDescent="0.35">
      <c r="A921" t="s">
        <v>1555</v>
      </c>
      <c r="B921" s="19">
        <v>46232</v>
      </c>
      <c r="C921" t="s">
        <v>567</v>
      </c>
      <c r="D921" t="s">
        <v>202</v>
      </c>
      <c r="E921" t="s">
        <v>71</v>
      </c>
      <c r="F921" t="s">
        <v>28</v>
      </c>
      <c r="G921">
        <v>0.91319444444444442</v>
      </c>
      <c r="H921">
        <v>0.91180555555555554</v>
      </c>
      <c r="I921">
        <v>-6</v>
      </c>
      <c r="J921" t="s">
        <v>18</v>
      </c>
      <c r="K921" t="s">
        <v>19</v>
      </c>
      <c r="L921">
        <v>1199</v>
      </c>
      <c r="M921">
        <v>-2</v>
      </c>
      <c r="N921" t="s">
        <v>1680</v>
      </c>
      <c r="O921" t="s">
        <v>1662</v>
      </c>
      <c r="P921">
        <v>1</v>
      </c>
      <c r="Q921" t="s">
        <v>1669</v>
      </c>
    </row>
    <row r="922" spans="1:18" x14ac:dyDescent="0.35">
      <c r="A922" t="s">
        <v>1556</v>
      </c>
      <c r="B922" s="19">
        <v>46232</v>
      </c>
      <c r="C922" t="s">
        <v>1557</v>
      </c>
      <c r="D922" t="s">
        <v>197</v>
      </c>
      <c r="E922" t="s">
        <v>226</v>
      </c>
      <c r="F922" t="s">
        <v>28</v>
      </c>
      <c r="G922">
        <v>0.93402777777777779</v>
      </c>
      <c r="H922">
        <v>0.93680555555555556</v>
      </c>
      <c r="I922">
        <v>-4</v>
      </c>
      <c r="J922" t="s">
        <v>18</v>
      </c>
      <c r="K922" t="s">
        <v>19</v>
      </c>
      <c r="L922">
        <v>1622</v>
      </c>
      <c r="M922">
        <v>4</v>
      </c>
      <c r="N922" t="s">
        <v>1680</v>
      </c>
      <c r="O922" t="s">
        <v>1662</v>
      </c>
      <c r="P922">
        <v>1</v>
      </c>
      <c r="Q922" t="s">
        <v>1669</v>
      </c>
    </row>
    <row r="923" spans="1:18" x14ac:dyDescent="0.35">
      <c r="A923" t="s">
        <v>1558</v>
      </c>
      <c r="B923" s="19">
        <v>46233</v>
      </c>
      <c r="C923" t="s">
        <v>394</v>
      </c>
      <c r="D923" t="s">
        <v>202</v>
      </c>
      <c r="E923" t="s">
        <v>71</v>
      </c>
      <c r="F923" t="s">
        <v>17</v>
      </c>
      <c r="G923">
        <v>0.32291666666666669</v>
      </c>
      <c r="H923">
        <v>0.32500000000000001</v>
      </c>
      <c r="I923">
        <v>-7</v>
      </c>
      <c r="J923" t="s">
        <v>18</v>
      </c>
      <c r="K923" t="s">
        <v>19</v>
      </c>
      <c r="L923">
        <v>1199</v>
      </c>
      <c r="M923">
        <v>3</v>
      </c>
      <c r="N923" t="s">
        <v>1680</v>
      </c>
      <c r="O923" t="s">
        <v>1664</v>
      </c>
      <c r="P923">
        <v>1</v>
      </c>
      <c r="Q923" t="s">
        <v>1660</v>
      </c>
    </row>
    <row r="924" spans="1:18" x14ac:dyDescent="0.35">
      <c r="A924" t="s">
        <v>1559</v>
      </c>
      <c r="B924" s="19">
        <v>46233</v>
      </c>
      <c r="C924" t="s">
        <v>1560</v>
      </c>
      <c r="D924" t="s">
        <v>1549</v>
      </c>
      <c r="E924" t="s">
        <v>202</v>
      </c>
      <c r="F924" t="s">
        <v>28</v>
      </c>
      <c r="G924">
        <v>0.67708333333333337</v>
      </c>
      <c r="H924">
        <v>0.69236111111111109</v>
      </c>
      <c r="I924">
        <v>16</v>
      </c>
      <c r="J924" t="s">
        <v>54</v>
      </c>
      <c r="K924" t="s">
        <v>19</v>
      </c>
      <c r="L924">
        <v>1260</v>
      </c>
      <c r="M924">
        <v>22</v>
      </c>
      <c r="N924" t="s">
        <v>1680</v>
      </c>
      <c r="O924" t="s">
        <v>1664</v>
      </c>
      <c r="P924">
        <v>0</v>
      </c>
      <c r="Q924" t="s">
        <v>1663</v>
      </c>
      <c r="R924" t="s">
        <v>1657</v>
      </c>
    </row>
    <row r="925" spans="1:18" x14ac:dyDescent="0.35">
      <c r="A925" t="s">
        <v>1561</v>
      </c>
      <c r="B925" s="19">
        <v>46234</v>
      </c>
      <c r="C925" t="s">
        <v>1562</v>
      </c>
      <c r="D925" t="s">
        <v>197</v>
      </c>
      <c r="E925" t="s">
        <v>71</v>
      </c>
      <c r="F925" t="s">
        <v>28</v>
      </c>
      <c r="G925">
        <v>0.27083333333333331</v>
      </c>
      <c r="H925">
        <v>0.2673611111111111</v>
      </c>
      <c r="I925">
        <v>-3</v>
      </c>
      <c r="J925" t="s">
        <v>18</v>
      </c>
      <c r="K925" t="s">
        <v>19</v>
      </c>
      <c r="L925">
        <v>738</v>
      </c>
      <c r="M925">
        <v>-5</v>
      </c>
      <c r="N925" t="s">
        <v>1680</v>
      </c>
      <c r="O925" t="s">
        <v>1666</v>
      </c>
      <c r="P925">
        <v>1</v>
      </c>
      <c r="Q925" t="s">
        <v>1660</v>
      </c>
    </row>
    <row r="926" spans="1:18" x14ac:dyDescent="0.35">
      <c r="A926" t="s">
        <v>1563</v>
      </c>
      <c r="B926" s="19">
        <v>46234</v>
      </c>
      <c r="C926" t="s">
        <v>316</v>
      </c>
      <c r="D926" t="s">
        <v>71</v>
      </c>
      <c r="E926" t="s">
        <v>1549</v>
      </c>
      <c r="F926" t="s">
        <v>17</v>
      </c>
      <c r="G926">
        <v>0.69791666666666663</v>
      </c>
      <c r="H926">
        <v>0.75277777777777777</v>
      </c>
      <c r="I926">
        <v>84</v>
      </c>
      <c r="J926" t="s">
        <v>54</v>
      </c>
      <c r="K926" t="s">
        <v>19</v>
      </c>
      <c r="L926">
        <v>864</v>
      </c>
      <c r="M926">
        <v>79</v>
      </c>
      <c r="N926" t="s">
        <v>1680</v>
      </c>
      <c r="O926" t="s">
        <v>1666</v>
      </c>
      <c r="P926">
        <v>0</v>
      </c>
      <c r="Q926" t="s">
        <v>1663</v>
      </c>
      <c r="R926" t="s">
        <v>1657</v>
      </c>
    </row>
    <row r="927" spans="1:18" x14ac:dyDescent="0.35">
      <c r="A927" t="s">
        <v>1564</v>
      </c>
      <c r="B927" s="19">
        <v>46235</v>
      </c>
      <c r="C927" t="s">
        <v>682</v>
      </c>
      <c r="D927" t="s">
        <v>1549</v>
      </c>
      <c r="E927" t="s">
        <v>588</v>
      </c>
      <c r="F927" t="s">
        <v>38</v>
      </c>
      <c r="G927">
        <v>0.5</v>
      </c>
      <c r="H927">
        <v>0.50208333333333333</v>
      </c>
      <c r="I927">
        <v>8</v>
      </c>
      <c r="J927" t="s">
        <v>18</v>
      </c>
      <c r="K927" t="s">
        <v>19</v>
      </c>
      <c r="L927">
        <v>1559</v>
      </c>
      <c r="M927">
        <v>3</v>
      </c>
      <c r="N927" t="s">
        <v>1681</v>
      </c>
      <c r="O927" t="s">
        <v>1667</v>
      </c>
      <c r="P927">
        <v>1</v>
      </c>
      <c r="Q927" t="s">
        <v>1663</v>
      </c>
    </row>
    <row r="928" spans="1:18" x14ac:dyDescent="0.35">
      <c r="A928" t="s">
        <v>1565</v>
      </c>
      <c r="B928" s="19">
        <v>46235</v>
      </c>
      <c r="C928" t="s">
        <v>512</v>
      </c>
      <c r="D928" t="s">
        <v>79</v>
      </c>
      <c r="E928" t="s">
        <v>71</v>
      </c>
      <c r="F928" t="s">
        <v>24</v>
      </c>
      <c r="G928">
        <v>0.64930555555555558</v>
      </c>
      <c r="H928">
        <v>0.65069444444444446</v>
      </c>
      <c r="I928">
        <v>-2</v>
      </c>
      <c r="J928" t="s">
        <v>18</v>
      </c>
      <c r="K928" t="s">
        <v>19</v>
      </c>
      <c r="L928">
        <v>606</v>
      </c>
      <c r="M928">
        <v>2</v>
      </c>
      <c r="N928" t="s">
        <v>1681</v>
      </c>
      <c r="O928" t="s">
        <v>1667</v>
      </c>
      <c r="P928">
        <v>1</v>
      </c>
      <c r="Q928" t="s">
        <v>1663</v>
      </c>
    </row>
    <row r="929" spans="1:18" x14ac:dyDescent="0.35">
      <c r="A929" t="s">
        <v>1566</v>
      </c>
      <c r="B929" s="19">
        <v>46235</v>
      </c>
      <c r="C929" t="s">
        <v>962</v>
      </c>
      <c r="D929" t="s">
        <v>79</v>
      </c>
      <c r="E929" t="s">
        <v>71</v>
      </c>
      <c r="F929" t="s">
        <v>24</v>
      </c>
      <c r="G929">
        <v>0.71527777777777779</v>
      </c>
      <c r="H929">
        <v>0.73472222222222228</v>
      </c>
      <c r="I929">
        <v>34</v>
      </c>
      <c r="J929" t="s">
        <v>54</v>
      </c>
      <c r="K929" t="s">
        <v>19</v>
      </c>
      <c r="L929">
        <v>606</v>
      </c>
      <c r="M929">
        <v>28</v>
      </c>
      <c r="N929" t="s">
        <v>1681</v>
      </c>
      <c r="O929" t="s">
        <v>1667</v>
      </c>
      <c r="P929">
        <v>0</v>
      </c>
      <c r="Q929" t="s">
        <v>1665</v>
      </c>
      <c r="R929" t="s">
        <v>1657</v>
      </c>
    </row>
    <row r="930" spans="1:18" x14ac:dyDescent="0.35">
      <c r="A930" t="s">
        <v>1567</v>
      </c>
      <c r="B930" s="19">
        <v>46235</v>
      </c>
      <c r="C930" t="s">
        <v>106</v>
      </c>
      <c r="D930" t="s">
        <v>1295</v>
      </c>
      <c r="E930" t="s">
        <v>413</v>
      </c>
      <c r="F930" t="s">
        <v>24</v>
      </c>
      <c r="G930">
        <v>0.72569444444444442</v>
      </c>
      <c r="H930">
        <v>0.72430555555555554</v>
      </c>
      <c r="I930">
        <v>-10</v>
      </c>
      <c r="J930" t="s">
        <v>18</v>
      </c>
      <c r="K930" t="s">
        <v>19</v>
      </c>
      <c r="L930">
        <v>338</v>
      </c>
      <c r="M930">
        <v>-2</v>
      </c>
      <c r="N930" t="s">
        <v>1681</v>
      </c>
      <c r="O930" t="s">
        <v>1667</v>
      </c>
      <c r="P930">
        <v>1</v>
      </c>
      <c r="Q930" t="s">
        <v>1665</v>
      </c>
    </row>
    <row r="931" spans="1:18" x14ac:dyDescent="0.35">
      <c r="A931" t="s">
        <v>1568</v>
      </c>
      <c r="B931" s="19">
        <v>46236</v>
      </c>
      <c r="C931" t="s">
        <v>1569</v>
      </c>
      <c r="D931" t="s">
        <v>546</v>
      </c>
      <c r="E931" t="s">
        <v>79</v>
      </c>
      <c r="F931" t="s">
        <v>28</v>
      </c>
      <c r="G931">
        <v>0.4513888888888889</v>
      </c>
      <c r="H931">
        <v>0.44930555555555562</v>
      </c>
      <c r="I931">
        <v>-12</v>
      </c>
      <c r="J931" t="s">
        <v>18</v>
      </c>
      <c r="K931" t="s">
        <v>19</v>
      </c>
      <c r="L931">
        <v>1743</v>
      </c>
      <c r="M931">
        <v>-3</v>
      </c>
      <c r="N931" t="s">
        <v>1681</v>
      </c>
      <c r="O931" t="s">
        <v>1668</v>
      </c>
      <c r="P931">
        <v>1</v>
      </c>
      <c r="Q931" t="s">
        <v>1660</v>
      </c>
    </row>
    <row r="932" spans="1:18" x14ac:dyDescent="0.35">
      <c r="A932" t="s">
        <v>1570</v>
      </c>
      <c r="B932" s="19">
        <v>46236</v>
      </c>
      <c r="C932" t="s">
        <v>760</v>
      </c>
      <c r="D932" t="s">
        <v>1171</v>
      </c>
      <c r="E932" t="s">
        <v>413</v>
      </c>
      <c r="F932" t="s">
        <v>24</v>
      </c>
      <c r="G932">
        <v>0.66319444444444442</v>
      </c>
      <c r="H932">
        <v>0.66319444444444442</v>
      </c>
      <c r="I932">
        <v>8</v>
      </c>
      <c r="J932" t="s">
        <v>18</v>
      </c>
      <c r="K932" t="s">
        <v>19</v>
      </c>
      <c r="L932">
        <v>370</v>
      </c>
      <c r="M932">
        <v>0</v>
      </c>
      <c r="N932" t="s">
        <v>1681</v>
      </c>
      <c r="O932" t="s">
        <v>1668</v>
      </c>
      <c r="P932">
        <v>1</v>
      </c>
      <c r="Q932" t="s">
        <v>1663</v>
      </c>
    </row>
    <row r="933" spans="1:18" x14ac:dyDescent="0.35">
      <c r="A933" t="s">
        <v>1571</v>
      </c>
      <c r="B933" s="19">
        <v>46236</v>
      </c>
      <c r="C933" t="s">
        <v>487</v>
      </c>
      <c r="D933" t="s">
        <v>546</v>
      </c>
      <c r="E933" t="s">
        <v>413</v>
      </c>
      <c r="F933" t="s">
        <v>38</v>
      </c>
      <c r="G933">
        <v>0.875</v>
      </c>
      <c r="H933">
        <v>0.87708333333333333</v>
      </c>
      <c r="I933">
        <v>6</v>
      </c>
      <c r="J933" t="s">
        <v>18</v>
      </c>
      <c r="K933" t="s">
        <v>19</v>
      </c>
      <c r="L933">
        <v>236</v>
      </c>
      <c r="M933">
        <v>3</v>
      </c>
      <c r="N933" t="s">
        <v>1681</v>
      </c>
      <c r="O933" t="s">
        <v>1668</v>
      </c>
      <c r="P933">
        <v>1</v>
      </c>
      <c r="Q933" t="s">
        <v>1669</v>
      </c>
    </row>
    <row r="934" spans="1:18" x14ac:dyDescent="0.35">
      <c r="A934" t="s">
        <v>1572</v>
      </c>
      <c r="B934" s="19">
        <v>46237</v>
      </c>
      <c r="C934" t="s">
        <v>778</v>
      </c>
      <c r="D934" t="s">
        <v>1549</v>
      </c>
      <c r="E934" t="s">
        <v>79</v>
      </c>
      <c r="F934" t="s">
        <v>24</v>
      </c>
      <c r="G934">
        <v>0.55555555555555558</v>
      </c>
      <c r="H934">
        <v>0.56874999999999998</v>
      </c>
      <c r="I934">
        <v>17</v>
      </c>
      <c r="J934" t="s">
        <v>60</v>
      </c>
      <c r="K934" t="s">
        <v>19</v>
      </c>
      <c r="L934">
        <v>945</v>
      </c>
      <c r="M934">
        <v>19</v>
      </c>
      <c r="N934" t="s">
        <v>1681</v>
      </c>
      <c r="O934" t="s">
        <v>1659</v>
      </c>
      <c r="P934">
        <v>0</v>
      </c>
      <c r="Q934" t="s">
        <v>1663</v>
      </c>
      <c r="R934" t="s">
        <v>1657</v>
      </c>
    </row>
    <row r="935" spans="1:18" x14ac:dyDescent="0.35">
      <c r="A935" t="s">
        <v>1573</v>
      </c>
      <c r="B935" s="19">
        <v>46238</v>
      </c>
      <c r="C935" t="s">
        <v>1040</v>
      </c>
      <c r="D935" t="s">
        <v>71</v>
      </c>
      <c r="E935" t="s">
        <v>1171</v>
      </c>
      <c r="F935" t="s">
        <v>24</v>
      </c>
      <c r="G935">
        <v>0.38194444444444442</v>
      </c>
      <c r="H935">
        <v>0.37847222222222221</v>
      </c>
      <c r="I935">
        <v>-11</v>
      </c>
      <c r="J935" t="s">
        <v>18</v>
      </c>
      <c r="K935" t="s">
        <v>19</v>
      </c>
      <c r="L935">
        <v>1438</v>
      </c>
      <c r="M935">
        <v>-5</v>
      </c>
      <c r="N935" t="s">
        <v>1681</v>
      </c>
      <c r="O935" t="s">
        <v>1661</v>
      </c>
      <c r="P935">
        <v>1</v>
      </c>
      <c r="Q935" t="s">
        <v>1660</v>
      </c>
    </row>
    <row r="936" spans="1:18" x14ac:dyDescent="0.35">
      <c r="A936" t="s">
        <v>1574</v>
      </c>
      <c r="B936" s="19">
        <v>46238</v>
      </c>
      <c r="C936" t="s">
        <v>1575</v>
      </c>
      <c r="D936" t="s">
        <v>413</v>
      </c>
      <c r="E936" t="s">
        <v>197</v>
      </c>
      <c r="F936" t="s">
        <v>28</v>
      </c>
      <c r="G936">
        <v>0.51388888888888884</v>
      </c>
      <c r="H936">
        <v>0.53472222222222221</v>
      </c>
      <c r="I936">
        <v>37</v>
      </c>
      <c r="J936" t="s">
        <v>60</v>
      </c>
      <c r="K936" t="s">
        <v>19</v>
      </c>
      <c r="L936">
        <v>2470</v>
      </c>
      <c r="M936">
        <v>30</v>
      </c>
      <c r="N936" t="s">
        <v>1681</v>
      </c>
      <c r="O936" t="s">
        <v>1661</v>
      </c>
      <c r="P936">
        <v>0</v>
      </c>
      <c r="Q936" t="s">
        <v>1663</v>
      </c>
      <c r="R936" t="s">
        <v>1657</v>
      </c>
    </row>
    <row r="937" spans="1:18" x14ac:dyDescent="0.35">
      <c r="A937" t="s">
        <v>1576</v>
      </c>
      <c r="B937" s="19">
        <v>46238</v>
      </c>
      <c r="C937" t="s">
        <v>716</v>
      </c>
      <c r="D937" t="s">
        <v>84</v>
      </c>
      <c r="E937" t="s">
        <v>71</v>
      </c>
      <c r="F937" t="s">
        <v>38</v>
      </c>
      <c r="G937">
        <v>0.65972222222222221</v>
      </c>
      <c r="H937">
        <v>0.66527777777777775</v>
      </c>
      <c r="I937">
        <v>5</v>
      </c>
      <c r="J937" t="s">
        <v>18</v>
      </c>
      <c r="K937" t="s">
        <v>19</v>
      </c>
      <c r="L937">
        <v>1717</v>
      </c>
      <c r="M937">
        <v>8</v>
      </c>
      <c r="N937" t="s">
        <v>1681</v>
      </c>
      <c r="O937" t="s">
        <v>1661</v>
      </c>
      <c r="P937">
        <v>1</v>
      </c>
      <c r="Q937" t="s">
        <v>1663</v>
      </c>
    </row>
    <row r="938" spans="1:18" x14ac:dyDescent="0.35">
      <c r="A938" t="s">
        <v>1577</v>
      </c>
      <c r="B938" s="19">
        <v>46238</v>
      </c>
      <c r="C938" t="s">
        <v>440</v>
      </c>
      <c r="D938" t="s">
        <v>79</v>
      </c>
      <c r="E938" t="s">
        <v>202</v>
      </c>
      <c r="F938" t="s">
        <v>38</v>
      </c>
      <c r="G938">
        <v>0.82291666666666663</v>
      </c>
      <c r="H938">
        <v>0.8256944444444444</v>
      </c>
      <c r="I938">
        <v>3</v>
      </c>
      <c r="J938" t="s">
        <v>18</v>
      </c>
      <c r="K938" t="s">
        <v>19</v>
      </c>
      <c r="L938">
        <v>596</v>
      </c>
      <c r="M938">
        <v>4</v>
      </c>
      <c r="N938" t="s">
        <v>1681</v>
      </c>
      <c r="O938" t="s">
        <v>1661</v>
      </c>
      <c r="P938">
        <v>1</v>
      </c>
      <c r="Q938" t="s">
        <v>1665</v>
      </c>
    </row>
    <row r="939" spans="1:18" x14ac:dyDescent="0.35">
      <c r="A939" t="s">
        <v>1578</v>
      </c>
      <c r="B939" s="19">
        <v>46240</v>
      </c>
      <c r="C939" t="s">
        <v>394</v>
      </c>
      <c r="D939" t="s">
        <v>588</v>
      </c>
      <c r="E939" t="s">
        <v>1171</v>
      </c>
      <c r="F939" t="s">
        <v>17</v>
      </c>
      <c r="G939">
        <v>0.3923611111111111</v>
      </c>
      <c r="H939">
        <v>0.43194444444444452</v>
      </c>
      <c r="I939">
        <v>45</v>
      </c>
      <c r="J939" t="s">
        <v>54</v>
      </c>
      <c r="K939" t="s">
        <v>19</v>
      </c>
      <c r="L939">
        <v>866</v>
      </c>
      <c r="M939">
        <v>57</v>
      </c>
      <c r="N939" t="s">
        <v>1681</v>
      </c>
      <c r="O939" t="s">
        <v>1664</v>
      </c>
      <c r="P939">
        <v>0</v>
      </c>
      <c r="Q939" t="s">
        <v>1660</v>
      </c>
      <c r="R939" t="s">
        <v>1657</v>
      </c>
    </row>
    <row r="940" spans="1:18" x14ac:dyDescent="0.35">
      <c r="A940" t="s">
        <v>1579</v>
      </c>
      <c r="B940" s="19">
        <v>46240</v>
      </c>
      <c r="C940" t="s">
        <v>1580</v>
      </c>
      <c r="D940" t="s">
        <v>71</v>
      </c>
      <c r="E940" t="s">
        <v>197</v>
      </c>
      <c r="F940" t="s">
        <v>24</v>
      </c>
      <c r="G940">
        <v>0.92013888888888884</v>
      </c>
      <c r="H940">
        <v>0.92152777777777772</v>
      </c>
      <c r="I940">
        <v>5</v>
      </c>
      <c r="J940" t="s">
        <v>18</v>
      </c>
      <c r="K940" t="s">
        <v>19</v>
      </c>
      <c r="L940">
        <v>738</v>
      </c>
      <c r="M940">
        <v>2</v>
      </c>
      <c r="N940" t="s">
        <v>1681</v>
      </c>
      <c r="O940" t="s">
        <v>1664</v>
      </c>
      <c r="P940">
        <v>1</v>
      </c>
      <c r="Q940" t="s">
        <v>1669</v>
      </c>
    </row>
    <row r="941" spans="1:18" x14ac:dyDescent="0.35">
      <c r="A941" t="s">
        <v>1581</v>
      </c>
      <c r="B941" s="19">
        <v>46241</v>
      </c>
      <c r="C941" t="s">
        <v>1369</v>
      </c>
      <c r="D941" t="s">
        <v>226</v>
      </c>
      <c r="E941" t="s">
        <v>84</v>
      </c>
      <c r="F941" t="s">
        <v>17</v>
      </c>
      <c r="G941">
        <v>0.55902777777777779</v>
      </c>
      <c r="H941">
        <v>0.58680555555555558</v>
      </c>
      <c r="I941">
        <v>29</v>
      </c>
      <c r="J941" t="s">
        <v>54</v>
      </c>
      <c r="K941" t="s">
        <v>19</v>
      </c>
      <c r="L941">
        <v>1023</v>
      </c>
      <c r="M941">
        <v>40</v>
      </c>
      <c r="N941" t="s">
        <v>1681</v>
      </c>
      <c r="O941" t="s">
        <v>1666</v>
      </c>
      <c r="P941">
        <v>0</v>
      </c>
      <c r="Q941" t="s">
        <v>1663</v>
      </c>
      <c r="R941" t="s">
        <v>1657</v>
      </c>
    </row>
    <row r="942" spans="1:18" x14ac:dyDescent="0.35">
      <c r="A942" t="s">
        <v>1582</v>
      </c>
      <c r="B942" s="19">
        <v>46242</v>
      </c>
      <c r="C942" t="s">
        <v>1229</v>
      </c>
      <c r="D942" t="s">
        <v>79</v>
      </c>
      <c r="E942" t="s">
        <v>546</v>
      </c>
      <c r="F942" t="s">
        <v>28</v>
      </c>
      <c r="G942">
        <v>0.57986111111111116</v>
      </c>
      <c r="H942">
        <v>0.59305555555555556</v>
      </c>
      <c r="I942">
        <v>13</v>
      </c>
      <c r="J942" t="s">
        <v>129</v>
      </c>
      <c r="K942" t="s">
        <v>19</v>
      </c>
      <c r="L942">
        <v>1743</v>
      </c>
      <c r="M942">
        <v>19</v>
      </c>
      <c r="N942" t="s">
        <v>1681</v>
      </c>
      <c r="O942" t="s">
        <v>1667</v>
      </c>
      <c r="P942">
        <v>1</v>
      </c>
      <c r="Q942" t="s">
        <v>1663</v>
      </c>
      <c r="R942" t="s">
        <v>1670</v>
      </c>
    </row>
    <row r="943" spans="1:18" x14ac:dyDescent="0.35">
      <c r="A943" t="s">
        <v>1583</v>
      </c>
      <c r="B943" s="19">
        <v>46242</v>
      </c>
      <c r="C943" t="s">
        <v>1575</v>
      </c>
      <c r="D943" t="s">
        <v>226</v>
      </c>
      <c r="E943" t="s">
        <v>588</v>
      </c>
      <c r="F943" t="s">
        <v>17</v>
      </c>
      <c r="G943">
        <v>0.77083333333333337</v>
      </c>
      <c r="H943">
        <v>0.77847222222222223</v>
      </c>
      <c r="I943">
        <v>9</v>
      </c>
      <c r="J943" t="s">
        <v>18</v>
      </c>
      <c r="K943" t="s">
        <v>19</v>
      </c>
      <c r="L943">
        <v>641</v>
      </c>
      <c r="M943">
        <v>11</v>
      </c>
      <c r="N943" t="s">
        <v>1681</v>
      </c>
      <c r="O943" t="s">
        <v>1667</v>
      </c>
      <c r="P943">
        <v>1</v>
      </c>
      <c r="Q943" t="s">
        <v>1665</v>
      </c>
    </row>
    <row r="944" spans="1:18" x14ac:dyDescent="0.35">
      <c r="A944" t="s">
        <v>1584</v>
      </c>
      <c r="B944" s="19">
        <v>46243</v>
      </c>
      <c r="C944" t="s">
        <v>1585</v>
      </c>
      <c r="D944" t="s">
        <v>1549</v>
      </c>
      <c r="E944" t="s">
        <v>79</v>
      </c>
      <c r="F944" t="s">
        <v>17</v>
      </c>
      <c r="G944">
        <v>0.27083333333333331</v>
      </c>
      <c r="H944">
        <v>0.26874999999999999</v>
      </c>
      <c r="I944">
        <v>-14</v>
      </c>
      <c r="J944" t="s">
        <v>18</v>
      </c>
      <c r="K944" t="s">
        <v>19</v>
      </c>
      <c r="L944">
        <v>945</v>
      </c>
      <c r="M944">
        <v>-3</v>
      </c>
      <c r="N944" t="s">
        <v>1681</v>
      </c>
      <c r="O944" t="s">
        <v>1668</v>
      </c>
      <c r="P944">
        <v>1</v>
      </c>
      <c r="Q944" t="s">
        <v>1660</v>
      </c>
    </row>
    <row r="945" spans="1:18" x14ac:dyDescent="0.35">
      <c r="A945" t="s">
        <v>1586</v>
      </c>
      <c r="B945" s="19">
        <v>46243</v>
      </c>
      <c r="C945" t="s">
        <v>1079</v>
      </c>
      <c r="D945" t="s">
        <v>79</v>
      </c>
      <c r="E945" t="s">
        <v>226</v>
      </c>
      <c r="F945" t="s">
        <v>28</v>
      </c>
      <c r="G945">
        <v>0.52083333333333337</v>
      </c>
      <c r="H945">
        <v>0.54583333333333328</v>
      </c>
      <c r="I945">
        <v>35</v>
      </c>
      <c r="J945" t="s">
        <v>129</v>
      </c>
      <c r="K945" t="s">
        <v>19</v>
      </c>
      <c r="L945">
        <v>1197</v>
      </c>
      <c r="M945">
        <v>36</v>
      </c>
      <c r="N945" t="s">
        <v>1681</v>
      </c>
      <c r="O945" t="s">
        <v>1668</v>
      </c>
      <c r="P945">
        <v>0</v>
      </c>
      <c r="Q945" t="s">
        <v>1663</v>
      </c>
      <c r="R945" t="s">
        <v>1670</v>
      </c>
    </row>
    <row r="946" spans="1:18" x14ac:dyDescent="0.35">
      <c r="A946" t="s">
        <v>1587</v>
      </c>
      <c r="B946" s="19">
        <v>46243</v>
      </c>
      <c r="C946" t="s">
        <v>616</v>
      </c>
      <c r="D946" t="s">
        <v>197</v>
      </c>
      <c r="E946" t="s">
        <v>1171</v>
      </c>
      <c r="F946" t="s">
        <v>38</v>
      </c>
      <c r="G946">
        <v>0.58333333333333337</v>
      </c>
      <c r="I946">
        <v>-19</v>
      </c>
      <c r="J946" t="s">
        <v>18</v>
      </c>
      <c r="K946" t="s">
        <v>19</v>
      </c>
      <c r="L946">
        <v>2149</v>
      </c>
      <c r="M946">
        <v>-8</v>
      </c>
      <c r="N946" t="s">
        <v>1681</v>
      </c>
      <c r="O946" t="s">
        <v>1668</v>
      </c>
      <c r="P946">
        <v>1</v>
      </c>
      <c r="Q946" t="s">
        <v>1663</v>
      </c>
    </row>
    <row r="947" spans="1:18" x14ac:dyDescent="0.35">
      <c r="A947" t="s">
        <v>1588</v>
      </c>
      <c r="B947" s="19">
        <v>46243</v>
      </c>
      <c r="C947" t="s">
        <v>1589</v>
      </c>
      <c r="D947" t="s">
        <v>546</v>
      </c>
      <c r="E947" t="s">
        <v>79</v>
      </c>
      <c r="F947" t="s">
        <v>17</v>
      </c>
      <c r="G947">
        <v>0.69097222222222221</v>
      </c>
      <c r="H947">
        <v>0.69236111111111109</v>
      </c>
      <c r="I947">
        <v>-3</v>
      </c>
      <c r="J947" t="s">
        <v>18</v>
      </c>
      <c r="K947" t="s">
        <v>19</v>
      </c>
      <c r="L947">
        <v>1743</v>
      </c>
      <c r="M947">
        <v>2</v>
      </c>
      <c r="N947" t="s">
        <v>1681</v>
      </c>
      <c r="O947" t="s">
        <v>1668</v>
      </c>
      <c r="P947">
        <v>1</v>
      </c>
      <c r="Q947" t="s">
        <v>1663</v>
      </c>
    </row>
    <row r="948" spans="1:18" x14ac:dyDescent="0.35">
      <c r="A948" t="s">
        <v>1590</v>
      </c>
      <c r="B948" s="19">
        <v>46243</v>
      </c>
      <c r="C948" t="s">
        <v>1591</v>
      </c>
      <c r="D948" t="s">
        <v>79</v>
      </c>
      <c r="E948" t="s">
        <v>84</v>
      </c>
      <c r="F948" t="s">
        <v>17</v>
      </c>
      <c r="G948">
        <v>0.77430555555555558</v>
      </c>
      <c r="H948">
        <v>0.78749999999999998</v>
      </c>
      <c r="I948">
        <v>16</v>
      </c>
      <c r="J948" t="s">
        <v>54</v>
      </c>
      <c r="K948" t="s">
        <v>19</v>
      </c>
      <c r="L948">
        <v>2178</v>
      </c>
      <c r="M948">
        <v>19</v>
      </c>
      <c r="N948" t="s">
        <v>1681</v>
      </c>
      <c r="O948" t="s">
        <v>1668</v>
      </c>
      <c r="P948">
        <v>0</v>
      </c>
      <c r="Q948" t="s">
        <v>1665</v>
      </c>
      <c r="R948" t="s">
        <v>1657</v>
      </c>
    </row>
    <row r="949" spans="1:18" x14ac:dyDescent="0.35">
      <c r="A949" t="s">
        <v>1592</v>
      </c>
      <c r="B949" s="19">
        <v>46243</v>
      </c>
      <c r="C949" t="s">
        <v>1451</v>
      </c>
      <c r="D949" t="s">
        <v>71</v>
      </c>
      <c r="E949" t="s">
        <v>226</v>
      </c>
      <c r="F949" t="s">
        <v>24</v>
      </c>
      <c r="G949">
        <v>0.85763888888888884</v>
      </c>
      <c r="H949">
        <v>0.92083333333333328</v>
      </c>
      <c r="I949">
        <v>89</v>
      </c>
      <c r="J949" t="s">
        <v>60</v>
      </c>
      <c r="K949" t="s">
        <v>19</v>
      </c>
      <c r="L949">
        <v>886</v>
      </c>
      <c r="M949">
        <v>91</v>
      </c>
      <c r="N949" t="s">
        <v>1681</v>
      </c>
      <c r="O949" t="s">
        <v>1668</v>
      </c>
      <c r="P949">
        <v>0</v>
      </c>
      <c r="Q949" t="s">
        <v>1665</v>
      </c>
      <c r="R949" t="s">
        <v>1657</v>
      </c>
    </row>
    <row r="950" spans="1:18" x14ac:dyDescent="0.35">
      <c r="A950" t="s">
        <v>1593</v>
      </c>
      <c r="B950" s="19">
        <v>46244</v>
      </c>
      <c r="C950" t="s">
        <v>256</v>
      </c>
      <c r="D950" t="s">
        <v>1171</v>
      </c>
      <c r="E950" t="s">
        <v>79</v>
      </c>
      <c r="F950" t="s">
        <v>17</v>
      </c>
      <c r="G950">
        <v>0.25694444444444442</v>
      </c>
      <c r="H950">
        <v>0.25347222222222221</v>
      </c>
      <c r="I950">
        <v>-10</v>
      </c>
      <c r="J950" t="s">
        <v>18</v>
      </c>
      <c r="K950" t="s">
        <v>19</v>
      </c>
      <c r="L950">
        <v>1584</v>
      </c>
      <c r="M950">
        <v>-5</v>
      </c>
      <c r="N950" t="s">
        <v>1681</v>
      </c>
      <c r="O950" t="s">
        <v>1659</v>
      </c>
      <c r="P950">
        <v>1</v>
      </c>
      <c r="Q950" t="s">
        <v>1660</v>
      </c>
    </row>
    <row r="951" spans="1:18" x14ac:dyDescent="0.35">
      <c r="A951" t="s">
        <v>1594</v>
      </c>
      <c r="B951" s="19">
        <v>46245</v>
      </c>
      <c r="C951" t="s">
        <v>541</v>
      </c>
      <c r="D951" t="s">
        <v>84</v>
      </c>
      <c r="E951" t="s">
        <v>79</v>
      </c>
      <c r="F951" t="s">
        <v>24</v>
      </c>
      <c r="G951">
        <v>0.22569444444444439</v>
      </c>
      <c r="H951">
        <v>0.22847222222222219</v>
      </c>
      <c r="I951">
        <v>11</v>
      </c>
      <c r="J951" t="s">
        <v>18</v>
      </c>
      <c r="K951" t="s">
        <v>19</v>
      </c>
      <c r="L951">
        <v>2178</v>
      </c>
      <c r="M951">
        <v>4</v>
      </c>
      <c r="N951" t="s">
        <v>1681</v>
      </c>
      <c r="O951" t="s">
        <v>1661</v>
      </c>
      <c r="P951">
        <v>1</v>
      </c>
      <c r="Q951" t="s">
        <v>1660</v>
      </c>
    </row>
    <row r="952" spans="1:18" x14ac:dyDescent="0.35">
      <c r="A952" t="s">
        <v>1595</v>
      </c>
      <c r="B952" s="19">
        <v>46245</v>
      </c>
      <c r="C952" t="s">
        <v>1118</v>
      </c>
      <c r="D952" t="s">
        <v>71</v>
      </c>
      <c r="E952" t="s">
        <v>79</v>
      </c>
      <c r="F952" t="s">
        <v>28</v>
      </c>
      <c r="G952">
        <v>0.30208333333333331</v>
      </c>
      <c r="H952">
        <v>0.31041666666666667</v>
      </c>
      <c r="I952">
        <v>2</v>
      </c>
      <c r="J952" t="s">
        <v>18</v>
      </c>
      <c r="K952" t="s">
        <v>19</v>
      </c>
      <c r="L952">
        <v>606</v>
      </c>
      <c r="M952">
        <v>12</v>
      </c>
      <c r="N952" t="s">
        <v>1681</v>
      </c>
      <c r="O952" t="s">
        <v>1661</v>
      </c>
      <c r="P952">
        <v>1</v>
      </c>
      <c r="Q952" t="s">
        <v>1660</v>
      </c>
    </row>
    <row r="953" spans="1:18" x14ac:dyDescent="0.35">
      <c r="A953" t="s">
        <v>1596</v>
      </c>
      <c r="B953" s="19">
        <v>46245</v>
      </c>
      <c r="C953" t="s">
        <v>481</v>
      </c>
      <c r="D953" t="s">
        <v>226</v>
      </c>
      <c r="E953" t="s">
        <v>79</v>
      </c>
      <c r="F953" t="s">
        <v>24</v>
      </c>
      <c r="G953">
        <v>0.33680555555555558</v>
      </c>
      <c r="H953">
        <v>0.34375</v>
      </c>
      <c r="I953">
        <v>19</v>
      </c>
      <c r="J953" t="s">
        <v>18</v>
      </c>
      <c r="K953" t="s">
        <v>19</v>
      </c>
      <c r="L953">
        <v>1197</v>
      </c>
      <c r="M953">
        <v>10</v>
      </c>
      <c r="N953" t="s">
        <v>1681</v>
      </c>
      <c r="O953" t="s">
        <v>1661</v>
      </c>
      <c r="P953">
        <v>0</v>
      </c>
      <c r="Q953" t="s">
        <v>1660</v>
      </c>
    </row>
    <row r="954" spans="1:18" x14ac:dyDescent="0.35">
      <c r="A954" t="s">
        <v>1597</v>
      </c>
      <c r="B954" s="19">
        <v>46246</v>
      </c>
      <c r="C954" t="s">
        <v>1598</v>
      </c>
      <c r="D954" t="s">
        <v>588</v>
      </c>
      <c r="E954" t="s">
        <v>79</v>
      </c>
      <c r="F954" t="s">
        <v>38</v>
      </c>
      <c r="G954">
        <v>0.35416666666666669</v>
      </c>
      <c r="H954">
        <v>0.37569444444444439</v>
      </c>
      <c r="I954">
        <v>39</v>
      </c>
      <c r="J954" t="s">
        <v>319</v>
      </c>
      <c r="K954" t="s">
        <v>19</v>
      </c>
      <c r="L954">
        <v>730</v>
      </c>
      <c r="M954">
        <v>31</v>
      </c>
      <c r="N954" t="s">
        <v>1681</v>
      </c>
      <c r="O954" t="s">
        <v>1662</v>
      </c>
      <c r="P954">
        <v>0</v>
      </c>
      <c r="Q954" t="s">
        <v>1660</v>
      </c>
      <c r="R954" t="s">
        <v>1670</v>
      </c>
    </row>
    <row r="955" spans="1:18" x14ac:dyDescent="0.35">
      <c r="A955" t="s">
        <v>1599</v>
      </c>
      <c r="B955" s="19">
        <v>46246</v>
      </c>
      <c r="C955" t="s">
        <v>88</v>
      </c>
      <c r="D955" t="s">
        <v>546</v>
      </c>
      <c r="E955" t="s">
        <v>588</v>
      </c>
      <c r="F955" t="s">
        <v>28</v>
      </c>
      <c r="G955">
        <v>0.37847222222222221</v>
      </c>
      <c r="H955">
        <v>0.37777777777777782</v>
      </c>
      <c r="I955">
        <v>-13</v>
      </c>
      <c r="J955" t="s">
        <v>18</v>
      </c>
      <c r="K955" t="s">
        <v>19</v>
      </c>
      <c r="L955">
        <v>1053</v>
      </c>
      <c r="M955">
        <v>-1</v>
      </c>
      <c r="N955" t="s">
        <v>1681</v>
      </c>
      <c r="O955" t="s">
        <v>1662</v>
      </c>
      <c r="P955">
        <v>1</v>
      </c>
      <c r="Q955" t="s">
        <v>1660</v>
      </c>
    </row>
    <row r="956" spans="1:18" x14ac:dyDescent="0.35">
      <c r="A956" t="s">
        <v>1600</v>
      </c>
      <c r="B956" s="19">
        <v>46247</v>
      </c>
      <c r="C956" t="s">
        <v>1601</v>
      </c>
      <c r="D956" t="s">
        <v>588</v>
      </c>
      <c r="E956" t="s">
        <v>546</v>
      </c>
      <c r="F956" t="s">
        <v>24</v>
      </c>
      <c r="G956">
        <v>0.51041666666666663</v>
      </c>
      <c r="H956">
        <v>0.5444444444444444</v>
      </c>
      <c r="I956">
        <v>41</v>
      </c>
      <c r="J956" t="s">
        <v>60</v>
      </c>
      <c r="K956" t="s">
        <v>19</v>
      </c>
      <c r="L956">
        <v>1053</v>
      </c>
      <c r="M956">
        <v>49</v>
      </c>
      <c r="N956" t="s">
        <v>1681</v>
      </c>
      <c r="O956" t="s">
        <v>1664</v>
      </c>
      <c r="P956">
        <v>0</v>
      </c>
      <c r="Q956" t="s">
        <v>1663</v>
      </c>
      <c r="R956" t="s">
        <v>1657</v>
      </c>
    </row>
    <row r="957" spans="1:18" x14ac:dyDescent="0.35">
      <c r="A957" t="s">
        <v>1602</v>
      </c>
      <c r="B957" s="19">
        <v>46247</v>
      </c>
      <c r="C957" t="s">
        <v>355</v>
      </c>
      <c r="D957" t="s">
        <v>79</v>
      </c>
      <c r="E957" t="s">
        <v>413</v>
      </c>
      <c r="F957" t="s">
        <v>17</v>
      </c>
      <c r="G957">
        <v>0.625</v>
      </c>
      <c r="H957">
        <v>0.62430555555555556</v>
      </c>
      <c r="J957" t="s">
        <v>18</v>
      </c>
      <c r="K957" t="s">
        <v>19</v>
      </c>
      <c r="L957">
        <v>1942</v>
      </c>
      <c r="M957">
        <v>-1</v>
      </c>
      <c r="N957" t="s">
        <v>1681</v>
      </c>
      <c r="O957" t="s">
        <v>1664</v>
      </c>
      <c r="Q957" t="s">
        <v>1663</v>
      </c>
    </row>
    <row r="958" spans="1:18" x14ac:dyDescent="0.35">
      <c r="A958" t="s">
        <v>1603</v>
      </c>
      <c r="B958" s="19">
        <v>46247</v>
      </c>
      <c r="C958" t="s">
        <v>983</v>
      </c>
      <c r="D958" t="s">
        <v>1295</v>
      </c>
      <c r="E958" t="s">
        <v>84</v>
      </c>
      <c r="F958" t="s">
        <v>38</v>
      </c>
      <c r="G958">
        <v>0.72916666666666663</v>
      </c>
      <c r="H958">
        <v>0.73402777777777772</v>
      </c>
      <c r="I958">
        <v>-1</v>
      </c>
      <c r="J958" t="s">
        <v>18</v>
      </c>
      <c r="K958" t="s">
        <v>19</v>
      </c>
      <c r="L958">
        <v>679</v>
      </c>
      <c r="M958">
        <v>7</v>
      </c>
      <c r="N958" t="s">
        <v>1681</v>
      </c>
      <c r="O958" t="s">
        <v>1664</v>
      </c>
      <c r="P958">
        <v>1</v>
      </c>
      <c r="Q958" t="s">
        <v>1665</v>
      </c>
    </row>
    <row r="959" spans="1:18" x14ac:dyDescent="0.35">
      <c r="A959" t="s">
        <v>1605</v>
      </c>
      <c r="B959" s="19">
        <v>46247</v>
      </c>
      <c r="C959" t="s">
        <v>1606</v>
      </c>
      <c r="D959" t="s">
        <v>1549</v>
      </c>
      <c r="E959" t="s">
        <v>1171</v>
      </c>
      <c r="F959" t="s">
        <v>38</v>
      </c>
      <c r="G959">
        <v>0.83680555555555558</v>
      </c>
      <c r="H959">
        <v>0.83888888888888891</v>
      </c>
      <c r="I959">
        <v>1</v>
      </c>
      <c r="J959" t="s">
        <v>18</v>
      </c>
      <c r="K959" t="s">
        <v>19</v>
      </c>
      <c r="L959">
        <v>2295</v>
      </c>
      <c r="M959">
        <v>3</v>
      </c>
      <c r="N959" t="s">
        <v>1681</v>
      </c>
      <c r="O959" t="s">
        <v>1664</v>
      </c>
      <c r="P959">
        <v>1</v>
      </c>
      <c r="Q959" t="s">
        <v>1665</v>
      </c>
    </row>
    <row r="960" spans="1:18" x14ac:dyDescent="0.35">
      <c r="A960" t="s">
        <v>1607</v>
      </c>
      <c r="B960" s="19">
        <v>46248</v>
      </c>
      <c r="C960" t="s">
        <v>991</v>
      </c>
      <c r="D960" t="s">
        <v>588</v>
      </c>
      <c r="E960" t="s">
        <v>1295</v>
      </c>
      <c r="F960" t="s">
        <v>17</v>
      </c>
      <c r="G960">
        <v>0.28125</v>
      </c>
      <c r="H960">
        <v>0.27986111111111112</v>
      </c>
      <c r="I960">
        <v>5</v>
      </c>
      <c r="J960" t="s">
        <v>18</v>
      </c>
      <c r="K960" t="s">
        <v>19</v>
      </c>
      <c r="L960">
        <v>1462</v>
      </c>
      <c r="M960">
        <v>-2</v>
      </c>
      <c r="N960" t="s">
        <v>1681</v>
      </c>
      <c r="O960" t="s">
        <v>1666</v>
      </c>
      <c r="P960">
        <v>1</v>
      </c>
      <c r="Q960" t="s">
        <v>1660</v>
      </c>
    </row>
    <row r="961" spans="1:18" x14ac:dyDescent="0.35">
      <c r="A961" t="s">
        <v>1608</v>
      </c>
      <c r="B961" s="19">
        <v>46248</v>
      </c>
      <c r="C961" t="s">
        <v>1105</v>
      </c>
      <c r="D961" t="s">
        <v>79</v>
      </c>
      <c r="E961" t="s">
        <v>1171</v>
      </c>
      <c r="F961" t="s">
        <v>38</v>
      </c>
      <c r="G961">
        <v>0.36458333333333331</v>
      </c>
      <c r="H961">
        <v>0.36736111111111108</v>
      </c>
      <c r="J961" t="s">
        <v>18</v>
      </c>
      <c r="K961" t="s">
        <v>19</v>
      </c>
      <c r="L961">
        <v>1584</v>
      </c>
      <c r="M961">
        <v>4</v>
      </c>
      <c r="N961" t="s">
        <v>1681</v>
      </c>
      <c r="O961" t="s">
        <v>1666</v>
      </c>
      <c r="Q961" t="s">
        <v>1660</v>
      </c>
    </row>
    <row r="962" spans="1:18" x14ac:dyDescent="0.35">
      <c r="A962" t="s">
        <v>1609</v>
      </c>
      <c r="B962" s="19">
        <v>46248</v>
      </c>
      <c r="C962" t="s">
        <v>1610</v>
      </c>
      <c r="D962" t="s">
        <v>226</v>
      </c>
      <c r="E962" t="s">
        <v>588</v>
      </c>
      <c r="F962" t="s">
        <v>17</v>
      </c>
      <c r="G962">
        <v>0.40972222222222221</v>
      </c>
      <c r="H962">
        <v>0.41388888888888892</v>
      </c>
      <c r="I962">
        <v>-6</v>
      </c>
      <c r="J962" t="s">
        <v>18</v>
      </c>
      <c r="K962" t="s">
        <v>19</v>
      </c>
      <c r="L962">
        <v>641</v>
      </c>
      <c r="M962">
        <v>6</v>
      </c>
      <c r="N962" t="s">
        <v>1681</v>
      </c>
      <c r="O962" t="s">
        <v>1666</v>
      </c>
      <c r="P962">
        <v>1</v>
      </c>
      <c r="Q962" t="s">
        <v>1660</v>
      </c>
    </row>
    <row r="963" spans="1:18" x14ac:dyDescent="0.35">
      <c r="A963" t="s">
        <v>1611</v>
      </c>
      <c r="B963" s="19">
        <v>46248</v>
      </c>
      <c r="C963" t="s">
        <v>603</v>
      </c>
      <c r="D963" t="s">
        <v>1171</v>
      </c>
      <c r="E963" t="s">
        <v>84</v>
      </c>
      <c r="F963" t="s">
        <v>24</v>
      </c>
      <c r="G963">
        <v>0.82291666666666663</v>
      </c>
      <c r="H963">
        <v>0.81874999999999998</v>
      </c>
      <c r="I963">
        <v>-7</v>
      </c>
      <c r="J963" t="s">
        <v>18</v>
      </c>
      <c r="K963" t="s">
        <v>19</v>
      </c>
      <c r="L963">
        <v>1108</v>
      </c>
      <c r="M963">
        <v>-6</v>
      </c>
      <c r="N963" t="s">
        <v>1681</v>
      </c>
      <c r="O963" t="s">
        <v>1666</v>
      </c>
      <c r="P963">
        <v>1</v>
      </c>
      <c r="Q963" t="s">
        <v>1665</v>
      </c>
    </row>
    <row r="964" spans="1:18" x14ac:dyDescent="0.35">
      <c r="A964" t="s">
        <v>1612</v>
      </c>
      <c r="B964" s="19">
        <v>46248</v>
      </c>
      <c r="C964" t="s">
        <v>1613</v>
      </c>
      <c r="D964" t="s">
        <v>79</v>
      </c>
      <c r="E964" t="s">
        <v>84</v>
      </c>
      <c r="F964" t="s">
        <v>17</v>
      </c>
      <c r="G964">
        <v>0.85416666666666663</v>
      </c>
      <c r="H964">
        <v>0.86527777777777781</v>
      </c>
      <c r="I964">
        <v>2</v>
      </c>
      <c r="J964" t="s">
        <v>60</v>
      </c>
      <c r="K964" t="s">
        <v>19</v>
      </c>
      <c r="L964">
        <v>2178</v>
      </c>
      <c r="M964">
        <v>16</v>
      </c>
      <c r="N964" t="s">
        <v>1681</v>
      </c>
      <c r="O964" t="s">
        <v>1666</v>
      </c>
      <c r="P964">
        <v>1</v>
      </c>
      <c r="Q964" t="s">
        <v>1665</v>
      </c>
      <c r="R964" t="s">
        <v>1657</v>
      </c>
    </row>
    <row r="965" spans="1:18" x14ac:dyDescent="0.35">
      <c r="A965" t="s">
        <v>1614</v>
      </c>
      <c r="B965" s="19">
        <v>46249</v>
      </c>
      <c r="C965" t="s">
        <v>868</v>
      </c>
      <c r="D965" t="s">
        <v>413</v>
      </c>
      <c r="E965" t="s">
        <v>84</v>
      </c>
      <c r="F965" t="s">
        <v>17</v>
      </c>
      <c r="G965">
        <v>0.3888888888888889</v>
      </c>
      <c r="H965">
        <v>0.38611111111111113</v>
      </c>
      <c r="I965">
        <v>-1</v>
      </c>
      <c r="J965" t="s">
        <v>18</v>
      </c>
      <c r="K965" t="s">
        <v>19</v>
      </c>
      <c r="L965">
        <v>955</v>
      </c>
      <c r="M965">
        <v>-4</v>
      </c>
      <c r="N965" t="s">
        <v>1681</v>
      </c>
      <c r="O965" t="s">
        <v>1667</v>
      </c>
      <c r="P965">
        <v>1</v>
      </c>
      <c r="Q965" t="s">
        <v>1660</v>
      </c>
    </row>
    <row r="966" spans="1:18" x14ac:dyDescent="0.35">
      <c r="A966" t="s">
        <v>1615</v>
      </c>
      <c r="B966" s="19">
        <v>46249</v>
      </c>
      <c r="C966" t="s">
        <v>1616</v>
      </c>
      <c r="D966" t="s">
        <v>71</v>
      </c>
      <c r="E966" t="s">
        <v>1549</v>
      </c>
      <c r="F966" t="s">
        <v>17</v>
      </c>
      <c r="G966">
        <v>0.74652777777777779</v>
      </c>
      <c r="H966">
        <v>0.74513888888888891</v>
      </c>
      <c r="I966">
        <v>7</v>
      </c>
      <c r="J966" t="s">
        <v>18</v>
      </c>
      <c r="K966" t="s">
        <v>19</v>
      </c>
      <c r="L966">
        <v>864</v>
      </c>
      <c r="M966">
        <v>-2</v>
      </c>
      <c r="N966" t="s">
        <v>1681</v>
      </c>
      <c r="O966" t="s">
        <v>1667</v>
      </c>
      <c r="P966">
        <v>1</v>
      </c>
      <c r="Q966" t="s">
        <v>1665</v>
      </c>
    </row>
    <row r="967" spans="1:18" x14ac:dyDescent="0.35">
      <c r="A967" t="s">
        <v>1617</v>
      </c>
      <c r="B967" s="19">
        <v>46250</v>
      </c>
      <c r="C967" t="s">
        <v>424</v>
      </c>
      <c r="D967" t="s">
        <v>202</v>
      </c>
      <c r="E967" t="s">
        <v>79</v>
      </c>
      <c r="F967" t="s">
        <v>24</v>
      </c>
      <c r="G967">
        <v>0.28125</v>
      </c>
      <c r="H967">
        <v>0.27569444444444452</v>
      </c>
      <c r="I967">
        <v>-6</v>
      </c>
      <c r="J967" t="s">
        <v>18</v>
      </c>
      <c r="K967" t="s">
        <v>19</v>
      </c>
      <c r="L967">
        <v>596</v>
      </c>
      <c r="M967">
        <v>-8</v>
      </c>
      <c r="N967" t="s">
        <v>1681</v>
      </c>
      <c r="O967" t="s">
        <v>1668</v>
      </c>
      <c r="P967">
        <v>1</v>
      </c>
      <c r="Q967" t="s">
        <v>1660</v>
      </c>
    </row>
    <row r="968" spans="1:18" x14ac:dyDescent="0.35">
      <c r="A968" t="s">
        <v>1618</v>
      </c>
      <c r="B968" s="19">
        <v>46250</v>
      </c>
      <c r="C968" t="s">
        <v>851</v>
      </c>
      <c r="D968" t="s">
        <v>1171</v>
      </c>
      <c r="E968" t="s">
        <v>71</v>
      </c>
      <c r="F968" t="s">
        <v>17</v>
      </c>
      <c r="G968">
        <v>0.67708333333333337</v>
      </c>
      <c r="H968">
        <v>0.69444444444444442</v>
      </c>
      <c r="I968">
        <v>27</v>
      </c>
      <c r="J968" t="s">
        <v>477</v>
      </c>
      <c r="K968" t="s">
        <v>19</v>
      </c>
      <c r="L968">
        <v>1438</v>
      </c>
      <c r="M968">
        <v>25</v>
      </c>
      <c r="N968" t="s">
        <v>1681</v>
      </c>
      <c r="O968" t="s">
        <v>1668</v>
      </c>
      <c r="P968">
        <v>0</v>
      </c>
      <c r="Q968" t="s">
        <v>1663</v>
      </c>
      <c r="R968" t="s">
        <v>1670</v>
      </c>
    </row>
    <row r="969" spans="1:18" x14ac:dyDescent="0.35">
      <c r="A969" t="s">
        <v>1619</v>
      </c>
      <c r="B969" s="19">
        <v>46250</v>
      </c>
      <c r="C969" t="s">
        <v>686</v>
      </c>
      <c r="D969" t="s">
        <v>197</v>
      </c>
      <c r="E969" t="s">
        <v>1295</v>
      </c>
      <c r="F969" t="s">
        <v>17</v>
      </c>
      <c r="G969">
        <v>0.68402777777777779</v>
      </c>
      <c r="H969">
        <v>0.6875</v>
      </c>
      <c r="I969">
        <v>-1</v>
      </c>
      <c r="J969" t="s">
        <v>18</v>
      </c>
      <c r="K969" t="s">
        <v>19</v>
      </c>
      <c r="L969">
        <v>2580</v>
      </c>
      <c r="M969">
        <v>5</v>
      </c>
      <c r="N969" t="s">
        <v>1681</v>
      </c>
      <c r="O969" t="s">
        <v>1668</v>
      </c>
      <c r="P969">
        <v>1</v>
      </c>
      <c r="Q969" t="s">
        <v>1663</v>
      </c>
    </row>
    <row r="970" spans="1:18" x14ac:dyDescent="0.35">
      <c r="A970" t="s">
        <v>1620</v>
      </c>
      <c r="B970" s="19">
        <v>46251</v>
      </c>
      <c r="C970" t="s">
        <v>760</v>
      </c>
      <c r="D970" t="s">
        <v>546</v>
      </c>
      <c r="E970" t="s">
        <v>71</v>
      </c>
      <c r="F970" t="s">
        <v>24</v>
      </c>
      <c r="G970">
        <v>0.71527777777777779</v>
      </c>
      <c r="H970">
        <v>0.72013888888888888</v>
      </c>
      <c r="I970">
        <v>0</v>
      </c>
      <c r="J970" t="s">
        <v>18</v>
      </c>
      <c r="K970" t="s">
        <v>19</v>
      </c>
      <c r="L970">
        <v>1511</v>
      </c>
      <c r="M970">
        <v>7</v>
      </c>
      <c r="N970" t="s">
        <v>1681</v>
      </c>
      <c r="O970" t="s">
        <v>1659</v>
      </c>
      <c r="P970">
        <v>1</v>
      </c>
      <c r="Q970" t="s">
        <v>1665</v>
      </c>
    </row>
    <row r="971" spans="1:18" x14ac:dyDescent="0.35">
      <c r="A971" t="s">
        <v>1621</v>
      </c>
      <c r="B971" s="19">
        <v>46251</v>
      </c>
      <c r="C971" t="s">
        <v>1014</v>
      </c>
      <c r="D971" t="s">
        <v>197</v>
      </c>
      <c r="E971" t="s">
        <v>84</v>
      </c>
      <c r="F971" t="s">
        <v>17</v>
      </c>
      <c r="G971">
        <v>0.81944444444444442</v>
      </c>
      <c r="H971">
        <v>0.8208333333333333</v>
      </c>
      <c r="I971">
        <v>8</v>
      </c>
      <c r="J971" t="s">
        <v>18</v>
      </c>
      <c r="K971" t="s">
        <v>19</v>
      </c>
      <c r="L971">
        <v>2415</v>
      </c>
      <c r="M971">
        <v>2</v>
      </c>
      <c r="N971" t="s">
        <v>1681</v>
      </c>
      <c r="O971" t="s">
        <v>1659</v>
      </c>
      <c r="P971">
        <v>1</v>
      </c>
      <c r="Q971" t="s">
        <v>1665</v>
      </c>
    </row>
    <row r="972" spans="1:18" x14ac:dyDescent="0.35">
      <c r="A972" t="s">
        <v>1622</v>
      </c>
      <c r="B972" s="19">
        <v>46251</v>
      </c>
      <c r="C972" t="s">
        <v>271</v>
      </c>
      <c r="D972" t="s">
        <v>226</v>
      </c>
      <c r="E972" t="s">
        <v>1171</v>
      </c>
      <c r="F972" t="s">
        <v>24</v>
      </c>
      <c r="G972">
        <v>0.875</v>
      </c>
      <c r="H972">
        <v>0.87847222222222221</v>
      </c>
      <c r="I972">
        <v>5</v>
      </c>
      <c r="J972" t="s">
        <v>18</v>
      </c>
      <c r="K972" t="s">
        <v>19</v>
      </c>
      <c r="L972">
        <v>602</v>
      </c>
      <c r="M972">
        <v>5</v>
      </c>
      <c r="N972" t="s">
        <v>1681</v>
      </c>
      <c r="O972" t="s">
        <v>1659</v>
      </c>
      <c r="P972">
        <v>1</v>
      </c>
      <c r="Q972" t="s">
        <v>1669</v>
      </c>
    </row>
    <row r="973" spans="1:18" x14ac:dyDescent="0.35">
      <c r="A973" t="s">
        <v>1623</v>
      </c>
      <c r="B973" s="19">
        <v>46252</v>
      </c>
      <c r="C973" t="s">
        <v>1554</v>
      </c>
      <c r="D973" t="s">
        <v>588</v>
      </c>
      <c r="E973" t="s">
        <v>197</v>
      </c>
      <c r="F973" t="s">
        <v>17</v>
      </c>
      <c r="G973">
        <v>0.2986111111111111</v>
      </c>
      <c r="H973">
        <v>0.29791666666666672</v>
      </c>
      <c r="I973">
        <v>-8</v>
      </c>
      <c r="J973" t="s">
        <v>18</v>
      </c>
      <c r="K973" t="s">
        <v>19</v>
      </c>
      <c r="L973">
        <v>1389</v>
      </c>
      <c r="M973">
        <v>-1</v>
      </c>
      <c r="N973" t="s">
        <v>1681</v>
      </c>
      <c r="O973" t="s">
        <v>1661</v>
      </c>
      <c r="P973">
        <v>1</v>
      </c>
      <c r="Q973" t="s">
        <v>1660</v>
      </c>
    </row>
    <row r="974" spans="1:18" x14ac:dyDescent="0.35">
      <c r="A974" t="s">
        <v>1624</v>
      </c>
      <c r="B974" s="19">
        <v>46252</v>
      </c>
      <c r="C974" t="s">
        <v>139</v>
      </c>
      <c r="D974" t="s">
        <v>197</v>
      </c>
      <c r="E974" t="s">
        <v>413</v>
      </c>
      <c r="F974" t="s">
        <v>17</v>
      </c>
      <c r="G974">
        <v>0.71180555555555558</v>
      </c>
      <c r="H974">
        <v>0.70625000000000004</v>
      </c>
      <c r="I974">
        <v>-7</v>
      </c>
      <c r="J974" t="s">
        <v>18</v>
      </c>
      <c r="K974" t="s">
        <v>19</v>
      </c>
      <c r="L974">
        <v>2470</v>
      </c>
      <c r="M974">
        <v>-8</v>
      </c>
      <c r="N974" t="s">
        <v>1681</v>
      </c>
      <c r="O974" t="s">
        <v>1661</v>
      </c>
      <c r="P974">
        <v>1</v>
      </c>
      <c r="Q974" t="s">
        <v>1665</v>
      </c>
    </row>
    <row r="975" spans="1:18" x14ac:dyDescent="0.35">
      <c r="A975" t="s">
        <v>1625</v>
      </c>
      <c r="B975" s="19">
        <v>46253</v>
      </c>
      <c r="C975" t="s">
        <v>322</v>
      </c>
      <c r="D975" t="s">
        <v>1549</v>
      </c>
      <c r="E975" t="s">
        <v>202</v>
      </c>
      <c r="F975" t="s">
        <v>17</v>
      </c>
      <c r="G975">
        <v>0.74652777777777779</v>
      </c>
      <c r="H975">
        <v>0.75763888888888886</v>
      </c>
      <c r="I975">
        <v>10</v>
      </c>
      <c r="J975" t="s">
        <v>129</v>
      </c>
      <c r="K975" t="s">
        <v>19</v>
      </c>
      <c r="L975">
        <v>1260</v>
      </c>
      <c r="M975">
        <v>16</v>
      </c>
      <c r="N975" t="s">
        <v>1681</v>
      </c>
      <c r="O975" t="s">
        <v>1662</v>
      </c>
      <c r="P975">
        <v>1</v>
      </c>
      <c r="Q975" t="s">
        <v>1665</v>
      </c>
      <c r="R975" t="s">
        <v>1670</v>
      </c>
    </row>
    <row r="976" spans="1:18" x14ac:dyDescent="0.35">
      <c r="A976" t="s">
        <v>1626</v>
      </c>
      <c r="B976" s="19">
        <v>46254</v>
      </c>
      <c r="C976" t="s">
        <v>1585</v>
      </c>
      <c r="D976" t="s">
        <v>79</v>
      </c>
      <c r="E976" t="s">
        <v>1171</v>
      </c>
      <c r="F976" t="s">
        <v>17</v>
      </c>
      <c r="G976">
        <v>0.63541666666666663</v>
      </c>
      <c r="H976">
        <v>0.63958333333333328</v>
      </c>
      <c r="I976">
        <v>6</v>
      </c>
      <c r="J976" t="s">
        <v>18</v>
      </c>
      <c r="K976" t="s">
        <v>19</v>
      </c>
      <c r="L976">
        <v>1584</v>
      </c>
      <c r="M976">
        <v>6</v>
      </c>
      <c r="N976" t="s">
        <v>1681</v>
      </c>
      <c r="O976" t="s">
        <v>1664</v>
      </c>
      <c r="P976">
        <v>1</v>
      </c>
      <c r="Q976" t="s">
        <v>1663</v>
      </c>
    </row>
    <row r="977" spans="1:18" x14ac:dyDescent="0.35">
      <c r="A977" t="s">
        <v>1627</v>
      </c>
      <c r="B977" s="19">
        <v>46255</v>
      </c>
      <c r="C977" t="s">
        <v>663</v>
      </c>
      <c r="D977" t="s">
        <v>226</v>
      </c>
      <c r="E977" t="s">
        <v>79</v>
      </c>
      <c r="F977" t="s">
        <v>24</v>
      </c>
      <c r="G977">
        <v>0.35416666666666669</v>
      </c>
      <c r="H977">
        <v>0.35555555555555562</v>
      </c>
      <c r="I977">
        <v>10</v>
      </c>
      <c r="J977" t="s">
        <v>18</v>
      </c>
      <c r="K977" t="s">
        <v>19</v>
      </c>
      <c r="L977">
        <v>1197</v>
      </c>
      <c r="M977">
        <v>2</v>
      </c>
      <c r="N977" t="s">
        <v>1681</v>
      </c>
      <c r="O977" t="s">
        <v>1666</v>
      </c>
      <c r="P977">
        <v>1</v>
      </c>
      <c r="Q977" t="s">
        <v>1660</v>
      </c>
    </row>
    <row r="978" spans="1:18" x14ac:dyDescent="0.35">
      <c r="A978" t="s">
        <v>1628</v>
      </c>
      <c r="B978" s="19">
        <v>46255</v>
      </c>
      <c r="C978" t="s">
        <v>647</v>
      </c>
      <c r="D978" t="s">
        <v>413</v>
      </c>
      <c r="E978" t="s">
        <v>71</v>
      </c>
      <c r="F978" t="s">
        <v>17</v>
      </c>
      <c r="G978">
        <v>0.53819444444444442</v>
      </c>
      <c r="H978">
        <v>0.53819444444444442</v>
      </c>
      <c r="I978">
        <v>-4</v>
      </c>
      <c r="J978" t="s">
        <v>18</v>
      </c>
      <c r="K978" t="s">
        <v>19</v>
      </c>
      <c r="L978">
        <v>1742</v>
      </c>
      <c r="M978">
        <v>0</v>
      </c>
      <c r="N978" t="s">
        <v>1681</v>
      </c>
      <c r="O978" t="s">
        <v>1666</v>
      </c>
      <c r="P978">
        <v>1</v>
      </c>
      <c r="Q978" t="s">
        <v>1663</v>
      </c>
    </row>
    <row r="979" spans="1:18" x14ac:dyDescent="0.35">
      <c r="A979" t="s">
        <v>1629</v>
      </c>
      <c r="B979" s="19">
        <v>46255</v>
      </c>
      <c r="C979" t="s">
        <v>357</v>
      </c>
      <c r="D979" t="s">
        <v>1171</v>
      </c>
      <c r="E979" t="s">
        <v>413</v>
      </c>
      <c r="F979" t="s">
        <v>24</v>
      </c>
      <c r="G979">
        <v>0.57986111111111116</v>
      </c>
      <c r="H979">
        <v>0.64375000000000004</v>
      </c>
      <c r="I979">
        <v>85</v>
      </c>
      <c r="J979" t="s">
        <v>60</v>
      </c>
      <c r="K979" t="s">
        <v>19</v>
      </c>
      <c r="L979">
        <v>370</v>
      </c>
      <c r="M979">
        <v>92</v>
      </c>
      <c r="N979" t="s">
        <v>1681</v>
      </c>
      <c r="O979" t="s">
        <v>1666</v>
      </c>
      <c r="P979">
        <v>0</v>
      </c>
      <c r="Q979" t="s">
        <v>1663</v>
      </c>
      <c r="R979" t="s">
        <v>1657</v>
      </c>
    </row>
    <row r="980" spans="1:18" x14ac:dyDescent="0.35">
      <c r="A980" t="s">
        <v>1630</v>
      </c>
      <c r="B980" s="19">
        <v>46255</v>
      </c>
      <c r="C980" t="s">
        <v>438</v>
      </c>
      <c r="D980" t="s">
        <v>588</v>
      </c>
      <c r="E980" t="s">
        <v>226</v>
      </c>
      <c r="F980" t="s">
        <v>24</v>
      </c>
      <c r="G980">
        <v>0.70486111111111116</v>
      </c>
      <c r="H980">
        <v>0.74236111111111114</v>
      </c>
      <c r="I980">
        <v>42</v>
      </c>
      <c r="J980" t="s">
        <v>477</v>
      </c>
      <c r="K980" t="s">
        <v>19</v>
      </c>
      <c r="L980">
        <v>641</v>
      </c>
      <c r="M980">
        <v>54</v>
      </c>
      <c r="N980" t="s">
        <v>1681</v>
      </c>
      <c r="O980" t="s">
        <v>1666</v>
      </c>
      <c r="P980">
        <v>0</v>
      </c>
      <c r="Q980" t="s">
        <v>1663</v>
      </c>
      <c r="R980" t="s">
        <v>1670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7BCE-4E62-418F-9AD8-C4F511058BA9}">
  <dimension ref="A1"/>
  <sheetViews>
    <sheetView showGridLines="0" zoomScale="46" zoomScaleNormal="46" workbookViewId="0">
      <selection activeCell="X20" sqref="X20"/>
    </sheetView>
  </sheetViews>
  <sheetFormatPr defaultRowHeight="14.5" x14ac:dyDescent="0.35"/>
  <sheetData>
    <row r="1"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BD63-1400-4EC1-8055-6F7A230EC4CE}">
  <dimension ref="A3:P116"/>
  <sheetViews>
    <sheetView workbookViewId="0">
      <selection activeCell="AL30" sqref="AL30"/>
    </sheetView>
  </sheetViews>
  <sheetFormatPr defaultRowHeight="14.5" x14ac:dyDescent="0.35"/>
  <cols>
    <col min="1" max="1" width="16.81640625" bestFit="1" customWidth="1"/>
    <col min="2" max="2" width="15.26953125" bestFit="1" customWidth="1"/>
    <col min="3" max="3" width="12.36328125" bestFit="1" customWidth="1"/>
    <col min="4" max="4" width="16.81640625" bestFit="1" customWidth="1"/>
    <col min="5" max="5" width="12.36328125" bestFit="1" customWidth="1"/>
    <col min="6" max="6" width="20.08984375" bestFit="1" customWidth="1"/>
    <col min="7" max="7" width="8.1796875" bestFit="1" customWidth="1"/>
    <col min="8" max="8" width="12.36328125" bestFit="1" customWidth="1"/>
    <col min="9" max="9" width="16.81640625" bestFit="1" customWidth="1"/>
    <col min="10" max="10" width="20.08984375" bestFit="1" customWidth="1"/>
    <col min="11" max="13" width="4.26953125" bestFit="1" customWidth="1"/>
    <col min="14" max="14" width="10.7265625" bestFit="1" customWidth="1"/>
  </cols>
  <sheetData>
    <row r="3" spans="1:16" x14ac:dyDescent="0.35">
      <c r="A3" t="s">
        <v>1685</v>
      </c>
      <c r="B3" t="s">
        <v>1687</v>
      </c>
      <c r="C3" t="s">
        <v>1688</v>
      </c>
      <c r="E3" s="16" t="s">
        <v>1683</v>
      </c>
      <c r="F3" t="s">
        <v>1685</v>
      </c>
    </row>
    <row r="4" spans="1:16" x14ac:dyDescent="0.35">
      <c r="A4" s="5">
        <v>1000</v>
      </c>
      <c r="B4" s="18">
        <v>0.74817136886102409</v>
      </c>
      <c r="C4" s="20">
        <v>12.504702194357368</v>
      </c>
      <c r="E4" s="17" t="s">
        <v>254</v>
      </c>
      <c r="F4" s="18">
        <v>7.1428571428571425E-2</v>
      </c>
      <c r="G4" s="25">
        <f>GETPIVOTDATA("FlightNumber",$E$3,"Status","Cancelled")</f>
        <v>7.1428571428571425E-2</v>
      </c>
    </row>
    <row r="5" spans="1:16" x14ac:dyDescent="0.35">
      <c r="A5">
        <f>GETPIVOTDATA("Count of FlightNumber",$A$3)</f>
        <v>1000</v>
      </c>
      <c r="B5" s="25">
        <f>GETPIVOTDATA("Average of OnTime",$A$3)</f>
        <v>0.74817136886102409</v>
      </c>
      <c r="C5" s="20">
        <f>GETPIVOTDATA("Average of ArrivalDelayMin",$A$3)</f>
        <v>12.504702194357368</v>
      </c>
      <c r="E5" s="17" t="s">
        <v>19</v>
      </c>
      <c r="F5" s="18">
        <v>0.9285714285714286</v>
      </c>
    </row>
    <row r="6" spans="1:16" x14ac:dyDescent="0.35">
      <c r="B6" s="24"/>
      <c r="C6" s="26"/>
      <c r="E6" s="17" t="s">
        <v>1684</v>
      </c>
      <c r="F6" s="18">
        <v>1</v>
      </c>
    </row>
    <row r="7" spans="1:16" x14ac:dyDescent="0.35">
      <c r="A7" s="16" t="s">
        <v>1687</v>
      </c>
      <c r="B7" s="16" t="s">
        <v>1700</v>
      </c>
      <c r="H7" s="16" t="s">
        <v>1683</v>
      </c>
      <c r="I7" t="s">
        <v>1687</v>
      </c>
    </row>
    <row r="8" spans="1:16" x14ac:dyDescent="0.35">
      <c r="A8" s="16" t="s">
        <v>1683</v>
      </c>
      <c r="B8" t="s">
        <v>1689</v>
      </c>
      <c r="C8" t="s">
        <v>1693</v>
      </c>
      <c r="D8" t="s">
        <v>1684</v>
      </c>
      <c r="H8" s="17" t="s">
        <v>79</v>
      </c>
      <c r="I8" s="18">
        <v>0.41666666666666669</v>
      </c>
    </row>
    <row r="9" spans="1:16" x14ac:dyDescent="0.35">
      <c r="A9" s="21" t="s">
        <v>1694</v>
      </c>
      <c r="B9" s="22"/>
      <c r="C9" s="22">
        <v>0</v>
      </c>
      <c r="D9" s="22">
        <v>0</v>
      </c>
      <c r="H9" s="17" t="s">
        <v>1684</v>
      </c>
      <c r="I9" s="18">
        <v>0.41666666666666669</v>
      </c>
    </row>
    <row r="10" spans="1:16" x14ac:dyDescent="0.35">
      <c r="A10" s="21" t="s">
        <v>1695</v>
      </c>
      <c r="B10" s="22"/>
      <c r="C10" s="22">
        <v>0</v>
      </c>
      <c r="D10" s="22">
        <v>0</v>
      </c>
    </row>
    <row r="11" spans="1:16" x14ac:dyDescent="0.35">
      <c r="A11" s="21" t="s">
        <v>1696</v>
      </c>
      <c r="B11" s="22"/>
      <c r="C11" s="22">
        <v>1</v>
      </c>
      <c r="D11" s="22">
        <v>1</v>
      </c>
      <c r="N11" s="7"/>
      <c r="O11" s="8"/>
      <c r="P11" s="9"/>
    </row>
    <row r="12" spans="1:16" x14ac:dyDescent="0.35">
      <c r="A12" s="21" t="s">
        <v>1678</v>
      </c>
      <c r="B12" s="22"/>
      <c r="C12" s="22"/>
      <c r="D12" s="22"/>
      <c r="N12" s="10"/>
      <c r="O12" s="11"/>
      <c r="P12" s="12"/>
    </row>
    <row r="13" spans="1:16" x14ac:dyDescent="0.35">
      <c r="A13" s="21" t="s">
        <v>1697</v>
      </c>
      <c r="B13" s="22"/>
      <c r="C13" s="22">
        <v>0.5</v>
      </c>
      <c r="D13" s="22">
        <v>0.5</v>
      </c>
      <c r="N13" s="10"/>
      <c r="O13" s="11"/>
      <c r="P13" s="12"/>
    </row>
    <row r="14" spans="1:16" x14ac:dyDescent="0.35">
      <c r="A14" s="21" t="s">
        <v>1698</v>
      </c>
      <c r="B14" s="22"/>
      <c r="C14" s="22">
        <v>0</v>
      </c>
      <c r="D14" s="22">
        <v>0</v>
      </c>
      <c r="N14" s="10"/>
      <c r="O14" s="11"/>
      <c r="P14" s="12"/>
    </row>
    <row r="15" spans="1:16" x14ac:dyDescent="0.35">
      <c r="A15" s="21" t="s">
        <v>1699</v>
      </c>
      <c r="B15" s="22"/>
      <c r="C15" s="22">
        <v>0</v>
      </c>
      <c r="D15" s="22">
        <v>0</v>
      </c>
      <c r="N15" s="10"/>
      <c r="O15" s="11"/>
      <c r="P15" s="12"/>
    </row>
    <row r="16" spans="1:16" x14ac:dyDescent="0.35">
      <c r="A16" s="21" t="s">
        <v>1690</v>
      </c>
      <c r="B16" s="22">
        <v>0</v>
      </c>
      <c r="C16" s="22"/>
      <c r="D16" s="22">
        <v>0</v>
      </c>
      <c r="N16" s="10"/>
      <c r="O16" s="11"/>
      <c r="P16" s="12"/>
    </row>
    <row r="17" spans="1:16" x14ac:dyDescent="0.35">
      <c r="A17" s="21" t="s">
        <v>1691</v>
      </c>
      <c r="B17" s="22">
        <v>0</v>
      </c>
      <c r="C17" s="22"/>
      <c r="D17" s="22">
        <v>0</v>
      </c>
      <c r="N17" s="10"/>
      <c r="O17" s="11"/>
      <c r="P17" s="12"/>
    </row>
    <row r="18" spans="1:16" x14ac:dyDescent="0.35">
      <c r="A18" s="21" t="s">
        <v>1692</v>
      </c>
      <c r="B18" s="22">
        <v>1</v>
      </c>
      <c r="C18" s="22"/>
      <c r="D18" s="22">
        <v>1</v>
      </c>
      <c r="N18" s="10"/>
      <c r="O18" s="11"/>
      <c r="P18" s="12"/>
    </row>
    <row r="19" spans="1:16" x14ac:dyDescent="0.35">
      <c r="A19" s="21" t="s">
        <v>1684</v>
      </c>
      <c r="B19" s="22">
        <v>0.5</v>
      </c>
      <c r="C19" s="22">
        <v>0.375</v>
      </c>
      <c r="D19" s="22">
        <v>0.41666666666666669</v>
      </c>
      <c r="N19" s="10"/>
      <c r="O19" s="11"/>
      <c r="P19" s="12"/>
    </row>
    <row r="20" spans="1:16" x14ac:dyDescent="0.35">
      <c r="N20" s="10"/>
      <c r="O20" s="11"/>
      <c r="P20" s="12"/>
    </row>
    <row r="21" spans="1:16" x14ac:dyDescent="0.35">
      <c r="N21" s="10"/>
      <c r="O21" s="11"/>
      <c r="P21" s="12"/>
    </row>
    <row r="22" spans="1:16" x14ac:dyDescent="0.35">
      <c r="N22" s="10"/>
      <c r="O22" s="11"/>
      <c r="P22" s="12"/>
    </row>
    <row r="23" spans="1:16" x14ac:dyDescent="0.35">
      <c r="N23" s="10"/>
      <c r="O23" s="11"/>
      <c r="P23" s="12"/>
    </row>
    <row r="24" spans="1:16" x14ac:dyDescent="0.35">
      <c r="N24" s="10"/>
      <c r="O24" s="11"/>
      <c r="P24" s="12"/>
    </row>
    <row r="25" spans="1:16" x14ac:dyDescent="0.35">
      <c r="N25" s="10"/>
      <c r="O25" s="11"/>
      <c r="P25" s="12"/>
    </row>
    <row r="26" spans="1:16" x14ac:dyDescent="0.35">
      <c r="N26" s="10"/>
      <c r="O26" s="11"/>
      <c r="P26" s="12"/>
    </row>
    <row r="27" spans="1:16" x14ac:dyDescent="0.35">
      <c r="N27" s="10"/>
      <c r="O27" s="11"/>
      <c r="P27" s="12"/>
    </row>
    <row r="28" spans="1:16" x14ac:dyDescent="0.35">
      <c r="N28" s="13"/>
      <c r="O28" s="14"/>
      <c r="P28" s="15"/>
    </row>
    <row r="40" spans="1:2" x14ac:dyDescent="0.35">
      <c r="A40" s="16" t="s">
        <v>1687</v>
      </c>
      <c r="B40" s="16" t="s">
        <v>1700</v>
      </c>
    </row>
    <row r="41" spans="1:2" x14ac:dyDescent="0.35">
      <c r="A41" s="16" t="s">
        <v>1701</v>
      </c>
      <c r="B41" t="s">
        <v>1665</v>
      </c>
    </row>
    <row r="42" spans="1:2" x14ac:dyDescent="0.35">
      <c r="A42" s="17" t="s">
        <v>1668</v>
      </c>
      <c r="B42" s="22">
        <v>0.5</v>
      </c>
    </row>
    <row r="43" spans="1:2" x14ac:dyDescent="0.35">
      <c r="A43" s="17" t="s">
        <v>1661</v>
      </c>
      <c r="B43" s="22">
        <v>0.5</v>
      </c>
    </row>
    <row r="44" spans="1:2" x14ac:dyDescent="0.35">
      <c r="A44" s="17" t="s">
        <v>1662</v>
      </c>
      <c r="B44" s="22">
        <v>0</v>
      </c>
    </row>
    <row r="45" spans="1:2" x14ac:dyDescent="0.35">
      <c r="A45" s="17" t="s">
        <v>1664</v>
      </c>
      <c r="B45" s="22">
        <v>0.5</v>
      </c>
    </row>
    <row r="46" spans="1:2" x14ac:dyDescent="0.35">
      <c r="A46" s="17" t="s">
        <v>1666</v>
      </c>
      <c r="B46" s="22">
        <v>1</v>
      </c>
    </row>
    <row r="47" spans="1:2" x14ac:dyDescent="0.35">
      <c r="A47" s="17" t="s">
        <v>1667</v>
      </c>
      <c r="B47" s="22">
        <v>0.33333333333333331</v>
      </c>
    </row>
    <row r="48" spans="1:2" x14ac:dyDescent="0.35">
      <c r="A48" s="17" t="s">
        <v>1684</v>
      </c>
      <c r="B48" s="22">
        <v>0.41666666666666669</v>
      </c>
    </row>
    <row r="50" spans="3:4" x14ac:dyDescent="0.35">
      <c r="C50" s="16" t="s">
        <v>1683</v>
      </c>
      <c r="D50" t="s">
        <v>1687</v>
      </c>
    </row>
    <row r="51" spans="3:4" x14ac:dyDescent="0.35">
      <c r="C51" s="17" t="s">
        <v>24</v>
      </c>
      <c r="D51" s="18">
        <v>0.41666666666666669</v>
      </c>
    </row>
    <row r="52" spans="3:4" x14ac:dyDescent="0.35">
      <c r="C52" s="17" t="s">
        <v>1684</v>
      </c>
      <c r="D52" s="18">
        <v>0.41666666666666669</v>
      </c>
    </row>
    <row r="72" spans="2:3" x14ac:dyDescent="0.35">
      <c r="B72" s="16" t="s">
        <v>1683</v>
      </c>
      <c r="C72" t="s">
        <v>1686</v>
      </c>
    </row>
    <row r="73" spans="2:3" x14ac:dyDescent="0.35">
      <c r="B73" s="17" t="s">
        <v>54</v>
      </c>
      <c r="C73" s="23">
        <v>0.57731958762886593</v>
      </c>
    </row>
    <row r="74" spans="2:3" x14ac:dyDescent="0.35">
      <c r="B74" s="17" t="s">
        <v>129</v>
      </c>
      <c r="C74" s="23">
        <v>0.17010309278350516</v>
      </c>
    </row>
    <row r="75" spans="2:3" x14ac:dyDescent="0.35">
      <c r="B75" s="17" t="s">
        <v>319</v>
      </c>
      <c r="C75" s="23">
        <v>0.15979381443298968</v>
      </c>
    </row>
    <row r="76" spans="2:3" x14ac:dyDescent="0.35">
      <c r="B76" s="17" t="s">
        <v>60</v>
      </c>
      <c r="C76" s="23">
        <v>0.11855670103092783</v>
      </c>
    </row>
    <row r="77" spans="2:3" x14ac:dyDescent="0.35">
      <c r="B77" s="17" t="s">
        <v>18</v>
      </c>
      <c r="C77" s="23">
        <v>-2.5773195876288658E-2</v>
      </c>
    </row>
    <row r="78" spans="2:3" x14ac:dyDescent="0.35">
      <c r="B78" s="17" t="s">
        <v>1684</v>
      </c>
      <c r="C78" s="23">
        <v>1</v>
      </c>
    </row>
    <row r="91" spans="2:3" x14ac:dyDescent="0.35">
      <c r="B91" s="16" t="s">
        <v>1683</v>
      </c>
      <c r="C91" t="s">
        <v>1685</v>
      </c>
    </row>
    <row r="92" spans="2:3" x14ac:dyDescent="0.35">
      <c r="B92" s="17" t="s">
        <v>1657</v>
      </c>
      <c r="C92" s="5">
        <v>5</v>
      </c>
    </row>
    <row r="93" spans="2:3" x14ac:dyDescent="0.35">
      <c r="B93" s="17" t="s">
        <v>1670</v>
      </c>
      <c r="C93" s="5">
        <v>2</v>
      </c>
    </row>
    <row r="94" spans="2:3" x14ac:dyDescent="0.35">
      <c r="B94" s="17" t="s">
        <v>1684</v>
      </c>
      <c r="C94" s="5">
        <v>7</v>
      </c>
    </row>
    <row r="113" spans="2:8" x14ac:dyDescent="0.35">
      <c r="B113" s="16" t="s">
        <v>1685</v>
      </c>
      <c r="C113" s="16" t="s">
        <v>1700</v>
      </c>
    </row>
    <row r="114" spans="2:8" x14ac:dyDescent="0.35">
      <c r="B114" s="16" t="s">
        <v>1683</v>
      </c>
      <c r="C114" t="s">
        <v>60</v>
      </c>
      <c r="D114" t="s">
        <v>54</v>
      </c>
      <c r="E114" t="s">
        <v>18</v>
      </c>
      <c r="F114" t="s">
        <v>319</v>
      </c>
      <c r="G114" t="s">
        <v>129</v>
      </c>
      <c r="H114" t="s">
        <v>1684</v>
      </c>
    </row>
    <row r="115" spans="2:8" x14ac:dyDescent="0.35">
      <c r="B115" s="17" t="s">
        <v>79</v>
      </c>
      <c r="C115" s="5">
        <v>2</v>
      </c>
      <c r="D115" s="5">
        <v>3</v>
      </c>
      <c r="E115" s="5">
        <v>7</v>
      </c>
      <c r="F115" s="5">
        <v>1</v>
      </c>
      <c r="G115" s="5">
        <v>1</v>
      </c>
      <c r="H115" s="5">
        <v>14</v>
      </c>
    </row>
    <row r="116" spans="2:8" x14ac:dyDescent="0.35">
      <c r="B116" s="17" t="s">
        <v>1684</v>
      </c>
      <c r="C116" s="5">
        <v>2</v>
      </c>
      <c r="D116" s="5">
        <v>3</v>
      </c>
      <c r="E116" s="5">
        <v>7</v>
      </c>
      <c r="F116" s="5">
        <v>1</v>
      </c>
      <c r="G116" s="5">
        <v>1</v>
      </c>
      <c r="H116" s="5">
        <v>14</v>
      </c>
    </row>
  </sheetData>
  <conditionalFormatting pivot="1" sqref="B42:B48">
    <cfRule type="colorScale" priority="3">
      <colorScale>
        <cfvo type="min"/>
        <cfvo type="max"/>
        <color rgb="FF63BE7B"/>
        <color rgb="FFFFEF9C"/>
      </colorScale>
    </cfRule>
  </conditionalFormatting>
  <conditionalFormatting sqref="F42:G49">
    <cfRule type="colorScale" priority="2">
      <colorScale>
        <cfvo type="min"/>
        <cfvo type="max"/>
        <color rgb="FFF8696B"/>
        <color rgb="FF63BE7B"/>
      </colorScale>
    </cfRule>
  </conditionalFormatting>
  <conditionalFormatting pivot="1" sqref="B42:B4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7CEC-762C-4CFC-A898-C022153EF0CD}">
  <dimension ref="A1:R1001"/>
  <sheetViews>
    <sheetView topLeftCell="B2" workbookViewId="0">
      <selection activeCell="F15" sqref="F15"/>
    </sheetView>
  </sheetViews>
  <sheetFormatPr defaultRowHeight="14.5" x14ac:dyDescent="0.35"/>
  <cols>
    <col min="1" max="1" width="9.453125" hidden="1" customWidth="1"/>
    <col min="2" max="2" width="14.54296875" bestFit="1" customWidth="1"/>
    <col min="3" max="3" width="14.453125" bestFit="1" customWidth="1"/>
    <col min="4" max="4" width="12" bestFit="1" customWidth="1"/>
    <col min="5" max="5" width="12.81640625" bestFit="1" customWidth="1"/>
    <col min="6" max="6" width="13.6328125" bestFit="1" customWidth="1"/>
    <col min="7" max="7" width="20.453125" bestFit="1" customWidth="1"/>
    <col min="8" max="8" width="17.08984375" bestFit="1" customWidth="1"/>
    <col min="9" max="9" width="16.54296875" bestFit="1" customWidth="1"/>
    <col min="10" max="10" width="15.6328125" bestFit="1" customWidth="1"/>
    <col min="11" max="11" width="9.90625" bestFit="1" customWidth="1"/>
    <col min="12" max="12" width="14.7265625" bestFit="1" customWidth="1"/>
    <col min="13" max="13" width="19.81640625" bestFit="1" customWidth="1"/>
    <col min="14" max="14" width="14.1796875" bestFit="1" customWidth="1"/>
    <col min="15" max="15" width="11.6328125" bestFit="1" customWidth="1"/>
    <col min="16" max="16" width="9.6328125" bestFit="1" customWidth="1"/>
    <col min="17" max="17" width="12.36328125" bestFit="1" customWidth="1"/>
    <col min="18" max="18" width="14.7265625" customWidth="1"/>
  </cols>
  <sheetData>
    <row r="1" spans="1:18" x14ac:dyDescent="0.35">
      <c r="A1" t="s">
        <v>1682</v>
      </c>
      <c r="B1" t="s">
        <v>1</v>
      </c>
      <c r="C1" t="s">
        <v>2</v>
      </c>
      <c r="D1" t="s">
        <v>3</v>
      </c>
      <c r="E1" t="s">
        <v>4</v>
      </c>
      <c r="F1" t="s">
        <v>5</v>
      </c>
      <c r="G1" t="s">
        <v>6</v>
      </c>
      <c r="H1" t="s">
        <v>7</v>
      </c>
      <c r="I1" t="s">
        <v>9</v>
      </c>
      <c r="J1" t="s">
        <v>10</v>
      </c>
      <c r="K1" t="s">
        <v>11</v>
      </c>
      <c r="L1" t="s">
        <v>12</v>
      </c>
      <c r="M1" t="s">
        <v>8</v>
      </c>
      <c r="N1" t="s">
        <v>1653</v>
      </c>
      <c r="O1" t="s">
        <v>1654</v>
      </c>
      <c r="P1" t="s">
        <v>1655</v>
      </c>
      <c r="Q1" t="s">
        <v>1656</v>
      </c>
      <c r="R1" t="s">
        <v>1657</v>
      </c>
    </row>
    <row r="2" spans="1:18" x14ac:dyDescent="0.35">
      <c r="A2" s="5" t="s">
        <v>13</v>
      </c>
      <c r="B2" s="6">
        <v>45901</v>
      </c>
      <c r="C2" s="5" t="s">
        <v>14</v>
      </c>
      <c r="D2" s="5" t="s">
        <v>413</v>
      </c>
      <c r="E2" s="5" t="s">
        <v>71</v>
      </c>
      <c r="F2" s="5" t="s">
        <v>17</v>
      </c>
      <c r="G2">
        <v>0.28819444444444442</v>
      </c>
      <c r="H2">
        <v>0.28680555555555548</v>
      </c>
      <c r="I2">
        <v>-12</v>
      </c>
      <c r="J2" s="5" t="s">
        <v>18</v>
      </c>
      <c r="K2" s="5" t="s">
        <v>19</v>
      </c>
      <c r="L2">
        <v>1742</v>
      </c>
      <c r="M2" s="5">
        <v>-2</v>
      </c>
      <c r="N2" s="5" t="s">
        <v>1658</v>
      </c>
      <c r="O2" s="5" t="s">
        <v>1659</v>
      </c>
      <c r="P2">
        <v>1</v>
      </c>
      <c r="Q2" t="s">
        <v>1660</v>
      </c>
    </row>
    <row r="3" spans="1:18" x14ac:dyDescent="0.35">
      <c r="A3" s="5" t="s">
        <v>20</v>
      </c>
      <c r="B3" s="6">
        <v>45901</v>
      </c>
      <c r="C3" s="5" t="s">
        <v>21</v>
      </c>
      <c r="D3" s="5" t="s">
        <v>197</v>
      </c>
      <c r="E3" s="5" t="s">
        <v>226</v>
      </c>
      <c r="F3" s="5" t="s">
        <v>24</v>
      </c>
      <c r="G3">
        <v>0.375</v>
      </c>
      <c r="H3">
        <v>0.38333333333333341</v>
      </c>
      <c r="I3">
        <v>22</v>
      </c>
      <c r="J3" s="5" t="s">
        <v>18</v>
      </c>
      <c r="K3" s="5" t="s">
        <v>19</v>
      </c>
      <c r="L3">
        <v>1622</v>
      </c>
      <c r="M3" s="5">
        <v>12</v>
      </c>
      <c r="N3" s="5" t="s">
        <v>1658</v>
      </c>
      <c r="O3" s="5" t="s">
        <v>1659</v>
      </c>
      <c r="P3">
        <v>0</v>
      </c>
      <c r="Q3" t="s">
        <v>1660</v>
      </c>
    </row>
    <row r="4" spans="1:18" x14ac:dyDescent="0.35">
      <c r="A4" s="5" t="s">
        <v>25</v>
      </c>
      <c r="B4" s="6">
        <v>45901</v>
      </c>
      <c r="C4" s="5" t="s">
        <v>26</v>
      </c>
      <c r="D4" s="5" t="s">
        <v>588</v>
      </c>
      <c r="E4" s="5" t="s">
        <v>413</v>
      </c>
      <c r="F4" s="5" t="s">
        <v>28</v>
      </c>
      <c r="G4">
        <v>0.40625</v>
      </c>
      <c r="H4">
        <v>0.40486111111111112</v>
      </c>
      <c r="I4">
        <v>-3</v>
      </c>
      <c r="J4" s="5" t="s">
        <v>18</v>
      </c>
      <c r="K4" s="5" t="s">
        <v>19</v>
      </c>
      <c r="L4">
        <v>1232</v>
      </c>
      <c r="M4" s="5">
        <v>-2</v>
      </c>
      <c r="N4" s="5" t="s">
        <v>1658</v>
      </c>
      <c r="O4" s="5" t="s">
        <v>1659</v>
      </c>
      <c r="P4">
        <v>1</v>
      </c>
      <c r="Q4" t="s">
        <v>1660</v>
      </c>
    </row>
    <row r="5" spans="1:18" x14ac:dyDescent="0.35">
      <c r="A5" s="5" t="s">
        <v>29</v>
      </c>
      <c r="B5" s="6">
        <v>45902</v>
      </c>
      <c r="C5" s="5" t="s">
        <v>30</v>
      </c>
      <c r="D5" s="5" t="s">
        <v>546</v>
      </c>
      <c r="E5" s="5" t="s">
        <v>197</v>
      </c>
      <c r="F5" s="5" t="s">
        <v>17</v>
      </c>
      <c r="G5">
        <v>0.44444444444444442</v>
      </c>
      <c r="H5">
        <v>0.44166666666666671</v>
      </c>
      <c r="I5">
        <v>4</v>
      </c>
      <c r="J5" s="5" t="s">
        <v>18</v>
      </c>
      <c r="K5" s="5" t="s">
        <v>19</v>
      </c>
      <c r="L5">
        <v>2243</v>
      </c>
      <c r="M5" s="5">
        <v>-4</v>
      </c>
      <c r="N5" s="5" t="s">
        <v>1658</v>
      </c>
      <c r="O5" s="5" t="s">
        <v>1661</v>
      </c>
      <c r="P5">
        <v>1</v>
      </c>
      <c r="Q5" t="s">
        <v>1660</v>
      </c>
    </row>
    <row r="6" spans="1:18" x14ac:dyDescent="0.35">
      <c r="A6" s="5" t="s">
        <v>33</v>
      </c>
      <c r="B6" s="6">
        <v>45903</v>
      </c>
      <c r="C6" s="5" t="s">
        <v>34</v>
      </c>
      <c r="D6" s="5" t="s">
        <v>197</v>
      </c>
      <c r="E6" s="5" t="s">
        <v>226</v>
      </c>
      <c r="F6" s="5" t="s">
        <v>17</v>
      </c>
      <c r="G6">
        <v>0.26041666666666669</v>
      </c>
      <c r="H6">
        <v>0.26180555555555562</v>
      </c>
      <c r="I6">
        <v>-1</v>
      </c>
      <c r="J6" s="5" t="s">
        <v>18</v>
      </c>
      <c r="K6" s="5" t="s">
        <v>19</v>
      </c>
      <c r="L6">
        <v>1622</v>
      </c>
      <c r="M6" s="5">
        <v>2</v>
      </c>
      <c r="N6" s="5" t="s">
        <v>1658</v>
      </c>
      <c r="O6" s="5" t="s">
        <v>1662</v>
      </c>
      <c r="P6">
        <v>1</v>
      </c>
      <c r="Q6" t="s">
        <v>1660</v>
      </c>
    </row>
    <row r="7" spans="1:18" x14ac:dyDescent="0.35">
      <c r="A7" s="5" t="s">
        <v>35</v>
      </c>
      <c r="B7" s="6">
        <v>45903</v>
      </c>
      <c r="C7" s="5" t="s">
        <v>36</v>
      </c>
      <c r="D7" s="5" t="s">
        <v>84</v>
      </c>
      <c r="E7" s="5" t="s">
        <v>197</v>
      </c>
      <c r="F7" s="5" t="s">
        <v>38</v>
      </c>
      <c r="G7">
        <v>0.41319444444444442</v>
      </c>
      <c r="H7">
        <v>0.41944444444444451</v>
      </c>
      <c r="I7">
        <v>-2</v>
      </c>
      <c r="J7" s="5" t="s">
        <v>18</v>
      </c>
      <c r="K7" s="5" t="s">
        <v>19</v>
      </c>
      <c r="L7">
        <v>2415</v>
      </c>
      <c r="M7" s="5">
        <v>9</v>
      </c>
      <c r="N7" s="5" t="s">
        <v>1658</v>
      </c>
      <c r="O7" s="5" t="s">
        <v>1662</v>
      </c>
      <c r="P7">
        <v>1</v>
      </c>
      <c r="Q7" t="s">
        <v>1660</v>
      </c>
    </row>
    <row r="8" spans="1:18" x14ac:dyDescent="0.35">
      <c r="A8" s="5" t="s">
        <v>39</v>
      </c>
      <c r="B8" s="6">
        <v>45903</v>
      </c>
      <c r="C8" s="5" t="s">
        <v>40</v>
      </c>
      <c r="D8" s="5" t="s">
        <v>71</v>
      </c>
      <c r="E8" s="5" t="s">
        <v>202</v>
      </c>
      <c r="F8" s="5" t="s">
        <v>38</v>
      </c>
      <c r="G8">
        <v>0.44791666666666669</v>
      </c>
      <c r="H8">
        <v>0.45624999999999999</v>
      </c>
      <c r="I8">
        <v>2</v>
      </c>
      <c r="J8" s="5" t="s">
        <v>18</v>
      </c>
      <c r="K8" s="5" t="s">
        <v>19</v>
      </c>
      <c r="L8">
        <v>1199</v>
      </c>
      <c r="M8" s="5">
        <v>12</v>
      </c>
      <c r="N8" s="5" t="s">
        <v>1658</v>
      </c>
      <c r="O8" s="5" t="s">
        <v>1662</v>
      </c>
      <c r="P8">
        <v>1</v>
      </c>
      <c r="Q8" t="s">
        <v>1660</v>
      </c>
    </row>
    <row r="9" spans="1:18" x14ac:dyDescent="0.35">
      <c r="A9" s="5" t="s">
        <v>42</v>
      </c>
      <c r="B9" s="6">
        <v>45903</v>
      </c>
      <c r="C9" s="5" t="s">
        <v>43</v>
      </c>
      <c r="D9" s="5" t="s">
        <v>546</v>
      </c>
      <c r="E9" s="5" t="s">
        <v>1549</v>
      </c>
      <c r="F9" s="5" t="s">
        <v>28</v>
      </c>
      <c r="G9">
        <v>0.51736111111111116</v>
      </c>
      <c r="H9">
        <v>0.51597222222222228</v>
      </c>
      <c r="I9">
        <v>1</v>
      </c>
      <c r="J9" s="5" t="s">
        <v>18</v>
      </c>
      <c r="K9" s="5" t="s">
        <v>19</v>
      </c>
      <c r="L9">
        <v>2375</v>
      </c>
      <c r="M9" s="5">
        <v>-2</v>
      </c>
      <c r="N9" s="5" t="s">
        <v>1658</v>
      </c>
      <c r="O9" s="5" t="s">
        <v>1662</v>
      </c>
      <c r="P9">
        <v>1</v>
      </c>
      <c r="Q9" t="s">
        <v>1663</v>
      </c>
    </row>
    <row r="10" spans="1:18" x14ac:dyDescent="0.35">
      <c r="A10" s="5" t="s">
        <v>45</v>
      </c>
      <c r="B10" s="6">
        <v>45904</v>
      </c>
      <c r="C10" s="5" t="s">
        <v>46</v>
      </c>
      <c r="D10" s="5" t="s">
        <v>1295</v>
      </c>
      <c r="E10" s="5" t="s">
        <v>226</v>
      </c>
      <c r="F10" s="5" t="s">
        <v>28</v>
      </c>
      <c r="G10">
        <v>0.27430555555555558</v>
      </c>
      <c r="H10">
        <v>0.27152777777777781</v>
      </c>
      <c r="I10">
        <v>-10</v>
      </c>
      <c r="J10" s="5" t="s">
        <v>18</v>
      </c>
      <c r="K10" s="5" t="s">
        <v>19</v>
      </c>
      <c r="L10">
        <v>965</v>
      </c>
      <c r="M10" s="5">
        <v>-4</v>
      </c>
      <c r="N10" s="5" t="s">
        <v>1658</v>
      </c>
      <c r="O10" s="5" t="s">
        <v>1664</v>
      </c>
      <c r="P10">
        <v>1</v>
      </c>
      <c r="Q10" t="s">
        <v>1660</v>
      </c>
    </row>
    <row r="11" spans="1:18" x14ac:dyDescent="0.35">
      <c r="A11" s="5" t="s">
        <v>48</v>
      </c>
      <c r="B11" s="6">
        <v>45904</v>
      </c>
      <c r="C11" s="5" t="s">
        <v>49</v>
      </c>
      <c r="D11" s="5" t="s">
        <v>79</v>
      </c>
      <c r="E11" s="5" t="s">
        <v>588</v>
      </c>
      <c r="F11" s="5" t="s">
        <v>38</v>
      </c>
      <c r="G11">
        <v>0.34722222222222221</v>
      </c>
      <c r="H11">
        <v>0.35555555555555562</v>
      </c>
      <c r="I11">
        <v>21</v>
      </c>
      <c r="J11" s="5" t="s">
        <v>18</v>
      </c>
      <c r="K11" s="5" t="s">
        <v>19</v>
      </c>
      <c r="L11">
        <v>730</v>
      </c>
      <c r="M11" s="5">
        <v>12</v>
      </c>
      <c r="N11" s="5" t="s">
        <v>1658</v>
      </c>
      <c r="O11" s="5" t="s">
        <v>1664</v>
      </c>
      <c r="P11">
        <v>0</v>
      </c>
      <c r="Q11" t="s">
        <v>1660</v>
      </c>
    </row>
    <row r="12" spans="1:18" x14ac:dyDescent="0.35">
      <c r="A12" s="5" t="s">
        <v>52</v>
      </c>
      <c r="B12" s="6">
        <v>45904</v>
      </c>
      <c r="C12" s="5" t="s">
        <v>53</v>
      </c>
      <c r="D12" s="5" t="s">
        <v>413</v>
      </c>
      <c r="E12" s="5" t="s">
        <v>197</v>
      </c>
      <c r="F12" s="5" t="s">
        <v>17</v>
      </c>
      <c r="G12">
        <v>0.55555555555555558</v>
      </c>
      <c r="H12">
        <v>0.60972222222222228</v>
      </c>
      <c r="I12">
        <v>76</v>
      </c>
      <c r="J12" s="5" t="s">
        <v>54</v>
      </c>
      <c r="K12" s="5" t="s">
        <v>19</v>
      </c>
      <c r="L12">
        <v>2470</v>
      </c>
      <c r="M12" s="5">
        <v>78</v>
      </c>
      <c r="N12" s="5" t="s">
        <v>1658</v>
      </c>
      <c r="O12" s="5" t="s">
        <v>1664</v>
      </c>
      <c r="P12">
        <v>0</v>
      </c>
      <c r="Q12" t="s">
        <v>1663</v>
      </c>
      <c r="R12" t="s">
        <v>1657</v>
      </c>
    </row>
    <row r="13" spans="1:18" x14ac:dyDescent="0.35">
      <c r="A13" s="5" t="s">
        <v>55</v>
      </c>
      <c r="B13" s="6">
        <v>45904</v>
      </c>
      <c r="C13" s="5" t="s">
        <v>56</v>
      </c>
      <c r="D13" s="5" t="s">
        <v>413</v>
      </c>
      <c r="E13" s="5" t="s">
        <v>588</v>
      </c>
      <c r="F13" s="5" t="s">
        <v>17</v>
      </c>
      <c r="G13">
        <v>0.57291666666666663</v>
      </c>
      <c r="H13">
        <v>0.56944444444444442</v>
      </c>
      <c r="I13">
        <v>0</v>
      </c>
      <c r="J13" s="5" t="s">
        <v>18</v>
      </c>
      <c r="K13" s="5" t="s">
        <v>19</v>
      </c>
      <c r="L13">
        <v>1232</v>
      </c>
      <c r="M13" s="5">
        <v>-5</v>
      </c>
      <c r="N13" s="5" t="s">
        <v>1658</v>
      </c>
      <c r="O13" s="5" t="s">
        <v>1664</v>
      </c>
      <c r="P13">
        <v>1</v>
      </c>
      <c r="Q13" t="s">
        <v>1663</v>
      </c>
    </row>
    <row r="14" spans="1:18" x14ac:dyDescent="0.35">
      <c r="A14" s="5" t="s">
        <v>57</v>
      </c>
      <c r="B14" s="6">
        <v>45904</v>
      </c>
      <c r="C14" s="5" t="s">
        <v>58</v>
      </c>
      <c r="D14" s="5" t="s">
        <v>79</v>
      </c>
      <c r="E14" s="5" t="s">
        <v>1549</v>
      </c>
      <c r="F14" s="5" t="s">
        <v>24</v>
      </c>
      <c r="G14">
        <v>0.80555555555555558</v>
      </c>
      <c r="H14">
        <v>0.81736111111111109</v>
      </c>
      <c r="I14">
        <v>23</v>
      </c>
      <c r="J14" s="5" t="s">
        <v>60</v>
      </c>
      <c r="K14" s="5" t="s">
        <v>19</v>
      </c>
      <c r="L14">
        <v>945</v>
      </c>
      <c r="M14" s="5">
        <v>17</v>
      </c>
      <c r="N14" s="5" t="s">
        <v>1658</v>
      </c>
      <c r="O14" s="5" t="s">
        <v>1664</v>
      </c>
      <c r="P14">
        <v>0</v>
      </c>
      <c r="Q14" t="s">
        <v>1665</v>
      </c>
      <c r="R14" t="s">
        <v>1657</v>
      </c>
    </row>
    <row r="15" spans="1:18" x14ac:dyDescent="0.35">
      <c r="A15" s="5" t="s">
        <v>61</v>
      </c>
      <c r="B15" s="6">
        <v>45904</v>
      </c>
      <c r="C15" s="5" t="s">
        <v>62</v>
      </c>
      <c r="D15" s="5" t="s">
        <v>197</v>
      </c>
      <c r="E15" s="5" t="s">
        <v>413</v>
      </c>
      <c r="F15" s="5" t="s">
        <v>28</v>
      </c>
      <c r="G15">
        <v>0.82638888888888884</v>
      </c>
      <c r="H15">
        <v>0.83472222222222225</v>
      </c>
      <c r="I15">
        <v>13</v>
      </c>
      <c r="J15" s="5" t="s">
        <v>18</v>
      </c>
      <c r="K15" s="5" t="s">
        <v>19</v>
      </c>
      <c r="L15">
        <v>2470</v>
      </c>
      <c r="M15" s="5">
        <v>12</v>
      </c>
      <c r="N15" s="5" t="s">
        <v>1658</v>
      </c>
      <c r="O15" s="5" t="s">
        <v>1664</v>
      </c>
      <c r="P15">
        <v>1</v>
      </c>
      <c r="Q15" t="s">
        <v>1665</v>
      </c>
    </row>
    <row r="16" spans="1:18" x14ac:dyDescent="0.35">
      <c r="A16" s="5" t="s">
        <v>63</v>
      </c>
      <c r="B16" s="6">
        <v>45905</v>
      </c>
      <c r="C16" s="5" t="s">
        <v>64</v>
      </c>
      <c r="D16" s="5" t="s">
        <v>197</v>
      </c>
      <c r="E16" s="5" t="s">
        <v>79</v>
      </c>
      <c r="F16" s="5" t="s">
        <v>24</v>
      </c>
      <c r="G16">
        <v>0.58680555555555558</v>
      </c>
      <c r="H16">
        <v>0.59444444444444444</v>
      </c>
      <c r="I16">
        <v>2</v>
      </c>
      <c r="J16" s="5" t="s">
        <v>18</v>
      </c>
      <c r="K16" s="5" t="s">
        <v>19</v>
      </c>
      <c r="L16">
        <v>759</v>
      </c>
      <c r="M16" s="5">
        <v>11</v>
      </c>
      <c r="N16" s="5" t="s">
        <v>1658</v>
      </c>
      <c r="O16" s="5" t="s">
        <v>1666</v>
      </c>
      <c r="P16">
        <v>1</v>
      </c>
      <c r="Q16" t="s">
        <v>1663</v>
      </c>
    </row>
    <row r="17" spans="1:18" x14ac:dyDescent="0.35">
      <c r="A17" s="5" t="s">
        <v>65</v>
      </c>
      <c r="B17" s="6">
        <v>45905</v>
      </c>
      <c r="C17" s="5" t="s">
        <v>66</v>
      </c>
      <c r="D17" s="5" t="s">
        <v>1295</v>
      </c>
      <c r="E17" s="5" t="s">
        <v>79</v>
      </c>
      <c r="F17" s="5" t="s">
        <v>38</v>
      </c>
      <c r="G17">
        <v>0.69097222222222221</v>
      </c>
      <c r="I17">
        <v>10</v>
      </c>
      <c r="J17" s="5" t="s">
        <v>18</v>
      </c>
      <c r="K17" s="5" t="s">
        <v>19</v>
      </c>
      <c r="L17">
        <v>2134</v>
      </c>
      <c r="M17" s="5">
        <v>6</v>
      </c>
      <c r="N17" s="5" t="s">
        <v>1658</v>
      </c>
      <c r="O17" s="5" t="s">
        <v>1666</v>
      </c>
      <c r="P17">
        <v>1</v>
      </c>
      <c r="Q17" t="s">
        <v>1663</v>
      </c>
    </row>
    <row r="18" spans="1:18" x14ac:dyDescent="0.35">
      <c r="A18" s="5" t="s">
        <v>67</v>
      </c>
      <c r="B18" s="6">
        <v>45906</v>
      </c>
      <c r="C18" s="5" t="s">
        <v>68</v>
      </c>
      <c r="D18" s="5" t="s">
        <v>1549</v>
      </c>
      <c r="E18" s="5" t="s">
        <v>413</v>
      </c>
      <c r="F18" s="5" t="s">
        <v>28</v>
      </c>
      <c r="G18">
        <v>0.52777777777777779</v>
      </c>
      <c r="H18">
        <v>0.52222222222222225</v>
      </c>
      <c r="I18">
        <v>-13</v>
      </c>
      <c r="J18" s="5" t="s">
        <v>18</v>
      </c>
      <c r="K18" s="5" t="s">
        <v>19</v>
      </c>
      <c r="L18">
        <v>2606</v>
      </c>
      <c r="M18" s="5">
        <v>-8</v>
      </c>
      <c r="N18" s="5" t="s">
        <v>1658</v>
      </c>
      <c r="O18" s="5" t="s">
        <v>1667</v>
      </c>
      <c r="P18">
        <v>1</v>
      </c>
      <c r="Q18" t="s">
        <v>1663</v>
      </c>
    </row>
    <row r="19" spans="1:18" x14ac:dyDescent="0.35">
      <c r="A19" s="5" t="s">
        <v>69</v>
      </c>
      <c r="B19" s="6">
        <v>45906</v>
      </c>
      <c r="C19" s="5" t="s">
        <v>70</v>
      </c>
      <c r="D19" s="5" t="s">
        <v>226</v>
      </c>
      <c r="E19" s="5" t="s">
        <v>71</v>
      </c>
      <c r="F19" s="5" t="s">
        <v>38</v>
      </c>
      <c r="G19">
        <v>0.56944444444444442</v>
      </c>
      <c r="H19">
        <v>0.56527777777777777</v>
      </c>
      <c r="I19">
        <v>-13</v>
      </c>
      <c r="J19" s="5" t="s">
        <v>18</v>
      </c>
      <c r="K19" s="5" t="s">
        <v>19</v>
      </c>
      <c r="L19">
        <v>886</v>
      </c>
      <c r="M19" s="5">
        <v>-6</v>
      </c>
      <c r="N19" s="5" t="s">
        <v>1658</v>
      </c>
      <c r="O19" s="5" t="s">
        <v>1667</v>
      </c>
      <c r="P19">
        <v>1</v>
      </c>
      <c r="Q19" t="s">
        <v>1663</v>
      </c>
    </row>
    <row r="20" spans="1:18" x14ac:dyDescent="0.35">
      <c r="A20" s="5" t="s">
        <v>72</v>
      </c>
      <c r="B20" s="6">
        <v>45906</v>
      </c>
      <c r="C20" s="5" t="s">
        <v>73</v>
      </c>
      <c r="D20" s="5" t="s">
        <v>226</v>
      </c>
      <c r="E20" s="5" t="s">
        <v>71</v>
      </c>
      <c r="F20" s="5" t="s">
        <v>17</v>
      </c>
      <c r="G20">
        <v>0.72569444444444442</v>
      </c>
      <c r="H20">
        <v>0.73055555555555551</v>
      </c>
      <c r="I20">
        <v>-2</v>
      </c>
      <c r="J20" s="5" t="s">
        <v>18</v>
      </c>
      <c r="K20" s="5" t="s">
        <v>19</v>
      </c>
      <c r="L20">
        <v>886</v>
      </c>
      <c r="M20" s="5">
        <v>7</v>
      </c>
      <c r="N20" s="5" t="s">
        <v>1658</v>
      </c>
      <c r="O20" s="5" t="s">
        <v>1667</v>
      </c>
      <c r="P20">
        <v>1</v>
      </c>
      <c r="Q20" t="s">
        <v>1665</v>
      </c>
    </row>
    <row r="21" spans="1:18" x14ac:dyDescent="0.35">
      <c r="A21" s="5" t="s">
        <v>74</v>
      </c>
      <c r="B21" s="6">
        <v>45907</v>
      </c>
      <c r="C21" s="5" t="s">
        <v>75</v>
      </c>
      <c r="D21" s="5" t="s">
        <v>546</v>
      </c>
      <c r="E21" s="5" t="s">
        <v>197</v>
      </c>
      <c r="F21" s="5" t="s">
        <v>28</v>
      </c>
      <c r="G21">
        <v>0.375</v>
      </c>
      <c r="H21">
        <v>0.38055555555555548</v>
      </c>
      <c r="I21">
        <v>-1</v>
      </c>
      <c r="J21" s="5" t="s">
        <v>18</v>
      </c>
      <c r="K21" s="5" t="s">
        <v>19</v>
      </c>
      <c r="L21">
        <v>2243</v>
      </c>
      <c r="M21" s="5">
        <v>8</v>
      </c>
      <c r="N21" s="5" t="s">
        <v>1658</v>
      </c>
      <c r="O21" s="5" t="s">
        <v>1668</v>
      </c>
      <c r="P21">
        <v>1</v>
      </c>
      <c r="Q21" t="s">
        <v>1660</v>
      </c>
    </row>
    <row r="22" spans="1:18" x14ac:dyDescent="0.35">
      <c r="A22" s="5" t="s">
        <v>76</v>
      </c>
      <c r="B22" s="6">
        <v>45908</v>
      </c>
      <c r="C22" s="5" t="s">
        <v>77</v>
      </c>
      <c r="D22" s="5" t="s">
        <v>1171</v>
      </c>
      <c r="E22" s="5" t="s">
        <v>79</v>
      </c>
      <c r="F22" s="5" t="s">
        <v>17</v>
      </c>
      <c r="G22">
        <v>0.47569444444444442</v>
      </c>
      <c r="H22">
        <v>0.47152777777777782</v>
      </c>
      <c r="I22">
        <v>-9</v>
      </c>
      <c r="J22" s="5" t="s">
        <v>18</v>
      </c>
      <c r="K22" s="5" t="s">
        <v>19</v>
      </c>
      <c r="L22">
        <v>1584</v>
      </c>
      <c r="M22" s="5">
        <v>-6</v>
      </c>
      <c r="N22" s="5" t="s">
        <v>1658</v>
      </c>
      <c r="O22" s="5" t="s">
        <v>1659</v>
      </c>
      <c r="P22">
        <v>1</v>
      </c>
      <c r="Q22" t="s">
        <v>1660</v>
      </c>
    </row>
    <row r="23" spans="1:18" x14ac:dyDescent="0.35">
      <c r="A23" s="5" t="s">
        <v>80</v>
      </c>
      <c r="B23" s="6">
        <v>45908</v>
      </c>
      <c r="C23" s="5" t="s">
        <v>81</v>
      </c>
      <c r="D23" s="5" t="s">
        <v>588</v>
      </c>
      <c r="E23" s="5" t="s">
        <v>226</v>
      </c>
      <c r="F23" s="5" t="s">
        <v>38</v>
      </c>
      <c r="G23">
        <v>0.63541666666666663</v>
      </c>
      <c r="I23">
        <v>-9</v>
      </c>
      <c r="J23" s="5" t="s">
        <v>18</v>
      </c>
      <c r="K23" s="5" t="s">
        <v>19</v>
      </c>
      <c r="L23">
        <v>641</v>
      </c>
      <c r="M23" s="5">
        <v>0</v>
      </c>
      <c r="N23" s="5" t="s">
        <v>1658</v>
      </c>
      <c r="O23" s="5" t="s">
        <v>1659</v>
      </c>
      <c r="P23">
        <v>1</v>
      </c>
      <c r="Q23" t="s">
        <v>1663</v>
      </c>
    </row>
    <row r="24" spans="1:18" x14ac:dyDescent="0.35">
      <c r="A24" s="5" t="s">
        <v>82</v>
      </c>
      <c r="B24" s="6">
        <v>45908</v>
      </c>
      <c r="C24" s="5" t="s">
        <v>83</v>
      </c>
      <c r="D24" s="5" t="s">
        <v>84</v>
      </c>
      <c r="E24" s="5" t="s">
        <v>71</v>
      </c>
      <c r="F24" s="5" t="s">
        <v>24</v>
      </c>
      <c r="G24">
        <v>0.81597222222222221</v>
      </c>
      <c r="H24">
        <v>0.81874999999999998</v>
      </c>
      <c r="J24" s="5" t="s">
        <v>18</v>
      </c>
      <c r="K24" s="5" t="s">
        <v>19</v>
      </c>
      <c r="L24">
        <v>1717</v>
      </c>
      <c r="M24" s="5">
        <v>4</v>
      </c>
      <c r="N24" s="5" t="s">
        <v>1658</v>
      </c>
      <c r="O24" s="5" t="s">
        <v>1659</v>
      </c>
      <c r="Q24" t="s">
        <v>1665</v>
      </c>
    </row>
    <row r="25" spans="1:18" x14ac:dyDescent="0.35">
      <c r="A25" s="5" t="s">
        <v>85</v>
      </c>
      <c r="B25" s="6">
        <v>45909</v>
      </c>
      <c r="C25" s="5" t="s">
        <v>86</v>
      </c>
      <c r="D25" s="5" t="s">
        <v>1171</v>
      </c>
      <c r="E25" s="5" t="s">
        <v>1549</v>
      </c>
      <c r="F25" s="5" t="s">
        <v>28</v>
      </c>
      <c r="G25">
        <v>0.40972222222222221</v>
      </c>
      <c r="H25">
        <v>0.5229166666666667</v>
      </c>
      <c r="I25">
        <v>160</v>
      </c>
      <c r="J25" s="5" t="s">
        <v>60</v>
      </c>
      <c r="K25" s="5" t="s">
        <v>19</v>
      </c>
      <c r="L25">
        <v>2295</v>
      </c>
      <c r="M25" s="5">
        <v>163</v>
      </c>
      <c r="N25" s="5" t="s">
        <v>1658</v>
      </c>
      <c r="O25" s="5" t="s">
        <v>1661</v>
      </c>
      <c r="P25">
        <v>0</v>
      </c>
      <c r="Q25" t="s">
        <v>1660</v>
      </c>
      <c r="R25" t="s">
        <v>1657</v>
      </c>
    </row>
    <row r="26" spans="1:18" x14ac:dyDescent="0.35">
      <c r="A26" s="5" t="s">
        <v>87</v>
      </c>
      <c r="B26" s="6">
        <v>45909</v>
      </c>
      <c r="C26" s="5" t="s">
        <v>88</v>
      </c>
      <c r="D26" s="5" t="s">
        <v>71</v>
      </c>
      <c r="E26" s="5" t="s">
        <v>202</v>
      </c>
      <c r="F26" s="5" t="s">
        <v>24</v>
      </c>
      <c r="G26">
        <v>0.56944444444444442</v>
      </c>
      <c r="H26">
        <v>0.56388888888888888</v>
      </c>
      <c r="I26">
        <v>-2</v>
      </c>
      <c r="J26" s="5" t="s">
        <v>18</v>
      </c>
      <c r="K26" s="5" t="s">
        <v>19</v>
      </c>
      <c r="L26">
        <v>1199</v>
      </c>
      <c r="M26" s="5">
        <v>-8</v>
      </c>
      <c r="N26" s="5" t="s">
        <v>1658</v>
      </c>
      <c r="O26" s="5" t="s">
        <v>1661</v>
      </c>
      <c r="P26">
        <v>1</v>
      </c>
      <c r="Q26" t="s">
        <v>1663</v>
      </c>
    </row>
    <row r="27" spans="1:18" x14ac:dyDescent="0.35">
      <c r="A27" s="5" t="s">
        <v>89</v>
      </c>
      <c r="B27" s="6">
        <v>45909</v>
      </c>
      <c r="C27" s="5" t="s">
        <v>90</v>
      </c>
      <c r="D27" s="5" t="s">
        <v>1295</v>
      </c>
      <c r="E27" s="5" t="s">
        <v>1549</v>
      </c>
      <c r="F27" s="5" t="s">
        <v>28</v>
      </c>
      <c r="G27">
        <v>0.59375</v>
      </c>
      <c r="H27">
        <v>0.59097222222222223</v>
      </c>
      <c r="I27">
        <v>-5</v>
      </c>
      <c r="J27" s="5" t="s">
        <v>18</v>
      </c>
      <c r="K27" s="5" t="s">
        <v>19</v>
      </c>
      <c r="L27">
        <v>2698</v>
      </c>
      <c r="M27" s="5">
        <v>-4</v>
      </c>
      <c r="N27" s="5" t="s">
        <v>1658</v>
      </c>
      <c r="O27" s="5" t="s">
        <v>1661</v>
      </c>
      <c r="P27">
        <v>1</v>
      </c>
      <c r="Q27" t="s">
        <v>1663</v>
      </c>
    </row>
    <row r="28" spans="1:18" x14ac:dyDescent="0.35">
      <c r="A28" s="5" t="s">
        <v>91</v>
      </c>
      <c r="B28" s="6">
        <v>45909</v>
      </c>
      <c r="C28" s="5" t="s">
        <v>92</v>
      </c>
      <c r="D28" s="5" t="s">
        <v>71</v>
      </c>
      <c r="E28" s="5" t="s">
        <v>588</v>
      </c>
      <c r="F28" s="5" t="s">
        <v>24</v>
      </c>
      <c r="G28">
        <v>0.70486111111111116</v>
      </c>
      <c r="H28">
        <v>0.7</v>
      </c>
      <c r="I28">
        <v>-15</v>
      </c>
      <c r="J28" s="5" t="s">
        <v>18</v>
      </c>
      <c r="K28" s="5" t="s">
        <v>19</v>
      </c>
      <c r="L28">
        <v>802</v>
      </c>
      <c r="M28" s="5">
        <v>-7</v>
      </c>
      <c r="N28" s="5" t="s">
        <v>1658</v>
      </c>
      <c r="O28" s="5" t="s">
        <v>1661</v>
      </c>
      <c r="P28">
        <v>1</v>
      </c>
      <c r="Q28" t="s">
        <v>1663</v>
      </c>
    </row>
    <row r="29" spans="1:18" x14ac:dyDescent="0.35">
      <c r="A29" s="5" t="s">
        <v>94</v>
      </c>
      <c r="B29" s="6">
        <v>45910</v>
      </c>
      <c r="C29" s="5" t="s">
        <v>95</v>
      </c>
      <c r="D29" s="5" t="s">
        <v>226</v>
      </c>
      <c r="E29" s="5" t="s">
        <v>1171</v>
      </c>
      <c r="F29" s="5" t="s">
        <v>17</v>
      </c>
      <c r="G29">
        <v>0.3576388888888889</v>
      </c>
      <c r="H29">
        <v>0.3611111111111111</v>
      </c>
      <c r="I29">
        <v>-3</v>
      </c>
      <c r="J29" s="5" t="s">
        <v>18</v>
      </c>
      <c r="K29" s="5" t="s">
        <v>19</v>
      </c>
      <c r="L29">
        <v>602</v>
      </c>
      <c r="M29" s="5">
        <v>5</v>
      </c>
      <c r="N29" s="5" t="s">
        <v>1658</v>
      </c>
      <c r="O29" s="5" t="s">
        <v>1662</v>
      </c>
      <c r="P29">
        <v>1</v>
      </c>
      <c r="Q29" t="s">
        <v>1660</v>
      </c>
    </row>
    <row r="30" spans="1:18" x14ac:dyDescent="0.35">
      <c r="A30" s="5" t="s">
        <v>96</v>
      </c>
      <c r="B30" s="6">
        <v>45910</v>
      </c>
      <c r="C30" s="5" t="s">
        <v>34</v>
      </c>
      <c r="D30" s="5" t="s">
        <v>226</v>
      </c>
      <c r="E30" s="5" t="s">
        <v>84</v>
      </c>
      <c r="F30" s="5" t="s">
        <v>24</v>
      </c>
      <c r="G30">
        <v>0.64236111111111116</v>
      </c>
      <c r="H30">
        <v>0.65902777777777777</v>
      </c>
      <c r="I30">
        <v>13</v>
      </c>
      <c r="J30" s="5" t="s">
        <v>54</v>
      </c>
      <c r="K30" s="5" t="s">
        <v>19</v>
      </c>
      <c r="L30">
        <v>1023</v>
      </c>
      <c r="M30" s="5">
        <v>24</v>
      </c>
      <c r="N30" s="5" t="s">
        <v>1658</v>
      </c>
      <c r="O30" s="5" t="s">
        <v>1662</v>
      </c>
      <c r="P30">
        <v>1</v>
      </c>
      <c r="Q30" t="s">
        <v>1663</v>
      </c>
      <c r="R30" t="s">
        <v>1657</v>
      </c>
    </row>
    <row r="31" spans="1:18" x14ac:dyDescent="0.35">
      <c r="A31" s="5" t="s">
        <v>99</v>
      </c>
      <c r="B31" s="6">
        <v>45910</v>
      </c>
      <c r="C31" s="5" t="s">
        <v>100</v>
      </c>
      <c r="D31" s="5" t="s">
        <v>226</v>
      </c>
      <c r="E31" s="5" t="s">
        <v>79</v>
      </c>
      <c r="F31" s="5" t="s">
        <v>28</v>
      </c>
      <c r="G31">
        <v>0.67361111111111116</v>
      </c>
      <c r="H31">
        <v>0.67638888888888893</v>
      </c>
      <c r="I31">
        <v>5</v>
      </c>
      <c r="J31" s="5" t="s">
        <v>18</v>
      </c>
      <c r="K31" s="5" t="s">
        <v>19</v>
      </c>
      <c r="L31">
        <v>1197</v>
      </c>
      <c r="M31" s="5">
        <v>4</v>
      </c>
      <c r="N31" s="5" t="s">
        <v>1658</v>
      </c>
      <c r="O31" s="5" t="s">
        <v>1662</v>
      </c>
      <c r="P31">
        <v>1</v>
      </c>
      <c r="Q31" t="s">
        <v>1663</v>
      </c>
    </row>
    <row r="32" spans="1:18" x14ac:dyDescent="0.35">
      <c r="A32" s="5" t="s">
        <v>101</v>
      </c>
      <c r="B32" s="6">
        <v>45910</v>
      </c>
      <c r="C32" s="5" t="s">
        <v>102</v>
      </c>
      <c r="D32" s="5" t="s">
        <v>588</v>
      </c>
      <c r="E32" s="5" t="s">
        <v>71</v>
      </c>
      <c r="F32" s="5" t="s">
        <v>28</v>
      </c>
      <c r="G32">
        <v>0.67708333333333337</v>
      </c>
      <c r="H32">
        <v>0.67638888888888893</v>
      </c>
      <c r="I32">
        <v>-7</v>
      </c>
      <c r="J32" s="5" t="s">
        <v>18</v>
      </c>
      <c r="K32" s="5" t="s">
        <v>19</v>
      </c>
      <c r="L32">
        <v>802</v>
      </c>
      <c r="M32" s="5">
        <v>-1</v>
      </c>
      <c r="N32" s="5" t="s">
        <v>1658</v>
      </c>
      <c r="O32" s="5" t="s">
        <v>1662</v>
      </c>
      <c r="P32">
        <v>1</v>
      </c>
      <c r="Q32" t="s">
        <v>1663</v>
      </c>
    </row>
    <row r="33" spans="1:18" x14ac:dyDescent="0.35">
      <c r="A33" s="5" t="s">
        <v>103</v>
      </c>
      <c r="B33" s="6">
        <v>45910</v>
      </c>
      <c r="C33" s="5" t="s">
        <v>104</v>
      </c>
      <c r="D33" s="5" t="s">
        <v>71</v>
      </c>
      <c r="E33" s="5" t="s">
        <v>226</v>
      </c>
      <c r="F33" s="5" t="s">
        <v>28</v>
      </c>
      <c r="G33">
        <v>0.70486111111111116</v>
      </c>
      <c r="H33">
        <v>0.70833333333333337</v>
      </c>
      <c r="I33">
        <v>4</v>
      </c>
      <c r="J33" s="5" t="s">
        <v>18</v>
      </c>
      <c r="K33" s="5" t="s">
        <v>19</v>
      </c>
      <c r="L33">
        <v>886</v>
      </c>
      <c r="M33" s="5">
        <v>5</v>
      </c>
      <c r="N33" s="5" t="s">
        <v>1658</v>
      </c>
      <c r="O33" s="5" t="s">
        <v>1662</v>
      </c>
      <c r="P33">
        <v>1</v>
      </c>
      <c r="Q33" t="s">
        <v>1663</v>
      </c>
    </row>
    <row r="34" spans="1:18" x14ac:dyDescent="0.35">
      <c r="A34" s="5" t="s">
        <v>105</v>
      </c>
      <c r="B34" s="6">
        <v>45910</v>
      </c>
      <c r="C34" s="5" t="s">
        <v>106</v>
      </c>
      <c r="D34" s="5" t="s">
        <v>1171</v>
      </c>
      <c r="E34" s="5" t="s">
        <v>197</v>
      </c>
      <c r="F34" s="5" t="s">
        <v>17</v>
      </c>
      <c r="G34">
        <v>0.86111111111111116</v>
      </c>
      <c r="H34">
        <v>0.88194444444444442</v>
      </c>
      <c r="I34">
        <v>36</v>
      </c>
      <c r="J34" s="5" t="s">
        <v>54</v>
      </c>
      <c r="K34" s="5" t="s">
        <v>19</v>
      </c>
      <c r="L34">
        <v>2149</v>
      </c>
      <c r="M34" s="5">
        <v>30</v>
      </c>
      <c r="N34" s="5" t="s">
        <v>1658</v>
      </c>
      <c r="O34" s="5" t="s">
        <v>1662</v>
      </c>
      <c r="P34">
        <v>0</v>
      </c>
      <c r="Q34" t="s">
        <v>1665</v>
      </c>
      <c r="R34" t="s">
        <v>1657</v>
      </c>
    </row>
    <row r="35" spans="1:18" x14ac:dyDescent="0.35">
      <c r="A35" s="5" t="s">
        <v>107</v>
      </c>
      <c r="B35" s="6">
        <v>45911</v>
      </c>
      <c r="C35" s="5" t="s">
        <v>108</v>
      </c>
      <c r="D35" s="5" t="s">
        <v>1549</v>
      </c>
      <c r="E35" s="5" t="s">
        <v>71</v>
      </c>
      <c r="F35" s="5" t="s">
        <v>38</v>
      </c>
      <c r="G35">
        <v>0.24305555555555561</v>
      </c>
      <c r="H35">
        <v>0.2472222222222222</v>
      </c>
      <c r="I35">
        <v>15</v>
      </c>
      <c r="J35" s="5" t="s">
        <v>18</v>
      </c>
      <c r="K35" s="5" t="s">
        <v>19</v>
      </c>
      <c r="L35">
        <v>864</v>
      </c>
      <c r="M35" s="5">
        <v>6</v>
      </c>
      <c r="N35" s="5" t="s">
        <v>1658</v>
      </c>
      <c r="O35" s="5" t="s">
        <v>1664</v>
      </c>
      <c r="P35">
        <v>1</v>
      </c>
      <c r="Q35" t="s">
        <v>1660</v>
      </c>
    </row>
    <row r="36" spans="1:18" x14ac:dyDescent="0.35">
      <c r="A36" s="5" t="s">
        <v>109</v>
      </c>
      <c r="B36" s="6">
        <v>45911</v>
      </c>
      <c r="C36" s="5" t="s">
        <v>110</v>
      </c>
      <c r="D36" s="5" t="s">
        <v>71</v>
      </c>
      <c r="E36" s="5" t="s">
        <v>84</v>
      </c>
      <c r="F36" s="5" t="s">
        <v>28</v>
      </c>
      <c r="G36">
        <v>0.3263888888888889</v>
      </c>
      <c r="H36">
        <v>0.32777777777777778</v>
      </c>
      <c r="I36">
        <v>-10</v>
      </c>
      <c r="J36" s="5" t="s">
        <v>18</v>
      </c>
      <c r="K36" s="5" t="s">
        <v>19</v>
      </c>
      <c r="L36">
        <v>1717</v>
      </c>
      <c r="M36" s="5">
        <v>2</v>
      </c>
      <c r="N36" s="5" t="s">
        <v>1658</v>
      </c>
      <c r="O36" s="5" t="s">
        <v>1664</v>
      </c>
      <c r="P36">
        <v>1</v>
      </c>
      <c r="Q36" t="s">
        <v>1660</v>
      </c>
    </row>
    <row r="37" spans="1:18" x14ac:dyDescent="0.35">
      <c r="A37" s="5" t="s">
        <v>111</v>
      </c>
      <c r="B37" s="6">
        <v>45911</v>
      </c>
      <c r="C37" s="5" t="s">
        <v>112</v>
      </c>
      <c r="D37" s="5" t="s">
        <v>197</v>
      </c>
      <c r="E37" s="5" t="s">
        <v>202</v>
      </c>
      <c r="F37" s="5" t="s">
        <v>38</v>
      </c>
      <c r="G37">
        <v>0.375</v>
      </c>
      <c r="H37">
        <v>0.36944444444444452</v>
      </c>
      <c r="I37">
        <v>-18</v>
      </c>
      <c r="J37" s="5" t="s">
        <v>18</v>
      </c>
      <c r="K37" s="5" t="s">
        <v>19</v>
      </c>
      <c r="L37">
        <v>1092</v>
      </c>
      <c r="M37" s="5">
        <v>-8</v>
      </c>
      <c r="N37" s="5" t="s">
        <v>1658</v>
      </c>
      <c r="O37" s="5" t="s">
        <v>1664</v>
      </c>
      <c r="P37">
        <v>1</v>
      </c>
      <c r="Q37" t="s">
        <v>1660</v>
      </c>
    </row>
    <row r="38" spans="1:18" x14ac:dyDescent="0.35">
      <c r="A38" s="5" t="s">
        <v>113</v>
      </c>
      <c r="B38" s="6">
        <v>45911</v>
      </c>
      <c r="C38" s="5" t="s">
        <v>114</v>
      </c>
      <c r="D38" s="5" t="s">
        <v>226</v>
      </c>
      <c r="E38" s="5" t="s">
        <v>79</v>
      </c>
      <c r="F38" s="5" t="s">
        <v>17</v>
      </c>
      <c r="G38">
        <v>0.6875</v>
      </c>
      <c r="H38">
        <v>0.68680555555555556</v>
      </c>
      <c r="I38">
        <v>-7</v>
      </c>
      <c r="J38" s="5" t="s">
        <v>18</v>
      </c>
      <c r="K38" s="5" t="s">
        <v>19</v>
      </c>
      <c r="L38">
        <v>1197</v>
      </c>
      <c r="M38" s="5">
        <v>-1</v>
      </c>
      <c r="N38" s="5" t="s">
        <v>1658</v>
      </c>
      <c r="O38" s="5" t="s">
        <v>1664</v>
      </c>
      <c r="P38">
        <v>1</v>
      </c>
      <c r="Q38" t="s">
        <v>1663</v>
      </c>
    </row>
    <row r="39" spans="1:18" x14ac:dyDescent="0.35">
      <c r="A39" s="5" t="s">
        <v>115</v>
      </c>
      <c r="B39" s="6">
        <v>45912</v>
      </c>
      <c r="C39" s="5" t="s">
        <v>116</v>
      </c>
      <c r="D39" s="5" t="s">
        <v>1295</v>
      </c>
      <c r="E39" s="5" t="s">
        <v>588</v>
      </c>
      <c r="F39" s="5" t="s">
        <v>24</v>
      </c>
      <c r="G39">
        <v>0.67361111111111116</v>
      </c>
      <c r="H39">
        <v>0.68194444444444446</v>
      </c>
      <c r="I39">
        <v>5</v>
      </c>
      <c r="J39" s="5" t="s">
        <v>18</v>
      </c>
      <c r="K39" s="5" t="s">
        <v>19</v>
      </c>
      <c r="L39">
        <v>1462</v>
      </c>
      <c r="M39" s="5">
        <v>12</v>
      </c>
      <c r="N39" s="5" t="s">
        <v>1658</v>
      </c>
      <c r="O39" s="5" t="s">
        <v>1666</v>
      </c>
      <c r="P39">
        <v>1</v>
      </c>
      <c r="Q39" t="s">
        <v>1663</v>
      </c>
    </row>
    <row r="40" spans="1:18" x14ac:dyDescent="0.35">
      <c r="A40" s="5" t="s">
        <v>117</v>
      </c>
      <c r="B40" s="6">
        <v>45912</v>
      </c>
      <c r="C40" s="5" t="s">
        <v>118</v>
      </c>
      <c r="D40" s="5" t="s">
        <v>226</v>
      </c>
      <c r="E40" s="5" t="s">
        <v>197</v>
      </c>
      <c r="F40" s="5" t="s">
        <v>17</v>
      </c>
      <c r="G40">
        <v>0.90972222222222221</v>
      </c>
      <c r="H40">
        <v>0.91736111111111107</v>
      </c>
      <c r="I40">
        <v>11</v>
      </c>
      <c r="J40" s="5" t="s">
        <v>18</v>
      </c>
      <c r="K40" s="5" t="s">
        <v>19</v>
      </c>
      <c r="L40">
        <v>1622</v>
      </c>
      <c r="M40" s="5">
        <v>11</v>
      </c>
      <c r="N40" s="5" t="s">
        <v>1658</v>
      </c>
      <c r="O40" s="5" t="s">
        <v>1666</v>
      </c>
      <c r="P40">
        <v>1</v>
      </c>
      <c r="Q40" t="s">
        <v>1669</v>
      </c>
    </row>
    <row r="41" spans="1:18" x14ac:dyDescent="0.35">
      <c r="A41" s="5" t="s">
        <v>119</v>
      </c>
      <c r="B41" s="6">
        <v>45913</v>
      </c>
      <c r="C41" s="5" t="s">
        <v>120</v>
      </c>
      <c r="D41" s="5" t="s">
        <v>226</v>
      </c>
      <c r="E41" s="5" t="s">
        <v>413</v>
      </c>
      <c r="F41" s="5" t="s">
        <v>38</v>
      </c>
      <c r="G41">
        <v>0.36805555555555558</v>
      </c>
      <c r="H41">
        <v>0.37361111111111112</v>
      </c>
      <c r="I41">
        <v>17</v>
      </c>
      <c r="J41" s="5" t="s">
        <v>18</v>
      </c>
      <c r="K41" s="5" t="s">
        <v>19</v>
      </c>
      <c r="L41">
        <v>861</v>
      </c>
      <c r="M41" s="5">
        <v>8</v>
      </c>
      <c r="N41" s="5" t="s">
        <v>1658</v>
      </c>
      <c r="O41" s="5" t="s">
        <v>1667</v>
      </c>
      <c r="P41">
        <v>0</v>
      </c>
      <c r="Q41" t="s">
        <v>1660</v>
      </c>
    </row>
    <row r="42" spans="1:18" x14ac:dyDescent="0.35">
      <c r="A42" s="5" t="s">
        <v>121</v>
      </c>
      <c r="B42" s="6">
        <v>45913</v>
      </c>
      <c r="C42" s="5" t="s">
        <v>122</v>
      </c>
      <c r="D42" s="5" t="s">
        <v>202</v>
      </c>
      <c r="E42" s="5" t="s">
        <v>79</v>
      </c>
      <c r="F42" s="5" t="s">
        <v>17</v>
      </c>
      <c r="G42">
        <v>0.66319444444444442</v>
      </c>
      <c r="H42">
        <v>0.66527777777777775</v>
      </c>
      <c r="I42">
        <v>10</v>
      </c>
      <c r="J42" s="5" t="s">
        <v>18</v>
      </c>
      <c r="K42" s="5" t="s">
        <v>19</v>
      </c>
      <c r="L42">
        <v>596</v>
      </c>
      <c r="M42" s="5">
        <v>3</v>
      </c>
      <c r="N42" s="5" t="s">
        <v>1658</v>
      </c>
      <c r="O42" s="5" t="s">
        <v>1667</v>
      </c>
      <c r="P42">
        <v>1</v>
      </c>
      <c r="Q42" t="s">
        <v>1663</v>
      </c>
    </row>
    <row r="43" spans="1:18" x14ac:dyDescent="0.35">
      <c r="A43" s="5" t="s">
        <v>124</v>
      </c>
      <c r="B43" s="6">
        <v>45914</v>
      </c>
      <c r="C43" s="5" t="s">
        <v>125</v>
      </c>
      <c r="D43" s="5" t="s">
        <v>546</v>
      </c>
      <c r="E43" s="5" t="s">
        <v>71</v>
      </c>
      <c r="F43" s="5" t="s">
        <v>17</v>
      </c>
      <c r="G43">
        <v>0.79861111111111116</v>
      </c>
      <c r="H43">
        <v>0.80625000000000002</v>
      </c>
      <c r="I43">
        <v>13</v>
      </c>
      <c r="J43" s="5" t="s">
        <v>18</v>
      </c>
      <c r="K43" s="5" t="s">
        <v>19</v>
      </c>
      <c r="L43">
        <v>1511</v>
      </c>
      <c r="M43" s="5">
        <v>11</v>
      </c>
      <c r="N43" s="5" t="s">
        <v>1658</v>
      </c>
      <c r="O43" s="5" t="s">
        <v>1668</v>
      </c>
      <c r="P43">
        <v>1</v>
      </c>
      <c r="Q43" t="s">
        <v>1665</v>
      </c>
    </row>
    <row r="44" spans="1:18" x14ac:dyDescent="0.35">
      <c r="A44" s="5" t="s">
        <v>127</v>
      </c>
      <c r="B44" s="6">
        <v>45916</v>
      </c>
      <c r="C44" s="5" t="s">
        <v>128</v>
      </c>
      <c r="D44" s="5" t="s">
        <v>197</v>
      </c>
      <c r="E44" s="5" t="s">
        <v>546</v>
      </c>
      <c r="F44" s="5" t="s">
        <v>24</v>
      </c>
      <c r="G44">
        <v>0.47916666666666669</v>
      </c>
      <c r="H44">
        <v>0.50416666666666665</v>
      </c>
      <c r="I44">
        <v>22</v>
      </c>
      <c r="J44" s="5" t="s">
        <v>129</v>
      </c>
      <c r="K44" s="5" t="s">
        <v>19</v>
      </c>
      <c r="L44">
        <v>2243</v>
      </c>
      <c r="M44" s="5">
        <v>36</v>
      </c>
      <c r="N44" s="5" t="s">
        <v>1658</v>
      </c>
      <c r="O44" s="5" t="s">
        <v>1661</v>
      </c>
      <c r="P44">
        <v>0</v>
      </c>
      <c r="Q44" t="s">
        <v>1660</v>
      </c>
      <c r="R44" t="s">
        <v>1670</v>
      </c>
    </row>
    <row r="45" spans="1:18" x14ac:dyDescent="0.35">
      <c r="A45" s="5" t="s">
        <v>130</v>
      </c>
      <c r="B45" s="6">
        <v>45916</v>
      </c>
      <c r="C45" s="5" t="s">
        <v>131</v>
      </c>
      <c r="D45" s="5" t="s">
        <v>71</v>
      </c>
      <c r="E45" s="5" t="s">
        <v>202</v>
      </c>
      <c r="F45" s="5" t="s">
        <v>28</v>
      </c>
      <c r="G45">
        <v>0.85416666666666663</v>
      </c>
      <c r="H45">
        <v>0.85347222222222219</v>
      </c>
      <c r="I45">
        <v>-7</v>
      </c>
      <c r="J45" s="5" t="s">
        <v>18</v>
      </c>
      <c r="K45" s="5" t="s">
        <v>19</v>
      </c>
      <c r="L45">
        <v>1199</v>
      </c>
      <c r="M45" s="5">
        <v>-1</v>
      </c>
      <c r="N45" s="5" t="s">
        <v>1658</v>
      </c>
      <c r="O45" s="5" t="s">
        <v>1661</v>
      </c>
      <c r="P45">
        <v>1</v>
      </c>
      <c r="Q45" t="s">
        <v>1665</v>
      </c>
    </row>
    <row r="46" spans="1:18" x14ac:dyDescent="0.35">
      <c r="A46" s="5" t="s">
        <v>132</v>
      </c>
      <c r="B46" s="6">
        <v>45917</v>
      </c>
      <c r="C46" s="5" t="s">
        <v>133</v>
      </c>
      <c r="D46" s="5" t="s">
        <v>197</v>
      </c>
      <c r="E46" s="5" t="s">
        <v>79</v>
      </c>
      <c r="F46" s="5" t="s">
        <v>17</v>
      </c>
      <c r="G46">
        <v>0.67013888888888884</v>
      </c>
      <c r="H46">
        <v>0.67500000000000004</v>
      </c>
      <c r="I46">
        <v>17</v>
      </c>
      <c r="J46" s="5" t="s">
        <v>18</v>
      </c>
      <c r="K46" s="5" t="s">
        <v>19</v>
      </c>
      <c r="L46">
        <v>759</v>
      </c>
      <c r="M46" s="5">
        <v>7</v>
      </c>
      <c r="N46" s="5" t="s">
        <v>1658</v>
      </c>
      <c r="O46" s="5" t="s">
        <v>1662</v>
      </c>
      <c r="P46">
        <v>0</v>
      </c>
      <c r="Q46" t="s">
        <v>1663</v>
      </c>
    </row>
    <row r="47" spans="1:18" x14ac:dyDescent="0.35">
      <c r="A47" s="5" t="s">
        <v>134</v>
      </c>
      <c r="B47" s="6">
        <v>45917</v>
      </c>
      <c r="C47" s="5" t="s">
        <v>135</v>
      </c>
      <c r="D47" s="5" t="s">
        <v>413</v>
      </c>
      <c r="E47" s="5" t="s">
        <v>71</v>
      </c>
      <c r="F47" s="5" t="s">
        <v>24</v>
      </c>
      <c r="G47">
        <v>0.78819444444444442</v>
      </c>
      <c r="H47">
        <v>0.83402777777777781</v>
      </c>
      <c r="I47">
        <v>65</v>
      </c>
      <c r="J47" s="5" t="s">
        <v>54</v>
      </c>
      <c r="K47" s="5" t="s">
        <v>19</v>
      </c>
      <c r="L47">
        <v>1742</v>
      </c>
      <c r="M47" s="5">
        <v>66</v>
      </c>
      <c r="N47" s="5" t="s">
        <v>1658</v>
      </c>
      <c r="O47" s="5" t="s">
        <v>1662</v>
      </c>
      <c r="P47">
        <v>0</v>
      </c>
      <c r="Q47" t="s">
        <v>1665</v>
      </c>
      <c r="R47" t="s">
        <v>1657</v>
      </c>
    </row>
    <row r="48" spans="1:18" x14ac:dyDescent="0.35">
      <c r="A48" s="5" t="s">
        <v>136</v>
      </c>
      <c r="B48" s="6">
        <v>45917</v>
      </c>
      <c r="C48" s="5" t="s">
        <v>137</v>
      </c>
      <c r="D48" s="5" t="s">
        <v>226</v>
      </c>
      <c r="E48" s="5" t="s">
        <v>1295</v>
      </c>
      <c r="F48" s="5" t="s">
        <v>17</v>
      </c>
      <c r="G48">
        <v>0.80555555555555558</v>
      </c>
      <c r="I48">
        <v>-16</v>
      </c>
      <c r="J48" s="5" t="s">
        <v>18</v>
      </c>
      <c r="K48" s="5" t="s">
        <v>19</v>
      </c>
      <c r="L48">
        <v>965</v>
      </c>
      <c r="M48" s="5">
        <v>-7</v>
      </c>
      <c r="N48" s="5" t="s">
        <v>1658</v>
      </c>
      <c r="O48" s="5" t="s">
        <v>1662</v>
      </c>
      <c r="P48">
        <v>1</v>
      </c>
      <c r="Q48" t="s">
        <v>1665</v>
      </c>
    </row>
    <row r="49" spans="1:18" x14ac:dyDescent="0.35">
      <c r="A49" s="5" t="s">
        <v>138</v>
      </c>
      <c r="B49" s="6">
        <v>45918</v>
      </c>
      <c r="C49" s="5" t="s">
        <v>139</v>
      </c>
      <c r="D49" s="5" t="s">
        <v>79</v>
      </c>
      <c r="E49" s="5" t="s">
        <v>1171</v>
      </c>
      <c r="F49" s="5" t="s">
        <v>24</v>
      </c>
      <c r="G49">
        <v>0.35416666666666669</v>
      </c>
      <c r="H49">
        <v>0.3576388888888889</v>
      </c>
      <c r="I49">
        <v>10</v>
      </c>
      <c r="J49" s="5" t="s">
        <v>18</v>
      </c>
      <c r="K49" s="5" t="s">
        <v>19</v>
      </c>
      <c r="L49">
        <v>1584</v>
      </c>
      <c r="M49" s="5">
        <v>5</v>
      </c>
      <c r="N49" s="5" t="s">
        <v>1658</v>
      </c>
      <c r="O49" s="5" t="s">
        <v>1664</v>
      </c>
      <c r="P49">
        <v>1</v>
      </c>
      <c r="Q49" t="s">
        <v>1660</v>
      </c>
    </row>
    <row r="50" spans="1:18" x14ac:dyDescent="0.35">
      <c r="A50" s="5" t="s">
        <v>140</v>
      </c>
      <c r="B50" s="6">
        <v>45918</v>
      </c>
      <c r="C50" s="5" t="s">
        <v>131</v>
      </c>
      <c r="D50" s="5" t="s">
        <v>1171</v>
      </c>
      <c r="E50" s="5" t="s">
        <v>413</v>
      </c>
      <c r="F50" s="5" t="s">
        <v>38</v>
      </c>
      <c r="G50">
        <v>0.56944444444444442</v>
      </c>
      <c r="H50">
        <v>0.56874999999999998</v>
      </c>
      <c r="I50">
        <v>1</v>
      </c>
      <c r="J50" s="5" t="s">
        <v>18</v>
      </c>
      <c r="K50" s="5" t="s">
        <v>19</v>
      </c>
      <c r="L50">
        <v>370</v>
      </c>
      <c r="M50" s="5">
        <v>-1</v>
      </c>
      <c r="N50" s="5" t="s">
        <v>1658</v>
      </c>
      <c r="O50" s="5" t="s">
        <v>1664</v>
      </c>
      <c r="P50">
        <v>1</v>
      </c>
      <c r="Q50" t="s">
        <v>1663</v>
      </c>
    </row>
    <row r="51" spans="1:18" x14ac:dyDescent="0.35">
      <c r="A51" s="5" t="s">
        <v>141</v>
      </c>
      <c r="B51" s="6">
        <v>45918</v>
      </c>
      <c r="C51" s="5" t="s">
        <v>142</v>
      </c>
      <c r="D51" s="5" t="s">
        <v>413</v>
      </c>
      <c r="E51" s="5" t="s">
        <v>197</v>
      </c>
      <c r="F51" s="5" t="s">
        <v>28</v>
      </c>
      <c r="G51">
        <v>0.73958333333333337</v>
      </c>
      <c r="I51">
        <v>4</v>
      </c>
      <c r="J51" s="5" t="s">
        <v>18</v>
      </c>
      <c r="K51" s="5" t="s">
        <v>19</v>
      </c>
      <c r="L51">
        <v>2470</v>
      </c>
      <c r="M51" s="5">
        <v>2</v>
      </c>
      <c r="N51" s="5" t="s">
        <v>1658</v>
      </c>
      <c r="O51" s="5" t="s">
        <v>1664</v>
      </c>
      <c r="P51">
        <v>1</v>
      </c>
      <c r="Q51" t="s">
        <v>1665</v>
      </c>
    </row>
    <row r="52" spans="1:18" x14ac:dyDescent="0.35">
      <c r="A52" s="5" t="s">
        <v>143</v>
      </c>
      <c r="B52" s="6">
        <v>45919</v>
      </c>
      <c r="C52" s="5" t="s">
        <v>144</v>
      </c>
      <c r="D52" s="5" t="s">
        <v>413</v>
      </c>
      <c r="E52" s="5" t="s">
        <v>71</v>
      </c>
      <c r="F52" s="5" t="s">
        <v>17</v>
      </c>
      <c r="G52">
        <v>0.34722222222222221</v>
      </c>
      <c r="H52">
        <v>0.35069444444444442</v>
      </c>
      <c r="I52">
        <v>14</v>
      </c>
      <c r="J52" s="5" t="s">
        <v>18</v>
      </c>
      <c r="K52" s="5" t="s">
        <v>19</v>
      </c>
      <c r="L52">
        <v>1742</v>
      </c>
      <c r="M52" s="5">
        <v>5</v>
      </c>
      <c r="N52" s="5" t="s">
        <v>1658</v>
      </c>
      <c r="O52" s="5" t="s">
        <v>1666</v>
      </c>
      <c r="P52">
        <v>1</v>
      </c>
      <c r="Q52" t="s">
        <v>1660</v>
      </c>
    </row>
    <row r="53" spans="1:18" x14ac:dyDescent="0.35">
      <c r="A53" s="5" t="s">
        <v>145</v>
      </c>
      <c r="B53" s="6">
        <v>45919</v>
      </c>
      <c r="C53" s="5" t="s">
        <v>146</v>
      </c>
      <c r="D53" s="5" t="s">
        <v>202</v>
      </c>
      <c r="E53" s="5" t="s">
        <v>79</v>
      </c>
      <c r="F53" s="5" t="s">
        <v>17</v>
      </c>
      <c r="G53">
        <v>0.51736111111111116</v>
      </c>
      <c r="H53">
        <v>0.51736111111111116</v>
      </c>
      <c r="I53">
        <v>-8</v>
      </c>
      <c r="J53" s="5" t="s">
        <v>18</v>
      </c>
      <c r="K53" s="5" t="s">
        <v>19</v>
      </c>
      <c r="L53">
        <v>596</v>
      </c>
      <c r="M53" s="5">
        <v>0</v>
      </c>
      <c r="N53" s="5" t="s">
        <v>1658</v>
      </c>
      <c r="O53" s="5" t="s">
        <v>1666</v>
      </c>
      <c r="P53">
        <v>1</v>
      </c>
      <c r="Q53" t="s">
        <v>1663</v>
      </c>
    </row>
    <row r="54" spans="1:18" x14ac:dyDescent="0.35">
      <c r="A54" s="5" t="s">
        <v>147</v>
      </c>
      <c r="B54" s="6">
        <v>45919</v>
      </c>
      <c r="C54" s="5" t="s">
        <v>148</v>
      </c>
      <c r="D54" s="5" t="s">
        <v>1549</v>
      </c>
      <c r="E54" s="5" t="s">
        <v>413</v>
      </c>
      <c r="F54" s="5" t="s">
        <v>17</v>
      </c>
      <c r="G54">
        <v>0.63541666666666663</v>
      </c>
      <c r="H54">
        <v>0.66180555555555554</v>
      </c>
      <c r="I54">
        <v>24</v>
      </c>
      <c r="J54" s="5" t="s">
        <v>60</v>
      </c>
      <c r="K54" s="5" t="s">
        <v>19</v>
      </c>
      <c r="L54">
        <v>2606</v>
      </c>
      <c r="M54" s="5">
        <v>38</v>
      </c>
      <c r="N54" s="5" t="s">
        <v>1658</v>
      </c>
      <c r="O54" s="5" t="s">
        <v>1666</v>
      </c>
      <c r="P54">
        <v>0</v>
      </c>
      <c r="Q54" t="s">
        <v>1663</v>
      </c>
      <c r="R54" t="s">
        <v>1657</v>
      </c>
    </row>
    <row r="55" spans="1:18" x14ac:dyDescent="0.35">
      <c r="A55" s="5" t="s">
        <v>150</v>
      </c>
      <c r="B55" s="6">
        <v>45920</v>
      </c>
      <c r="C55" s="5" t="s">
        <v>151</v>
      </c>
      <c r="D55" s="5" t="s">
        <v>413</v>
      </c>
      <c r="E55" s="5" t="s">
        <v>588</v>
      </c>
      <c r="F55" s="5" t="s">
        <v>24</v>
      </c>
      <c r="G55">
        <v>0.60416666666666663</v>
      </c>
      <c r="H55">
        <v>0.59861111111111109</v>
      </c>
      <c r="I55">
        <v>-10</v>
      </c>
      <c r="J55" s="5" t="s">
        <v>18</v>
      </c>
      <c r="K55" s="5" t="s">
        <v>19</v>
      </c>
      <c r="L55">
        <v>1232</v>
      </c>
      <c r="M55" s="5">
        <v>-8</v>
      </c>
      <c r="N55" s="5" t="s">
        <v>1658</v>
      </c>
      <c r="O55" s="5" t="s">
        <v>1667</v>
      </c>
      <c r="P55">
        <v>1</v>
      </c>
      <c r="Q55" t="s">
        <v>1663</v>
      </c>
    </row>
    <row r="56" spans="1:18" x14ac:dyDescent="0.35">
      <c r="A56" s="5" t="s">
        <v>152</v>
      </c>
      <c r="B56" s="6">
        <v>45920</v>
      </c>
      <c r="C56" s="5" t="s">
        <v>153</v>
      </c>
      <c r="D56" s="5" t="s">
        <v>546</v>
      </c>
      <c r="E56" s="5" t="s">
        <v>1295</v>
      </c>
      <c r="F56" s="5" t="s">
        <v>24</v>
      </c>
      <c r="G56">
        <v>0.63194444444444442</v>
      </c>
      <c r="H56">
        <v>0.63611111111111107</v>
      </c>
      <c r="I56">
        <v>7</v>
      </c>
      <c r="J56" s="5" t="s">
        <v>18</v>
      </c>
      <c r="K56" s="5" t="s">
        <v>19</v>
      </c>
      <c r="L56">
        <v>414</v>
      </c>
      <c r="M56" s="5">
        <v>6</v>
      </c>
      <c r="N56" s="5" t="s">
        <v>1658</v>
      </c>
      <c r="O56" s="5" t="s">
        <v>1667</v>
      </c>
      <c r="P56">
        <v>1</v>
      </c>
      <c r="Q56" t="s">
        <v>1663</v>
      </c>
    </row>
    <row r="57" spans="1:18" x14ac:dyDescent="0.35">
      <c r="A57" s="5" t="s">
        <v>154</v>
      </c>
      <c r="B57" s="6">
        <v>45920</v>
      </c>
      <c r="C57" s="5" t="s">
        <v>155</v>
      </c>
      <c r="D57" s="5" t="s">
        <v>71</v>
      </c>
      <c r="E57" s="5" t="s">
        <v>226</v>
      </c>
      <c r="F57" s="5" t="s">
        <v>24</v>
      </c>
      <c r="G57">
        <v>0.87152777777777779</v>
      </c>
      <c r="H57">
        <v>0.89513888888888893</v>
      </c>
      <c r="I57">
        <v>38</v>
      </c>
      <c r="J57" s="5" t="s">
        <v>54</v>
      </c>
      <c r="K57" s="5" t="s">
        <v>19</v>
      </c>
      <c r="L57">
        <v>886</v>
      </c>
      <c r="M57" s="5">
        <v>34</v>
      </c>
      <c r="N57" s="5" t="s">
        <v>1658</v>
      </c>
      <c r="O57" s="5" t="s">
        <v>1667</v>
      </c>
      <c r="P57">
        <v>0</v>
      </c>
      <c r="Q57" t="s">
        <v>1665</v>
      </c>
      <c r="R57" t="s">
        <v>1657</v>
      </c>
    </row>
    <row r="58" spans="1:18" x14ac:dyDescent="0.35">
      <c r="A58" s="5" t="s">
        <v>156</v>
      </c>
      <c r="B58" s="6">
        <v>45921</v>
      </c>
      <c r="C58" s="5" t="s">
        <v>157</v>
      </c>
      <c r="D58" s="5" t="s">
        <v>79</v>
      </c>
      <c r="E58" s="5" t="s">
        <v>226</v>
      </c>
      <c r="F58" s="5" t="s">
        <v>28</v>
      </c>
      <c r="G58">
        <v>0.70486111111111116</v>
      </c>
      <c r="H58">
        <v>0.70486111111111116</v>
      </c>
      <c r="I58">
        <v>10</v>
      </c>
      <c r="J58" s="5" t="s">
        <v>18</v>
      </c>
      <c r="K58" s="5" t="s">
        <v>19</v>
      </c>
      <c r="L58">
        <v>1197</v>
      </c>
      <c r="M58" s="5">
        <v>0</v>
      </c>
      <c r="N58" s="5" t="s">
        <v>1658</v>
      </c>
      <c r="O58" s="5" t="s">
        <v>1668</v>
      </c>
      <c r="P58">
        <v>1</v>
      </c>
      <c r="Q58" t="s">
        <v>1663</v>
      </c>
    </row>
    <row r="59" spans="1:18" x14ac:dyDescent="0.35">
      <c r="A59" s="5" t="s">
        <v>158</v>
      </c>
      <c r="B59" s="6">
        <v>45923</v>
      </c>
      <c r="C59" s="5" t="s">
        <v>159</v>
      </c>
      <c r="D59" s="5" t="s">
        <v>79</v>
      </c>
      <c r="E59" s="5" t="s">
        <v>413</v>
      </c>
      <c r="F59" s="5" t="s">
        <v>17</v>
      </c>
      <c r="G59">
        <v>0.67013888888888884</v>
      </c>
      <c r="H59">
        <v>0.67708333333333337</v>
      </c>
      <c r="I59">
        <v>9</v>
      </c>
      <c r="J59" s="5" t="s">
        <v>18</v>
      </c>
      <c r="K59" s="5" t="s">
        <v>19</v>
      </c>
      <c r="L59">
        <v>1942</v>
      </c>
      <c r="M59" s="5">
        <v>10</v>
      </c>
      <c r="N59" s="5" t="s">
        <v>1658</v>
      </c>
      <c r="O59" s="5" t="s">
        <v>1661</v>
      </c>
      <c r="P59">
        <v>1</v>
      </c>
      <c r="Q59" t="s">
        <v>1663</v>
      </c>
    </row>
    <row r="60" spans="1:18" x14ac:dyDescent="0.35">
      <c r="A60" s="5" t="s">
        <v>160</v>
      </c>
      <c r="B60" s="6">
        <v>45924</v>
      </c>
      <c r="C60" s="5" t="s">
        <v>161</v>
      </c>
      <c r="D60" s="5" t="s">
        <v>588</v>
      </c>
      <c r="E60" s="5" t="s">
        <v>197</v>
      </c>
      <c r="F60" s="5" t="s">
        <v>17</v>
      </c>
      <c r="G60">
        <v>0.30555555555555558</v>
      </c>
      <c r="H60">
        <v>0.39097222222222222</v>
      </c>
      <c r="I60">
        <v>117</v>
      </c>
      <c r="J60" s="5" t="s">
        <v>54</v>
      </c>
      <c r="K60" s="5" t="s">
        <v>19</v>
      </c>
      <c r="L60">
        <v>1389</v>
      </c>
      <c r="M60" s="5">
        <v>123</v>
      </c>
      <c r="N60" s="5" t="s">
        <v>1658</v>
      </c>
      <c r="O60" s="5" t="s">
        <v>1662</v>
      </c>
      <c r="P60">
        <v>0</v>
      </c>
      <c r="Q60" t="s">
        <v>1660</v>
      </c>
      <c r="R60" t="s">
        <v>1657</v>
      </c>
    </row>
    <row r="61" spans="1:18" x14ac:dyDescent="0.35">
      <c r="A61" s="5" t="s">
        <v>162</v>
      </c>
      <c r="B61" s="6">
        <v>45925</v>
      </c>
      <c r="C61" s="5" t="s">
        <v>163</v>
      </c>
      <c r="D61" s="5" t="s">
        <v>226</v>
      </c>
      <c r="E61" s="5" t="s">
        <v>1171</v>
      </c>
      <c r="F61" s="5" t="s">
        <v>17</v>
      </c>
      <c r="G61">
        <v>0.33680555555555558</v>
      </c>
      <c r="I61">
        <v>0</v>
      </c>
      <c r="J61" s="5" t="s">
        <v>18</v>
      </c>
      <c r="K61" s="5" t="s">
        <v>19</v>
      </c>
      <c r="L61">
        <v>602</v>
      </c>
      <c r="M61" s="5">
        <v>12</v>
      </c>
      <c r="N61" s="5" t="s">
        <v>1658</v>
      </c>
      <c r="O61" s="5" t="s">
        <v>1664</v>
      </c>
      <c r="P61">
        <v>1</v>
      </c>
      <c r="Q61" t="s">
        <v>1660</v>
      </c>
    </row>
    <row r="62" spans="1:18" x14ac:dyDescent="0.35">
      <c r="A62" s="5" t="s">
        <v>164</v>
      </c>
      <c r="B62" s="6">
        <v>45925</v>
      </c>
      <c r="C62" s="5" t="s">
        <v>165</v>
      </c>
      <c r="D62" s="5" t="s">
        <v>1295</v>
      </c>
      <c r="E62" s="5" t="s">
        <v>79</v>
      </c>
      <c r="F62" s="5" t="s">
        <v>28</v>
      </c>
      <c r="G62">
        <v>0.61458333333333337</v>
      </c>
      <c r="H62">
        <v>0.63611111111111107</v>
      </c>
      <c r="I62">
        <v>29</v>
      </c>
      <c r="J62" s="5" t="s">
        <v>60</v>
      </c>
      <c r="K62" s="5" t="s">
        <v>19</v>
      </c>
      <c r="L62">
        <v>2134</v>
      </c>
      <c r="M62" s="5">
        <v>31</v>
      </c>
      <c r="N62" s="5" t="s">
        <v>1658</v>
      </c>
      <c r="O62" s="5" t="s">
        <v>1664</v>
      </c>
      <c r="P62">
        <v>0</v>
      </c>
      <c r="Q62" t="s">
        <v>1663</v>
      </c>
      <c r="R62" t="s">
        <v>1657</v>
      </c>
    </row>
    <row r="63" spans="1:18" x14ac:dyDescent="0.35">
      <c r="A63" s="5" t="s">
        <v>166</v>
      </c>
      <c r="B63" s="6">
        <v>45925</v>
      </c>
      <c r="C63" s="5" t="s">
        <v>167</v>
      </c>
      <c r="D63" s="5" t="s">
        <v>588</v>
      </c>
      <c r="E63" s="5" t="s">
        <v>546</v>
      </c>
      <c r="F63" s="5" t="s">
        <v>17</v>
      </c>
      <c r="G63">
        <v>0.70486111111111116</v>
      </c>
      <c r="H63">
        <v>0.70347222222222228</v>
      </c>
      <c r="I63">
        <v>-8</v>
      </c>
      <c r="J63" s="5" t="s">
        <v>18</v>
      </c>
      <c r="K63" s="5" t="s">
        <v>19</v>
      </c>
      <c r="M63" s="5">
        <v>-2</v>
      </c>
      <c r="N63" s="5" t="s">
        <v>1658</v>
      </c>
      <c r="O63" s="5" t="s">
        <v>1664</v>
      </c>
      <c r="P63">
        <v>1</v>
      </c>
      <c r="Q63" t="s">
        <v>1663</v>
      </c>
    </row>
    <row r="64" spans="1:18" x14ac:dyDescent="0.35">
      <c r="A64" s="5" t="s">
        <v>168</v>
      </c>
      <c r="B64" s="6">
        <v>45926</v>
      </c>
      <c r="C64" s="5" t="s">
        <v>169</v>
      </c>
      <c r="D64" s="5" t="s">
        <v>413</v>
      </c>
      <c r="E64" s="5" t="s">
        <v>71</v>
      </c>
      <c r="F64" s="5" t="s">
        <v>28</v>
      </c>
      <c r="G64">
        <v>0.31597222222222221</v>
      </c>
      <c r="H64">
        <v>0.32083333333333341</v>
      </c>
      <c r="I64">
        <v>7</v>
      </c>
      <c r="J64" s="5" t="s">
        <v>18</v>
      </c>
      <c r="K64" s="5" t="s">
        <v>19</v>
      </c>
      <c r="L64">
        <v>1742</v>
      </c>
      <c r="M64" s="5">
        <v>7</v>
      </c>
      <c r="N64" s="5" t="s">
        <v>1658</v>
      </c>
      <c r="O64" s="5" t="s">
        <v>1666</v>
      </c>
      <c r="P64">
        <v>1</v>
      </c>
      <c r="Q64" t="s">
        <v>1660</v>
      </c>
    </row>
    <row r="65" spans="1:18" x14ac:dyDescent="0.35">
      <c r="A65" s="5" t="s">
        <v>170</v>
      </c>
      <c r="B65" s="6">
        <v>45926</v>
      </c>
      <c r="C65" s="5" t="s">
        <v>171</v>
      </c>
      <c r="D65" s="5" t="s">
        <v>79</v>
      </c>
      <c r="E65" s="5" t="s">
        <v>1549</v>
      </c>
      <c r="F65" s="5" t="s">
        <v>17</v>
      </c>
      <c r="G65">
        <v>0.46875</v>
      </c>
      <c r="H65">
        <v>0.47499999999999998</v>
      </c>
      <c r="I65">
        <v>14</v>
      </c>
      <c r="J65" s="5" t="s">
        <v>18</v>
      </c>
      <c r="K65" s="5" t="s">
        <v>19</v>
      </c>
      <c r="L65">
        <v>945</v>
      </c>
      <c r="M65" s="5">
        <v>9</v>
      </c>
      <c r="N65" s="5" t="s">
        <v>1658</v>
      </c>
      <c r="O65" s="5" t="s">
        <v>1666</v>
      </c>
      <c r="P65">
        <v>1</v>
      </c>
      <c r="Q65" t="s">
        <v>1660</v>
      </c>
    </row>
    <row r="66" spans="1:18" x14ac:dyDescent="0.35">
      <c r="A66" s="5" t="s">
        <v>172</v>
      </c>
      <c r="B66" s="6">
        <v>45926</v>
      </c>
      <c r="C66" s="5" t="s">
        <v>173</v>
      </c>
      <c r="D66" s="5" t="s">
        <v>588</v>
      </c>
      <c r="E66" s="5" t="s">
        <v>413</v>
      </c>
      <c r="F66" s="5" t="s">
        <v>28</v>
      </c>
      <c r="G66">
        <v>0.82291666666666663</v>
      </c>
      <c r="H66">
        <v>0.83472222222222225</v>
      </c>
      <c r="I66">
        <v>12</v>
      </c>
      <c r="J66" s="5" t="s">
        <v>54</v>
      </c>
      <c r="K66" s="5" t="s">
        <v>19</v>
      </c>
      <c r="L66">
        <v>1232</v>
      </c>
      <c r="M66" s="5">
        <v>17</v>
      </c>
      <c r="N66" s="5" t="s">
        <v>1658</v>
      </c>
      <c r="O66" s="5" t="s">
        <v>1666</v>
      </c>
      <c r="P66">
        <v>1</v>
      </c>
      <c r="Q66" t="s">
        <v>1665</v>
      </c>
      <c r="R66" t="s">
        <v>1657</v>
      </c>
    </row>
    <row r="67" spans="1:18" x14ac:dyDescent="0.35">
      <c r="A67" s="5" t="s">
        <v>175</v>
      </c>
      <c r="B67" s="6">
        <v>45927</v>
      </c>
      <c r="C67" s="5" t="s">
        <v>176</v>
      </c>
      <c r="D67" s="5" t="s">
        <v>197</v>
      </c>
      <c r="E67" s="5" t="s">
        <v>202</v>
      </c>
      <c r="F67" s="5" t="s">
        <v>28</v>
      </c>
      <c r="G67">
        <v>0.49305555555555558</v>
      </c>
      <c r="H67">
        <v>0.49722222222222218</v>
      </c>
      <c r="I67">
        <v>10</v>
      </c>
      <c r="J67" s="5" t="s">
        <v>18</v>
      </c>
      <c r="K67" s="5" t="s">
        <v>19</v>
      </c>
      <c r="L67">
        <v>1092</v>
      </c>
      <c r="M67" s="5">
        <v>6</v>
      </c>
      <c r="N67" s="5" t="s">
        <v>1658</v>
      </c>
      <c r="O67" s="5" t="s">
        <v>1667</v>
      </c>
      <c r="P67">
        <v>1</v>
      </c>
      <c r="Q67" t="s">
        <v>1660</v>
      </c>
    </row>
    <row r="68" spans="1:18" x14ac:dyDescent="0.35">
      <c r="A68" s="5" t="s">
        <v>177</v>
      </c>
      <c r="B68" s="6">
        <v>45927</v>
      </c>
      <c r="C68" s="5" t="s">
        <v>178</v>
      </c>
      <c r="D68" s="5" t="s">
        <v>1171</v>
      </c>
      <c r="E68" s="5" t="s">
        <v>71</v>
      </c>
      <c r="F68" s="5" t="s">
        <v>17</v>
      </c>
      <c r="G68">
        <v>0.61805555555555558</v>
      </c>
      <c r="H68">
        <v>0.61527777777777781</v>
      </c>
      <c r="I68">
        <v>-9</v>
      </c>
      <c r="J68" s="5" t="s">
        <v>18</v>
      </c>
      <c r="K68" s="5" t="s">
        <v>19</v>
      </c>
      <c r="L68">
        <v>1438</v>
      </c>
      <c r="M68" s="5">
        <v>-4</v>
      </c>
      <c r="N68" s="5" t="s">
        <v>1658</v>
      </c>
      <c r="O68" s="5" t="s">
        <v>1667</v>
      </c>
      <c r="P68">
        <v>1</v>
      </c>
      <c r="Q68" t="s">
        <v>1663</v>
      </c>
    </row>
    <row r="69" spans="1:18" x14ac:dyDescent="0.35">
      <c r="A69" s="5" t="s">
        <v>179</v>
      </c>
      <c r="B69" s="6">
        <v>45928</v>
      </c>
      <c r="C69" s="5" t="s">
        <v>180</v>
      </c>
      <c r="D69" s="5" t="s">
        <v>197</v>
      </c>
      <c r="E69" s="5" t="s">
        <v>79</v>
      </c>
      <c r="F69" s="5" t="s">
        <v>17</v>
      </c>
      <c r="G69">
        <v>0.40277777777777779</v>
      </c>
      <c r="H69">
        <v>0.40347222222222218</v>
      </c>
      <c r="I69">
        <v>8</v>
      </c>
      <c r="J69" s="5" t="s">
        <v>18</v>
      </c>
      <c r="K69" s="5" t="s">
        <v>19</v>
      </c>
      <c r="L69">
        <v>759</v>
      </c>
      <c r="M69" s="5">
        <v>1</v>
      </c>
      <c r="N69" s="5" t="s">
        <v>1658</v>
      </c>
      <c r="O69" s="5" t="s">
        <v>1668</v>
      </c>
      <c r="P69">
        <v>1</v>
      </c>
      <c r="Q69" t="s">
        <v>1660</v>
      </c>
    </row>
    <row r="70" spans="1:18" x14ac:dyDescent="0.35">
      <c r="A70" s="5" t="s">
        <v>181</v>
      </c>
      <c r="B70" s="6">
        <v>45928</v>
      </c>
      <c r="C70" s="5" t="s">
        <v>182</v>
      </c>
      <c r="D70" s="5" t="s">
        <v>588</v>
      </c>
      <c r="E70" s="5" t="s">
        <v>71</v>
      </c>
      <c r="F70" s="5" t="s">
        <v>17</v>
      </c>
      <c r="G70">
        <v>0.47916666666666669</v>
      </c>
      <c r="H70">
        <v>0.47916666666666669</v>
      </c>
      <c r="I70">
        <v>-8</v>
      </c>
      <c r="J70" s="5" t="s">
        <v>18</v>
      </c>
      <c r="K70" s="5" t="s">
        <v>19</v>
      </c>
      <c r="L70">
        <v>802</v>
      </c>
      <c r="M70" s="5">
        <v>0</v>
      </c>
      <c r="N70" s="5" t="s">
        <v>1658</v>
      </c>
      <c r="O70" s="5" t="s">
        <v>1668</v>
      </c>
      <c r="P70">
        <v>1</v>
      </c>
      <c r="Q70" t="s">
        <v>1660</v>
      </c>
    </row>
    <row r="71" spans="1:18" x14ac:dyDescent="0.35">
      <c r="A71" s="5" t="s">
        <v>183</v>
      </c>
      <c r="B71" s="6">
        <v>45928</v>
      </c>
      <c r="C71" s="5" t="s">
        <v>184</v>
      </c>
      <c r="D71" s="5" t="s">
        <v>71</v>
      </c>
      <c r="E71" s="5" t="s">
        <v>1549</v>
      </c>
      <c r="F71" s="5" t="s">
        <v>28</v>
      </c>
      <c r="G71">
        <v>0.53472222222222221</v>
      </c>
      <c r="H71">
        <v>0.53611111111111109</v>
      </c>
      <c r="I71">
        <v>6</v>
      </c>
      <c r="J71" s="5" t="s">
        <v>18</v>
      </c>
      <c r="K71" s="5" t="s">
        <v>19</v>
      </c>
      <c r="L71">
        <v>864</v>
      </c>
      <c r="M71" s="5">
        <v>2</v>
      </c>
      <c r="N71" s="5" t="s">
        <v>1658</v>
      </c>
      <c r="O71" s="5" t="s">
        <v>1668</v>
      </c>
      <c r="P71">
        <v>1</v>
      </c>
      <c r="Q71" t="s">
        <v>1663</v>
      </c>
    </row>
    <row r="72" spans="1:18" x14ac:dyDescent="0.35">
      <c r="A72" s="5" t="s">
        <v>185</v>
      </c>
      <c r="B72" s="6">
        <v>45928</v>
      </c>
      <c r="C72" s="5" t="s">
        <v>186</v>
      </c>
      <c r="D72" s="5" t="s">
        <v>588</v>
      </c>
      <c r="E72" s="5" t="s">
        <v>1549</v>
      </c>
      <c r="F72" s="5" t="s">
        <v>24</v>
      </c>
      <c r="G72">
        <v>0.72222222222222221</v>
      </c>
      <c r="H72">
        <v>0.74652777777777779</v>
      </c>
      <c r="I72">
        <v>41</v>
      </c>
      <c r="J72" s="5" t="s">
        <v>60</v>
      </c>
      <c r="K72" s="5" t="s">
        <v>19</v>
      </c>
      <c r="L72">
        <v>1559</v>
      </c>
      <c r="M72" s="5">
        <v>35</v>
      </c>
      <c r="N72" s="5" t="s">
        <v>1658</v>
      </c>
      <c r="O72" s="5" t="s">
        <v>1668</v>
      </c>
      <c r="P72">
        <v>0</v>
      </c>
      <c r="Q72" t="s">
        <v>1665</v>
      </c>
      <c r="R72" t="s">
        <v>1657</v>
      </c>
    </row>
    <row r="73" spans="1:18" x14ac:dyDescent="0.35">
      <c r="A73" s="5" t="s">
        <v>187</v>
      </c>
      <c r="B73" s="6">
        <v>45928</v>
      </c>
      <c r="C73" s="5" t="s">
        <v>188</v>
      </c>
      <c r="D73" s="5" t="s">
        <v>197</v>
      </c>
      <c r="E73" s="5" t="s">
        <v>588</v>
      </c>
      <c r="F73" s="5" t="s">
        <v>17</v>
      </c>
      <c r="G73">
        <v>0.88541666666666663</v>
      </c>
      <c r="H73">
        <v>0.8930555555555556</v>
      </c>
      <c r="I73">
        <v>-1</v>
      </c>
      <c r="J73" s="5" t="s">
        <v>18</v>
      </c>
      <c r="K73" s="5" t="s">
        <v>19</v>
      </c>
      <c r="L73">
        <v>1389</v>
      </c>
      <c r="M73" s="5">
        <v>11</v>
      </c>
      <c r="N73" s="5" t="s">
        <v>1658</v>
      </c>
      <c r="O73" s="5" t="s">
        <v>1668</v>
      </c>
      <c r="P73">
        <v>1</v>
      </c>
      <c r="Q73" t="s">
        <v>1669</v>
      </c>
    </row>
    <row r="74" spans="1:18" x14ac:dyDescent="0.35">
      <c r="A74" s="5" t="s">
        <v>189</v>
      </c>
      <c r="B74" s="6">
        <v>45929</v>
      </c>
      <c r="C74" s="5" t="s">
        <v>190</v>
      </c>
      <c r="D74" s="5" t="s">
        <v>226</v>
      </c>
      <c r="E74" s="5" t="s">
        <v>79</v>
      </c>
      <c r="F74" s="5" t="s">
        <v>17</v>
      </c>
      <c r="G74">
        <v>0.72569444444444442</v>
      </c>
      <c r="H74">
        <v>0.74097222222222225</v>
      </c>
      <c r="I74">
        <v>25</v>
      </c>
      <c r="J74" s="5" t="s">
        <v>54</v>
      </c>
      <c r="K74" s="5" t="s">
        <v>19</v>
      </c>
      <c r="L74">
        <v>1197</v>
      </c>
      <c r="M74" s="5">
        <v>22</v>
      </c>
      <c r="N74" s="5" t="s">
        <v>1658</v>
      </c>
      <c r="O74" s="5" t="s">
        <v>1659</v>
      </c>
      <c r="P74">
        <v>0</v>
      </c>
      <c r="Q74" t="s">
        <v>1665</v>
      </c>
      <c r="R74" t="s">
        <v>1657</v>
      </c>
    </row>
    <row r="75" spans="1:18" x14ac:dyDescent="0.35">
      <c r="A75" s="5" t="s">
        <v>191</v>
      </c>
      <c r="B75" s="6">
        <v>45929</v>
      </c>
      <c r="C75" s="5" t="s">
        <v>192</v>
      </c>
      <c r="D75" s="5" t="s">
        <v>413</v>
      </c>
      <c r="E75" s="5" t="s">
        <v>79</v>
      </c>
      <c r="F75" s="5" t="s">
        <v>28</v>
      </c>
      <c r="G75">
        <v>0.78472222222222221</v>
      </c>
      <c r="H75">
        <v>0.78819444444444442</v>
      </c>
      <c r="J75" s="5" t="s">
        <v>18</v>
      </c>
      <c r="K75" s="5" t="s">
        <v>19</v>
      </c>
      <c r="L75">
        <v>1942</v>
      </c>
      <c r="M75" s="5">
        <v>5</v>
      </c>
      <c r="N75" s="5" t="s">
        <v>1658</v>
      </c>
      <c r="O75" s="5" t="s">
        <v>1659</v>
      </c>
      <c r="Q75" t="s">
        <v>1665</v>
      </c>
    </row>
    <row r="76" spans="1:18" x14ac:dyDescent="0.35">
      <c r="A76" s="5" t="s">
        <v>193</v>
      </c>
      <c r="B76" s="6">
        <v>45929</v>
      </c>
      <c r="C76" s="5" t="s">
        <v>194</v>
      </c>
      <c r="D76" s="5" t="s">
        <v>226</v>
      </c>
      <c r="E76" s="5" t="s">
        <v>413</v>
      </c>
      <c r="F76" s="5" t="s">
        <v>17</v>
      </c>
      <c r="G76">
        <v>0.84375</v>
      </c>
      <c r="H76">
        <v>0.84305555555555556</v>
      </c>
      <c r="I76">
        <v>2</v>
      </c>
      <c r="J76" s="5" t="s">
        <v>18</v>
      </c>
      <c r="K76" s="5" t="s">
        <v>19</v>
      </c>
      <c r="L76">
        <v>861</v>
      </c>
      <c r="M76" s="5">
        <v>-1</v>
      </c>
      <c r="N76" s="5" t="s">
        <v>1658</v>
      </c>
      <c r="O76" s="5" t="s">
        <v>1659</v>
      </c>
      <c r="P76">
        <v>1</v>
      </c>
      <c r="Q76" t="s">
        <v>1665</v>
      </c>
    </row>
    <row r="77" spans="1:18" x14ac:dyDescent="0.35">
      <c r="A77" s="5" t="s">
        <v>195</v>
      </c>
      <c r="B77" s="6">
        <v>45930</v>
      </c>
      <c r="C77" s="5" t="s">
        <v>196</v>
      </c>
      <c r="D77" s="5" t="s">
        <v>197</v>
      </c>
      <c r="E77" s="5" t="s">
        <v>84</v>
      </c>
      <c r="F77" s="5" t="s">
        <v>24</v>
      </c>
      <c r="G77">
        <v>0.2986111111111111</v>
      </c>
      <c r="H77">
        <v>0.2986111111111111</v>
      </c>
      <c r="I77">
        <v>-6</v>
      </c>
      <c r="J77" s="5" t="s">
        <v>18</v>
      </c>
      <c r="K77" s="5" t="s">
        <v>19</v>
      </c>
      <c r="L77">
        <v>2415</v>
      </c>
      <c r="M77" s="5">
        <v>0</v>
      </c>
      <c r="N77" s="5" t="s">
        <v>1658</v>
      </c>
      <c r="O77" s="5" t="s">
        <v>1661</v>
      </c>
      <c r="P77">
        <v>1</v>
      </c>
      <c r="Q77" t="s">
        <v>1660</v>
      </c>
    </row>
    <row r="78" spans="1:18" x14ac:dyDescent="0.35">
      <c r="A78" s="5" t="s">
        <v>198</v>
      </c>
      <c r="B78" s="6">
        <v>45930</v>
      </c>
      <c r="C78" s="5" t="s">
        <v>199</v>
      </c>
      <c r="D78" s="5" t="s">
        <v>546</v>
      </c>
      <c r="E78" s="5" t="s">
        <v>84</v>
      </c>
      <c r="F78" s="5" t="s">
        <v>17</v>
      </c>
      <c r="G78">
        <v>0.3888888888888889</v>
      </c>
      <c r="H78">
        <v>0.38680555555555562</v>
      </c>
      <c r="I78">
        <v>-5</v>
      </c>
      <c r="J78" s="5" t="s">
        <v>18</v>
      </c>
      <c r="K78" s="5" t="s">
        <v>19</v>
      </c>
      <c r="L78">
        <v>867</v>
      </c>
      <c r="M78" s="5">
        <v>-3</v>
      </c>
      <c r="N78" s="5" t="s">
        <v>1658</v>
      </c>
      <c r="O78" s="5" t="s">
        <v>1661</v>
      </c>
      <c r="P78">
        <v>1</v>
      </c>
      <c r="Q78" t="s">
        <v>1660</v>
      </c>
    </row>
    <row r="79" spans="1:18" x14ac:dyDescent="0.35">
      <c r="A79" s="5" t="s">
        <v>200</v>
      </c>
      <c r="B79" s="6">
        <v>45930</v>
      </c>
      <c r="C79" s="5" t="s">
        <v>201</v>
      </c>
      <c r="D79" s="5" t="s">
        <v>1171</v>
      </c>
      <c r="E79" s="5" t="s">
        <v>202</v>
      </c>
      <c r="F79" s="5" t="s">
        <v>17</v>
      </c>
      <c r="G79">
        <v>0.42708333333333331</v>
      </c>
      <c r="H79">
        <v>0.42986111111111108</v>
      </c>
      <c r="J79" s="5" t="s">
        <v>18</v>
      </c>
      <c r="K79" s="5" t="s">
        <v>19</v>
      </c>
      <c r="L79">
        <v>1969</v>
      </c>
      <c r="M79" s="5">
        <v>4</v>
      </c>
      <c r="N79" s="5" t="s">
        <v>1658</v>
      </c>
      <c r="O79" s="5" t="s">
        <v>1661</v>
      </c>
      <c r="Q79" t="s">
        <v>1660</v>
      </c>
    </row>
    <row r="80" spans="1:18" x14ac:dyDescent="0.35">
      <c r="A80" s="5" t="s">
        <v>203</v>
      </c>
      <c r="B80" s="6">
        <v>45931</v>
      </c>
      <c r="C80" s="5" t="s">
        <v>122</v>
      </c>
      <c r="D80" s="5" t="s">
        <v>588</v>
      </c>
      <c r="E80" s="5" t="s">
        <v>546</v>
      </c>
      <c r="F80" s="5" t="s">
        <v>17</v>
      </c>
      <c r="G80">
        <v>0.2986111111111111</v>
      </c>
      <c r="H80">
        <v>0.30416666666666659</v>
      </c>
      <c r="I80">
        <v>8</v>
      </c>
      <c r="J80" s="5" t="s">
        <v>18</v>
      </c>
      <c r="K80" s="5" t="s">
        <v>19</v>
      </c>
      <c r="L80">
        <v>1053</v>
      </c>
      <c r="M80" s="5">
        <v>8</v>
      </c>
      <c r="N80" s="5" t="s">
        <v>1671</v>
      </c>
      <c r="O80" s="5" t="s">
        <v>1662</v>
      </c>
      <c r="P80">
        <v>1</v>
      </c>
      <c r="Q80" t="s">
        <v>1660</v>
      </c>
    </row>
    <row r="81" spans="1:18" x14ac:dyDescent="0.35">
      <c r="A81" s="5" t="s">
        <v>204</v>
      </c>
      <c r="B81" s="6">
        <v>45931</v>
      </c>
      <c r="C81" s="5" t="s">
        <v>205</v>
      </c>
      <c r="D81" s="5" t="s">
        <v>79</v>
      </c>
      <c r="E81" s="5" t="s">
        <v>202</v>
      </c>
      <c r="F81" s="5" t="s">
        <v>17</v>
      </c>
      <c r="G81">
        <v>0.31597222222222221</v>
      </c>
      <c r="H81">
        <v>0.31527777777777782</v>
      </c>
      <c r="I81">
        <v>8</v>
      </c>
      <c r="J81" s="5" t="s">
        <v>18</v>
      </c>
      <c r="K81" s="5" t="s">
        <v>19</v>
      </c>
      <c r="L81">
        <v>596</v>
      </c>
      <c r="M81" s="5">
        <v>-1</v>
      </c>
      <c r="N81" s="5" t="s">
        <v>1671</v>
      </c>
      <c r="O81" s="5" t="s">
        <v>1662</v>
      </c>
      <c r="P81">
        <v>1</v>
      </c>
      <c r="Q81" t="s">
        <v>1660</v>
      </c>
    </row>
    <row r="82" spans="1:18" x14ac:dyDescent="0.35">
      <c r="A82" s="5" t="s">
        <v>206</v>
      </c>
      <c r="B82" s="6">
        <v>45931</v>
      </c>
      <c r="C82" s="5" t="s">
        <v>207</v>
      </c>
      <c r="D82" s="5" t="s">
        <v>546</v>
      </c>
      <c r="E82" s="5" t="s">
        <v>71</v>
      </c>
      <c r="F82" s="5" t="s">
        <v>24</v>
      </c>
      <c r="G82">
        <v>0.34375</v>
      </c>
      <c r="H82">
        <v>0.34930555555555548</v>
      </c>
      <c r="I82">
        <v>10</v>
      </c>
      <c r="J82" s="5" t="s">
        <v>18</v>
      </c>
      <c r="K82" s="5" t="s">
        <v>19</v>
      </c>
      <c r="L82">
        <v>1511</v>
      </c>
      <c r="M82" s="5">
        <v>8</v>
      </c>
      <c r="N82" s="5" t="s">
        <v>1671</v>
      </c>
      <c r="O82" s="5" t="s">
        <v>1662</v>
      </c>
      <c r="P82">
        <v>1</v>
      </c>
      <c r="Q82" t="s">
        <v>1660</v>
      </c>
    </row>
    <row r="83" spans="1:18" x14ac:dyDescent="0.35">
      <c r="A83" s="5" t="s">
        <v>208</v>
      </c>
      <c r="B83" s="6">
        <v>45931</v>
      </c>
      <c r="C83" s="5" t="s">
        <v>209</v>
      </c>
      <c r="D83" s="5" t="s">
        <v>1171</v>
      </c>
      <c r="E83" s="5" t="s">
        <v>1295</v>
      </c>
      <c r="F83" s="5" t="s">
        <v>17</v>
      </c>
      <c r="G83">
        <v>0.5625</v>
      </c>
      <c r="H83">
        <v>0.56319444444444444</v>
      </c>
      <c r="I83">
        <v>0</v>
      </c>
      <c r="J83" s="5" t="s">
        <v>18</v>
      </c>
      <c r="K83" s="5" t="s">
        <v>19</v>
      </c>
      <c r="M83" s="5">
        <v>1</v>
      </c>
      <c r="N83" s="5" t="s">
        <v>1671</v>
      </c>
      <c r="O83" s="5" t="s">
        <v>1662</v>
      </c>
      <c r="P83">
        <v>1</v>
      </c>
      <c r="Q83" t="s">
        <v>1663</v>
      </c>
    </row>
    <row r="84" spans="1:18" x14ac:dyDescent="0.35">
      <c r="A84" s="5" t="s">
        <v>210</v>
      </c>
      <c r="B84" s="6">
        <v>45931</v>
      </c>
      <c r="C84" s="5" t="s">
        <v>211</v>
      </c>
      <c r="D84" s="5" t="s">
        <v>79</v>
      </c>
      <c r="E84" s="5" t="s">
        <v>226</v>
      </c>
      <c r="F84" s="5" t="s">
        <v>28</v>
      </c>
      <c r="G84">
        <v>0.58333333333333337</v>
      </c>
      <c r="H84">
        <v>0.58750000000000002</v>
      </c>
      <c r="I84">
        <v>7</v>
      </c>
      <c r="J84" s="5" t="s">
        <v>18</v>
      </c>
      <c r="K84" s="5" t="s">
        <v>19</v>
      </c>
      <c r="L84">
        <v>1197</v>
      </c>
      <c r="M84" s="5">
        <v>6</v>
      </c>
      <c r="N84" s="5" t="s">
        <v>1671</v>
      </c>
      <c r="O84" s="5" t="s">
        <v>1662</v>
      </c>
      <c r="P84">
        <v>1</v>
      </c>
      <c r="Q84" t="s">
        <v>1663</v>
      </c>
    </row>
    <row r="85" spans="1:18" x14ac:dyDescent="0.35">
      <c r="A85" s="5" t="s">
        <v>212</v>
      </c>
      <c r="B85" s="6">
        <v>45931</v>
      </c>
      <c r="C85" s="5" t="s">
        <v>213</v>
      </c>
      <c r="D85" s="5" t="s">
        <v>71</v>
      </c>
      <c r="E85" s="5" t="s">
        <v>226</v>
      </c>
      <c r="F85" s="5" t="s">
        <v>24</v>
      </c>
      <c r="G85">
        <v>0.60416666666666663</v>
      </c>
      <c r="H85">
        <v>0.60277777777777775</v>
      </c>
      <c r="I85">
        <v>-6</v>
      </c>
      <c r="J85" s="5" t="s">
        <v>18</v>
      </c>
      <c r="K85" s="5" t="s">
        <v>19</v>
      </c>
      <c r="L85">
        <v>886</v>
      </c>
      <c r="M85" s="5">
        <v>-2</v>
      </c>
      <c r="N85" s="5" t="s">
        <v>1671</v>
      </c>
      <c r="O85" s="5" t="s">
        <v>1662</v>
      </c>
      <c r="P85">
        <v>1</v>
      </c>
      <c r="Q85" t="s">
        <v>1663</v>
      </c>
    </row>
    <row r="86" spans="1:18" x14ac:dyDescent="0.35">
      <c r="A86" s="5" t="s">
        <v>215</v>
      </c>
      <c r="B86" s="6">
        <v>45931</v>
      </c>
      <c r="C86" s="5" t="s">
        <v>216</v>
      </c>
      <c r="D86" s="5" t="s">
        <v>84</v>
      </c>
      <c r="E86" s="5" t="s">
        <v>202</v>
      </c>
      <c r="F86" s="5" t="s">
        <v>17</v>
      </c>
      <c r="G86">
        <v>0.74652777777777779</v>
      </c>
      <c r="H86">
        <v>0.80208333333333337</v>
      </c>
      <c r="I86">
        <v>85</v>
      </c>
      <c r="J86" s="5" t="s">
        <v>129</v>
      </c>
      <c r="K86" s="5" t="s">
        <v>19</v>
      </c>
      <c r="L86">
        <v>2722</v>
      </c>
      <c r="M86" s="5">
        <v>80</v>
      </c>
      <c r="N86" s="5" t="s">
        <v>1671</v>
      </c>
      <c r="O86" s="5" t="s">
        <v>1662</v>
      </c>
      <c r="P86">
        <v>0</v>
      </c>
      <c r="Q86" t="s">
        <v>1665</v>
      </c>
      <c r="R86" t="s">
        <v>1670</v>
      </c>
    </row>
    <row r="87" spans="1:18" x14ac:dyDescent="0.35">
      <c r="A87" s="5" t="s">
        <v>217</v>
      </c>
      <c r="B87" s="6">
        <v>45932</v>
      </c>
      <c r="C87" s="5" t="s">
        <v>218</v>
      </c>
      <c r="D87" s="5" t="s">
        <v>1549</v>
      </c>
      <c r="E87" s="5" t="s">
        <v>79</v>
      </c>
      <c r="F87" s="5" t="s">
        <v>24</v>
      </c>
      <c r="G87">
        <v>0.28125</v>
      </c>
      <c r="H87">
        <v>0.28125</v>
      </c>
      <c r="I87">
        <v>-9</v>
      </c>
      <c r="J87" s="5" t="s">
        <v>18</v>
      </c>
      <c r="K87" s="5" t="s">
        <v>19</v>
      </c>
      <c r="L87">
        <v>945</v>
      </c>
      <c r="M87" s="5">
        <v>0</v>
      </c>
      <c r="N87" s="5" t="s">
        <v>1671</v>
      </c>
      <c r="O87" s="5" t="s">
        <v>1664</v>
      </c>
      <c r="P87">
        <v>1</v>
      </c>
      <c r="Q87" t="s">
        <v>1660</v>
      </c>
    </row>
    <row r="88" spans="1:18" x14ac:dyDescent="0.35">
      <c r="A88" s="5" t="s">
        <v>219</v>
      </c>
      <c r="B88" s="6">
        <v>45932</v>
      </c>
      <c r="C88" s="5" t="s">
        <v>220</v>
      </c>
      <c r="D88" s="5" t="s">
        <v>71</v>
      </c>
      <c r="E88" s="5" t="s">
        <v>413</v>
      </c>
      <c r="F88" s="5" t="s">
        <v>24</v>
      </c>
      <c r="G88">
        <v>0.60416666666666663</v>
      </c>
      <c r="H88">
        <v>0.60972222222222228</v>
      </c>
      <c r="I88">
        <v>5</v>
      </c>
      <c r="J88" s="5" t="s">
        <v>18</v>
      </c>
      <c r="K88" s="5" t="s">
        <v>19</v>
      </c>
      <c r="L88">
        <v>1742</v>
      </c>
      <c r="M88" s="5">
        <v>8</v>
      </c>
      <c r="N88" s="5" t="s">
        <v>1671</v>
      </c>
      <c r="O88" s="5" t="s">
        <v>1664</v>
      </c>
      <c r="P88">
        <v>1</v>
      </c>
      <c r="Q88" t="s">
        <v>1663</v>
      </c>
    </row>
    <row r="89" spans="1:18" x14ac:dyDescent="0.35">
      <c r="A89" s="5" t="s">
        <v>222</v>
      </c>
      <c r="B89" s="6">
        <v>45932</v>
      </c>
      <c r="C89" s="5" t="s">
        <v>223</v>
      </c>
      <c r="D89" s="5" t="s">
        <v>202</v>
      </c>
      <c r="E89" s="5" t="s">
        <v>84</v>
      </c>
      <c r="F89" s="5" t="s">
        <v>38</v>
      </c>
      <c r="G89">
        <v>0.76041666666666663</v>
      </c>
      <c r="H89">
        <v>0.76041666666666663</v>
      </c>
      <c r="I89">
        <v>1</v>
      </c>
      <c r="J89" s="5" t="s">
        <v>18</v>
      </c>
      <c r="K89" s="5" t="s">
        <v>19</v>
      </c>
      <c r="L89">
        <v>2722</v>
      </c>
      <c r="M89" s="5">
        <v>0</v>
      </c>
      <c r="N89" s="5" t="s">
        <v>1671</v>
      </c>
      <c r="O89" s="5" t="s">
        <v>1664</v>
      </c>
      <c r="P89">
        <v>1</v>
      </c>
      <c r="Q89" t="s">
        <v>1665</v>
      </c>
    </row>
    <row r="90" spans="1:18" x14ac:dyDescent="0.35">
      <c r="A90" s="5" t="s">
        <v>224</v>
      </c>
      <c r="B90" s="6">
        <v>45932</v>
      </c>
      <c r="C90" s="5" t="s">
        <v>225</v>
      </c>
      <c r="D90" s="5" t="s">
        <v>226</v>
      </c>
      <c r="E90" s="5" t="s">
        <v>546</v>
      </c>
      <c r="F90" s="5" t="s">
        <v>17</v>
      </c>
      <c r="G90">
        <v>0.92708333333333337</v>
      </c>
      <c r="H90">
        <v>0.93541666666666667</v>
      </c>
      <c r="I90">
        <v>6</v>
      </c>
      <c r="J90" s="5" t="s">
        <v>18</v>
      </c>
      <c r="K90" s="5" t="s">
        <v>19</v>
      </c>
      <c r="L90">
        <v>627</v>
      </c>
      <c r="M90" s="5">
        <v>12</v>
      </c>
      <c r="N90" s="5" t="s">
        <v>1671</v>
      </c>
      <c r="O90" s="5" t="s">
        <v>1664</v>
      </c>
      <c r="P90">
        <v>1</v>
      </c>
      <c r="Q90" t="s">
        <v>1669</v>
      </c>
    </row>
    <row r="91" spans="1:18" x14ac:dyDescent="0.35">
      <c r="A91" s="5" t="s">
        <v>227</v>
      </c>
      <c r="B91" s="6">
        <v>45933</v>
      </c>
      <c r="C91" s="5" t="s">
        <v>228</v>
      </c>
      <c r="D91" s="5" t="s">
        <v>413</v>
      </c>
      <c r="E91" s="5" t="s">
        <v>226</v>
      </c>
      <c r="F91" s="5" t="s">
        <v>28</v>
      </c>
      <c r="G91">
        <v>0.82986111111111116</v>
      </c>
      <c r="H91">
        <v>0.83611111111111114</v>
      </c>
      <c r="I91">
        <v>17</v>
      </c>
      <c r="J91" s="5" t="s">
        <v>18</v>
      </c>
      <c r="K91" s="5" t="s">
        <v>19</v>
      </c>
      <c r="L91">
        <v>861</v>
      </c>
      <c r="M91" s="5">
        <v>9</v>
      </c>
      <c r="N91" s="5" t="s">
        <v>1671</v>
      </c>
      <c r="O91" s="5" t="s">
        <v>1666</v>
      </c>
      <c r="P91">
        <v>0</v>
      </c>
      <c r="Q91" t="s">
        <v>1665</v>
      </c>
    </row>
    <row r="92" spans="1:18" x14ac:dyDescent="0.35">
      <c r="A92" s="5" t="s">
        <v>229</v>
      </c>
      <c r="B92" s="6">
        <v>45934</v>
      </c>
      <c r="C92" s="5" t="s">
        <v>230</v>
      </c>
      <c r="D92" s="5" t="s">
        <v>413</v>
      </c>
      <c r="E92" s="5" t="s">
        <v>71</v>
      </c>
      <c r="F92" s="5" t="s">
        <v>24</v>
      </c>
      <c r="G92">
        <v>0.49652777777777779</v>
      </c>
      <c r="H92">
        <v>0.49305555555555558</v>
      </c>
      <c r="I92">
        <v>-8</v>
      </c>
      <c r="J92" s="5" t="s">
        <v>18</v>
      </c>
      <c r="K92" s="5" t="s">
        <v>19</v>
      </c>
      <c r="L92">
        <v>1742</v>
      </c>
      <c r="M92" s="5">
        <v>-5</v>
      </c>
      <c r="N92" s="5" t="s">
        <v>1671</v>
      </c>
      <c r="O92" s="5" t="s">
        <v>1667</v>
      </c>
      <c r="P92">
        <v>1</v>
      </c>
      <c r="Q92" t="s">
        <v>1660</v>
      </c>
    </row>
    <row r="93" spans="1:18" x14ac:dyDescent="0.35">
      <c r="A93" s="5" t="s">
        <v>231</v>
      </c>
      <c r="B93" s="6">
        <v>45934</v>
      </c>
      <c r="C93" s="5" t="s">
        <v>232</v>
      </c>
      <c r="D93" s="5" t="s">
        <v>413</v>
      </c>
      <c r="E93" s="5" t="s">
        <v>226</v>
      </c>
      <c r="F93" s="5" t="s">
        <v>38</v>
      </c>
      <c r="G93">
        <v>0.70138888888888884</v>
      </c>
      <c r="H93">
        <v>0.70208333333333328</v>
      </c>
      <c r="I93">
        <v>3</v>
      </c>
      <c r="J93" s="5" t="s">
        <v>18</v>
      </c>
      <c r="K93" s="5" t="s">
        <v>19</v>
      </c>
      <c r="L93">
        <v>861</v>
      </c>
      <c r="M93" s="5">
        <v>1</v>
      </c>
      <c r="N93" s="5" t="s">
        <v>1671</v>
      </c>
      <c r="O93" s="5" t="s">
        <v>1667</v>
      </c>
      <c r="P93">
        <v>1</v>
      </c>
      <c r="Q93" t="s">
        <v>1663</v>
      </c>
    </row>
    <row r="94" spans="1:18" x14ac:dyDescent="0.35">
      <c r="A94" s="5" t="s">
        <v>233</v>
      </c>
      <c r="B94" s="6">
        <v>45934</v>
      </c>
      <c r="C94" s="5" t="s">
        <v>234</v>
      </c>
      <c r="D94" s="5" t="s">
        <v>84</v>
      </c>
      <c r="E94" s="5" t="s">
        <v>1295</v>
      </c>
      <c r="F94" s="5" t="s">
        <v>28</v>
      </c>
      <c r="G94">
        <v>0.73263888888888884</v>
      </c>
      <c r="H94">
        <v>0.73124999999999996</v>
      </c>
      <c r="I94">
        <v>-7</v>
      </c>
      <c r="J94" s="5" t="s">
        <v>18</v>
      </c>
      <c r="K94" s="5" t="s">
        <v>19</v>
      </c>
      <c r="L94">
        <v>679</v>
      </c>
      <c r="M94" s="5">
        <v>-2</v>
      </c>
      <c r="N94" s="5" t="s">
        <v>1671</v>
      </c>
      <c r="O94" s="5" t="s">
        <v>1667</v>
      </c>
      <c r="P94">
        <v>1</v>
      </c>
      <c r="Q94" t="s">
        <v>1665</v>
      </c>
    </row>
    <row r="95" spans="1:18" x14ac:dyDescent="0.35">
      <c r="A95" s="5" t="s">
        <v>235</v>
      </c>
      <c r="B95" s="6">
        <v>45935</v>
      </c>
      <c r="C95" s="5" t="s">
        <v>236</v>
      </c>
      <c r="D95" s="5" t="s">
        <v>226</v>
      </c>
      <c r="E95" s="5" t="s">
        <v>1549</v>
      </c>
      <c r="F95" s="5" t="s">
        <v>28</v>
      </c>
      <c r="G95">
        <v>0.75</v>
      </c>
      <c r="H95">
        <v>0.74652777777777779</v>
      </c>
      <c r="I95">
        <v>-13</v>
      </c>
      <c r="J95" s="5" t="s">
        <v>18</v>
      </c>
      <c r="K95" s="5" t="s">
        <v>19</v>
      </c>
      <c r="L95">
        <v>1749</v>
      </c>
      <c r="M95" s="5">
        <v>-5</v>
      </c>
      <c r="N95" s="5" t="s">
        <v>1671</v>
      </c>
      <c r="O95" s="5" t="s">
        <v>1668</v>
      </c>
      <c r="P95">
        <v>1</v>
      </c>
      <c r="Q95" t="s">
        <v>1665</v>
      </c>
    </row>
    <row r="96" spans="1:18" x14ac:dyDescent="0.35">
      <c r="A96" s="5" t="s">
        <v>237</v>
      </c>
      <c r="B96" s="6">
        <v>45935</v>
      </c>
      <c r="C96" s="5" t="s">
        <v>223</v>
      </c>
      <c r="D96" s="5" t="s">
        <v>588</v>
      </c>
      <c r="E96" s="5" t="s">
        <v>1295</v>
      </c>
      <c r="F96" s="5" t="s">
        <v>38</v>
      </c>
      <c r="G96">
        <v>0.85763888888888884</v>
      </c>
      <c r="H96">
        <v>0.8569444444444444</v>
      </c>
      <c r="I96">
        <v>4</v>
      </c>
      <c r="J96" s="5" t="s">
        <v>18</v>
      </c>
      <c r="K96" s="5" t="s">
        <v>19</v>
      </c>
      <c r="L96">
        <v>1462</v>
      </c>
      <c r="M96" s="5">
        <v>-1</v>
      </c>
      <c r="N96" s="5" t="s">
        <v>1671</v>
      </c>
      <c r="O96" s="5" t="s">
        <v>1668</v>
      </c>
      <c r="P96">
        <v>1</v>
      </c>
      <c r="Q96" t="s">
        <v>1665</v>
      </c>
    </row>
    <row r="97" spans="1:18" x14ac:dyDescent="0.35">
      <c r="A97" s="5" t="s">
        <v>238</v>
      </c>
      <c r="B97" s="6">
        <v>45936</v>
      </c>
      <c r="C97" s="5" t="s">
        <v>239</v>
      </c>
      <c r="D97" s="5" t="s">
        <v>197</v>
      </c>
      <c r="E97" s="5" t="s">
        <v>1549</v>
      </c>
      <c r="F97" s="5" t="s">
        <v>17</v>
      </c>
      <c r="G97">
        <v>0.33680555555555558</v>
      </c>
      <c r="H97">
        <v>0.34166666666666667</v>
      </c>
      <c r="I97">
        <v>-2</v>
      </c>
      <c r="J97" s="5" t="s">
        <v>18</v>
      </c>
      <c r="K97" s="5" t="s">
        <v>19</v>
      </c>
      <c r="L97">
        <v>186</v>
      </c>
      <c r="M97" s="5">
        <v>7</v>
      </c>
      <c r="N97" s="5" t="s">
        <v>1671</v>
      </c>
      <c r="O97" s="5" t="s">
        <v>1659</v>
      </c>
      <c r="P97">
        <v>1</v>
      </c>
      <c r="Q97" t="s">
        <v>1660</v>
      </c>
    </row>
    <row r="98" spans="1:18" x14ac:dyDescent="0.35">
      <c r="A98" s="5" t="s">
        <v>240</v>
      </c>
      <c r="B98" s="6">
        <v>45936</v>
      </c>
      <c r="C98" s="5" t="s">
        <v>241</v>
      </c>
      <c r="D98" s="5" t="s">
        <v>197</v>
      </c>
      <c r="E98" s="5" t="s">
        <v>226</v>
      </c>
      <c r="F98" s="5" t="s">
        <v>17</v>
      </c>
      <c r="G98">
        <v>0.47222222222222221</v>
      </c>
      <c r="H98">
        <v>0.48055555555555562</v>
      </c>
      <c r="I98">
        <v>19</v>
      </c>
      <c r="J98" s="5" t="s">
        <v>18</v>
      </c>
      <c r="K98" s="5" t="s">
        <v>19</v>
      </c>
      <c r="L98">
        <v>1622</v>
      </c>
      <c r="M98" s="5">
        <v>12</v>
      </c>
      <c r="N98" s="5" t="s">
        <v>1671</v>
      </c>
      <c r="O98" s="5" t="s">
        <v>1659</v>
      </c>
      <c r="P98">
        <v>0</v>
      </c>
      <c r="Q98" t="s">
        <v>1660</v>
      </c>
    </row>
    <row r="99" spans="1:18" x14ac:dyDescent="0.35">
      <c r="A99" s="5" t="s">
        <v>242</v>
      </c>
      <c r="B99" s="6">
        <v>45936</v>
      </c>
      <c r="C99" s="5" t="s">
        <v>243</v>
      </c>
      <c r="D99" s="5" t="s">
        <v>226</v>
      </c>
      <c r="E99" s="5" t="s">
        <v>1295</v>
      </c>
      <c r="F99" s="5" t="s">
        <v>24</v>
      </c>
      <c r="G99">
        <v>0.75694444444444442</v>
      </c>
      <c r="H99">
        <v>0.75416666666666665</v>
      </c>
      <c r="I99">
        <v>-3</v>
      </c>
      <c r="J99" s="5" t="s">
        <v>18</v>
      </c>
      <c r="K99" s="5" t="s">
        <v>19</v>
      </c>
      <c r="L99">
        <v>965</v>
      </c>
      <c r="M99" s="5">
        <v>-4</v>
      </c>
      <c r="N99" s="5" t="s">
        <v>1671</v>
      </c>
      <c r="O99" s="5" t="s">
        <v>1659</v>
      </c>
      <c r="P99">
        <v>1</v>
      </c>
      <c r="Q99" t="s">
        <v>1665</v>
      </c>
    </row>
    <row r="100" spans="1:18" x14ac:dyDescent="0.35">
      <c r="A100" s="5" t="s">
        <v>244</v>
      </c>
      <c r="B100" s="6">
        <v>45936</v>
      </c>
      <c r="C100" s="5" t="s">
        <v>245</v>
      </c>
      <c r="D100" s="5" t="s">
        <v>588</v>
      </c>
      <c r="E100" s="5" t="s">
        <v>546</v>
      </c>
      <c r="F100" s="5" t="s">
        <v>17</v>
      </c>
      <c r="G100">
        <v>0.86111111111111116</v>
      </c>
      <c r="H100">
        <v>0.86736111111111114</v>
      </c>
      <c r="I100">
        <v>5</v>
      </c>
      <c r="J100" s="5" t="s">
        <v>18</v>
      </c>
      <c r="K100" s="5" t="s">
        <v>19</v>
      </c>
      <c r="L100">
        <v>1053</v>
      </c>
      <c r="M100" s="5">
        <v>9</v>
      </c>
      <c r="N100" s="5" t="s">
        <v>1671</v>
      </c>
      <c r="O100" s="5" t="s">
        <v>1659</v>
      </c>
      <c r="P100">
        <v>1</v>
      </c>
      <c r="Q100" t="s">
        <v>1665</v>
      </c>
    </row>
    <row r="101" spans="1:18" x14ac:dyDescent="0.35">
      <c r="A101" s="5" t="s">
        <v>246</v>
      </c>
      <c r="B101" s="6">
        <v>45937</v>
      </c>
      <c r="C101" s="5" t="s">
        <v>247</v>
      </c>
      <c r="D101" s="5" t="s">
        <v>79</v>
      </c>
      <c r="E101" s="5" t="s">
        <v>71</v>
      </c>
      <c r="F101" s="5" t="s">
        <v>28</v>
      </c>
      <c r="G101">
        <v>0.4513888888888889</v>
      </c>
      <c r="H101">
        <v>0.45694444444444438</v>
      </c>
      <c r="I101">
        <v>9</v>
      </c>
      <c r="J101" s="5" t="s">
        <v>18</v>
      </c>
      <c r="K101" s="5" t="s">
        <v>19</v>
      </c>
      <c r="L101">
        <v>606</v>
      </c>
      <c r="M101" s="5">
        <v>8</v>
      </c>
      <c r="N101" s="5" t="s">
        <v>1671</v>
      </c>
      <c r="O101" s="5" t="s">
        <v>1661</v>
      </c>
      <c r="P101">
        <v>1</v>
      </c>
      <c r="Q101" t="s">
        <v>1660</v>
      </c>
    </row>
    <row r="102" spans="1:18" x14ac:dyDescent="0.35">
      <c r="A102" s="5" t="s">
        <v>248</v>
      </c>
      <c r="B102" s="6">
        <v>45937</v>
      </c>
      <c r="C102" s="5" t="s">
        <v>249</v>
      </c>
      <c r="D102" s="5" t="s">
        <v>202</v>
      </c>
      <c r="E102" s="5" t="s">
        <v>71</v>
      </c>
      <c r="F102" s="5" t="s">
        <v>24</v>
      </c>
      <c r="G102">
        <v>0.60763888888888884</v>
      </c>
      <c r="H102">
        <v>0.60486111111111107</v>
      </c>
      <c r="I102">
        <v>-16</v>
      </c>
      <c r="J102" s="5" t="s">
        <v>18</v>
      </c>
      <c r="K102" s="5" t="s">
        <v>19</v>
      </c>
      <c r="L102">
        <v>1199</v>
      </c>
      <c r="M102" s="5">
        <v>-4</v>
      </c>
      <c r="N102" s="5" t="s">
        <v>1671</v>
      </c>
      <c r="O102" s="5" t="s">
        <v>1661</v>
      </c>
      <c r="P102">
        <v>1</v>
      </c>
      <c r="Q102" t="s">
        <v>1663</v>
      </c>
    </row>
    <row r="103" spans="1:18" x14ac:dyDescent="0.35">
      <c r="A103" s="5" t="s">
        <v>250</v>
      </c>
      <c r="B103" s="6">
        <v>45937</v>
      </c>
      <c r="C103" s="5" t="s">
        <v>251</v>
      </c>
      <c r="D103" s="5" t="s">
        <v>79</v>
      </c>
      <c r="E103" s="5" t="s">
        <v>197</v>
      </c>
      <c r="F103" s="5" t="s">
        <v>17</v>
      </c>
      <c r="G103">
        <v>0.64583333333333337</v>
      </c>
      <c r="H103">
        <v>0.6791666666666667</v>
      </c>
      <c r="I103">
        <v>34</v>
      </c>
      <c r="J103" s="5" t="s">
        <v>60</v>
      </c>
      <c r="K103" s="5" t="s">
        <v>19</v>
      </c>
      <c r="L103">
        <v>759</v>
      </c>
      <c r="M103" s="5">
        <v>48</v>
      </c>
      <c r="N103" s="5" t="s">
        <v>1671</v>
      </c>
      <c r="O103" s="5" t="s">
        <v>1661</v>
      </c>
      <c r="P103">
        <v>0</v>
      </c>
      <c r="Q103" t="s">
        <v>1663</v>
      </c>
      <c r="R103" t="s">
        <v>1657</v>
      </c>
    </row>
    <row r="104" spans="1:18" x14ac:dyDescent="0.35">
      <c r="A104" s="5" t="s">
        <v>252</v>
      </c>
      <c r="B104" s="6">
        <v>45937</v>
      </c>
      <c r="C104" s="5" t="s">
        <v>253</v>
      </c>
      <c r="D104" s="5" t="s">
        <v>226</v>
      </c>
      <c r="E104" s="5" t="s">
        <v>413</v>
      </c>
      <c r="F104" s="5" t="s">
        <v>28</v>
      </c>
      <c r="G104">
        <v>0.82986111111111116</v>
      </c>
      <c r="J104" s="5" t="s">
        <v>129</v>
      </c>
      <c r="K104" s="5" t="s">
        <v>254</v>
      </c>
      <c r="L104">
        <v>861</v>
      </c>
      <c r="M104" s="5"/>
      <c r="N104" s="5" t="s">
        <v>1671</v>
      </c>
      <c r="O104" s="5" t="s">
        <v>1661</v>
      </c>
      <c r="Q104" t="s">
        <v>1665</v>
      </c>
      <c r="R104" t="s">
        <v>1670</v>
      </c>
    </row>
    <row r="105" spans="1:18" x14ac:dyDescent="0.35">
      <c r="A105" s="5" t="s">
        <v>255</v>
      </c>
      <c r="B105" s="6">
        <v>45937</v>
      </c>
      <c r="C105" s="5" t="s">
        <v>256</v>
      </c>
      <c r="D105" s="5" t="s">
        <v>84</v>
      </c>
      <c r="E105" s="5" t="s">
        <v>79</v>
      </c>
      <c r="F105" s="5" t="s">
        <v>28</v>
      </c>
      <c r="G105">
        <v>0.94791666666666663</v>
      </c>
      <c r="H105">
        <v>0.95486111111111116</v>
      </c>
      <c r="I105">
        <v>6</v>
      </c>
      <c r="J105" s="5" t="s">
        <v>18</v>
      </c>
      <c r="K105" s="5" t="s">
        <v>19</v>
      </c>
      <c r="L105">
        <v>2178</v>
      </c>
      <c r="M105" s="5">
        <v>10</v>
      </c>
      <c r="N105" s="5" t="s">
        <v>1671</v>
      </c>
      <c r="O105" s="5" t="s">
        <v>1661</v>
      </c>
      <c r="P105">
        <v>1</v>
      </c>
      <c r="Q105" t="s">
        <v>1669</v>
      </c>
    </row>
    <row r="106" spans="1:18" x14ac:dyDescent="0.35">
      <c r="A106" s="5" t="s">
        <v>257</v>
      </c>
      <c r="B106" s="6">
        <v>45938</v>
      </c>
      <c r="C106" s="5" t="s">
        <v>258</v>
      </c>
      <c r="D106" s="5" t="s">
        <v>588</v>
      </c>
      <c r="E106" s="5" t="s">
        <v>202</v>
      </c>
      <c r="F106" s="5" t="s">
        <v>28</v>
      </c>
      <c r="G106">
        <v>0.44097222222222221</v>
      </c>
      <c r="H106">
        <v>0.44583333333333341</v>
      </c>
      <c r="I106">
        <v>-1</v>
      </c>
      <c r="J106" s="5" t="s">
        <v>18</v>
      </c>
      <c r="K106" s="5" t="s">
        <v>19</v>
      </c>
      <c r="L106">
        <v>1120</v>
      </c>
      <c r="M106" s="5">
        <v>7</v>
      </c>
      <c r="N106" s="5" t="s">
        <v>1671</v>
      </c>
      <c r="O106" s="5" t="s">
        <v>1662</v>
      </c>
      <c r="P106">
        <v>1</v>
      </c>
      <c r="Q106" t="s">
        <v>1660</v>
      </c>
    </row>
    <row r="107" spans="1:18" x14ac:dyDescent="0.35">
      <c r="A107" s="5" t="s">
        <v>259</v>
      </c>
      <c r="B107" s="6">
        <v>45938</v>
      </c>
      <c r="C107" s="5" t="s">
        <v>260</v>
      </c>
      <c r="D107" s="5" t="s">
        <v>197</v>
      </c>
      <c r="E107" s="5" t="s">
        <v>202</v>
      </c>
      <c r="F107" s="5" t="s">
        <v>24</v>
      </c>
      <c r="G107">
        <v>0.77430555555555558</v>
      </c>
      <c r="H107">
        <v>0.78055555555555556</v>
      </c>
      <c r="I107">
        <v>11</v>
      </c>
      <c r="J107" s="5" t="s">
        <v>18</v>
      </c>
      <c r="K107" s="5" t="s">
        <v>19</v>
      </c>
      <c r="L107">
        <v>1092</v>
      </c>
      <c r="M107" s="5">
        <v>9</v>
      </c>
      <c r="N107" s="5" t="s">
        <v>1671</v>
      </c>
      <c r="O107" s="5" t="s">
        <v>1662</v>
      </c>
      <c r="P107">
        <v>1</v>
      </c>
      <c r="Q107" t="s">
        <v>1665</v>
      </c>
    </row>
    <row r="108" spans="1:18" x14ac:dyDescent="0.35">
      <c r="A108" s="5" t="s">
        <v>261</v>
      </c>
      <c r="B108" s="6">
        <v>45939</v>
      </c>
      <c r="C108" s="5" t="s">
        <v>262</v>
      </c>
      <c r="D108" s="5" t="s">
        <v>197</v>
      </c>
      <c r="E108" s="5" t="s">
        <v>79</v>
      </c>
      <c r="F108" s="5" t="s">
        <v>24</v>
      </c>
      <c r="G108">
        <v>0.21180555555555561</v>
      </c>
      <c r="H108">
        <v>0.23958333333333329</v>
      </c>
      <c r="I108">
        <v>30</v>
      </c>
      <c r="J108" s="5" t="s">
        <v>477</v>
      </c>
      <c r="K108" s="5" t="s">
        <v>19</v>
      </c>
      <c r="L108">
        <v>759</v>
      </c>
      <c r="M108" s="5">
        <v>40</v>
      </c>
      <c r="N108" s="5" t="s">
        <v>1671</v>
      </c>
      <c r="O108" s="5" t="s">
        <v>1664</v>
      </c>
      <c r="P108">
        <v>0</v>
      </c>
      <c r="Q108" t="s">
        <v>1660</v>
      </c>
      <c r="R108" t="s">
        <v>1670</v>
      </c>
    </row>
    <row r="109" spans="1:18" x14ac:dyDescent="0.35">
      <c r="A109" s="5" t="s">
        <v>264</v>
      </c>
      <c r="B109" s="6">
        <v>45939</v>
      </c>
      <c r="C109" s="5" t="s">
        <v>265</v>
      </c>
      <c r="D109" s="5" t="s">
        <v>1549</v>
      </c>
      <c r="E109" s="5" t="s">
        <v>79</v>
      </c>
      <c r="F109" s="5" t="s">
        <v>28</v>
      </c>
      <c r="G109">
        <v>0.40625</v>
      </c>
      <c r="H109">
        <v>0.40069444444444452</v>
      </c>
      <c r="I109">
        <v>-13</v>
      </c>
      <c r="J109" s="5" t="s">
        <v>18</v>
      </c>
      <c r="K109" s="5" t="s">
        <v>19</v>
      </c>
      <c r="L109">
        <v>945</v>
      </c>
      <c r="M109" s="5">
        <v>-8</v>
      </c>
      <c r="N109" s="5" t="s">
        <v>1671</v>
      </c>
      <c r="O109" s="5" t="s">
        <v>1664</v>
      </c>
      <c r="P109">
        <v>1</v>
      </c>
      <c r="Q109" t="s">
        <v>1660</v>
      </c>
    </row>
    <row r="110" spans="1:18" x14ac:dyDescent="0.35">
      <c r="A110" s="5" t="s">
        <v>266</v>
      </c>
      <c r="B110" s="6">
        <v>45939</v>
      </c>
      <c r="C110" s="5" t="s">
        <v>267</v>
      </c>
      <c r="D110" s="5" t="s">
        <v>71</v>
      </c>
      <c r="E110" s="5" t="s">
        <v>588</v>
      </c>
      <c r="F110" s="5" t="s">
        <v>24</v>
      </c>
      <c r="G110">
        <v>0.42708333333333331</v>
      </c>
      <c r="H110">
        <v>0.42777777777777781</v>
      </c>
      <c r="I110">
        <v>-8</v>
      </c>
      <c r="J110" s="5" t="s">
        <v>18</v>
      </c>
      <c r="K110" s="5" t="s">
        <v>19</v>
      </c>
      <c r="L110">
        <v>802</v>
      </c>
      <c r="M110" s="5">
        <v>1</v>
      </c>
      <c r="N110" s="5" t="s">
        <v>1671</v>
      </c>
      <c r="O110" s="5" t="s">
        <v>1664</v>
      </c>
      <c r="P110">
        <v>1</v>
      </c>
      <c r="Q110" t="s">
        <v>1660</v>
      </c>
    </row>
    <row r="111" spans="1:18" x14ac:dyDescent="0.35">
      <c r="A111" s="5" t="s">
        <v>268</v>
      </c>
      <c r="B111" s="6">
        <v>45939</v>
      </c>
      <c r="C111" s="5" t="s">
        <v>269</v>
      </c>
      <c r="D111" s="5" t="s">
        <v>197</v>
      </c>
      <c r="E111" s="5" t="s">
        <v>71</v>
      </c>
      <c r="F111" s="5" t="s">
        <v>17</v>
      </c>
      <c r="G111">
        <v>0.66666666666666663</v>
      </c>
      <c r="H111">
        <v>0.67222222222222228</v>
      </c>
      <c r="I111">
        <v>10</v>
      </c>
      <c r="J111" s="5" t="s">
        <v>18</v>
      </c>
      <c r="K111" s="5" t="s">
        <v>19</v>
      </c>
      <c r="L111">
        <v>738</v>
      </c>
      <c r="M111" s="5">
        <v>8</v>
      </c>
      <c r="N111" s="5" t="s">
        <v>1671</v>
      </c>
      <c r="O111" s="5" t="s">
        <v>1664</v>
      </c>
      <c r="P111">
        <v>1</v>
      </c>
      <c r="Q111" t="s">
        <v>1663</v>
      </c>
    </row>
    <row r="112" spans="1:18" x14ac:dyDescent="0.35">
      <c r="A112" s="5" t="s">
        <v>270</v>
      </c>
      <c r="B112" s="6">
        <v>45940</v>
      </c>
      <c r="C112" s="5" t="s">
        <v>271</v>
      </c>
      <c r="D112" s="5" t="s">
        <v>71</v>
      </c>
      <c r="E112" s="5" t="s">
        <v>588</v>
      </c>
      <c r="F112" s="5" t="s">
        <v>28</v>
      </c>
      <c r="G112">
        <v>0.53819444444444442</v>
      </c>
      <c r="I112">
        <v>-14</v>
      </c>
      <c r="J112" s="5" t="s">
        <v>18</v>
      </c>
      <c r="K112" s="5" t="s">
        <v>19</v>
      </c>
      <c r="L112">
        <v>802</v>
      </c>
      <c r="M112" s="5">
        <v>-8</v>
      </c>
      <c r="N112" s="5" t="s">
        <v>1671</v>
      </c>
      <c r="O112" s="5" t="s">
        <v>1666</v>
      </c>
      <c r="P112">
        <v>1</v>
      </c>
      <c r="Q112" t="s">
        <v>1663</v>
      </c>
    </row>
    <row r="113" spans="1:18" x14ac:dyDescent="0.35">
      <c r="A113" s="5" t="s">
        <v>272</v>
      </c>
      <c r="B113" s="6">
        <v>45940</v>
      </c>
      <c r="C113" s="5" t="s">
        <v>273</v>
      </c>
      <c r="D113" s="5" t="s">
        <v>226</v>
      </c>
      <c r="E113" s="5" t="s">
        <v>413</v>
      </c>
      <c r="F113" s="5" t="s">
        <v>17</v>
      </c>
      <c r="G113">
        <v>0.875</v>
      </c>
      <c r="H113">
        <v>0.87430555555555556</v>
      </c>
      <c r="I113">
        <v>7</v>
      </c>
      <c r="J113" s="5" t="s">
        <v>18</v>
      </c>
      <c r="K113" s="5" t="s">
        <v>19</v>
      </c>
      <c r="L113">
        <v>861</v>
      </c>
      <c r="M113" s="5">
        <v>-1</v>
      </c>
      <c r="N113" s="5" t="s">
        <v>1671</v>
      </c>
      <c r="O113" s="5" t="s">
        <v>1666</v>
      </c>
      <c r="P113">
        <v>1</v>
      </c>
      <c r="Q113" t="s">
        <v>1669</v>
      </c>
    </row>
    <row r="114" spans="1:18" x14ac:dyDescent="0.35">
      <c r="A114" s="5" t="s">
        <v>274</v>
      </c>
      <c r="B114" s="6">
        <v>45940</v>
      </c>
      <c r="C114" s="5" t="s">
        <v>275</v>
      </c>
      <c r="D114" s="5" t="s">
        <v>1549</v>
      </c>
      <c r="E114" s="5" t="s">
        <v>588</v>
      </c>
      <c r="F114" s="5" t="s">
        <v>38</v>
      </c>
      <c r="G114">
        <v>0.91319444444444442</v>
      </c>
      <c r="H114">
        <v>0.97361111111111109</v>
      </c>
      <c r="I114">
        <v>95</v>
      </c>
      <c r="J114" s="5" t="s">
        <v>129</v>
      </c>
      <c r="K114" s="5" t="s">
        <v>19</v>
      </c>
      <c r="L114">
        <v>1559</v>
      </c>
      <c r="M114" s="5">
        <v>87</v>
      </c>
      <c r="N114" s="5" t="s">
        <v>1671</v>
      </c>
      <c r="O114" s="5" t="s">
        <v>1666</v>
      </c>
      <c r="P114">
        <v>0</v>
      </c>
      <c r="Q114" t="s">
        <v>1669</v>
      </c>
      <c r="R114" t="s">
        <v>1670</v>
      </c>
    </row>
    <row r="115" spans="1:18" x14ac:dyDescent="0.35">
      <c r="A115" s="5" t="s">
        <v>277</v>
      </c>
      <c r="B115" s="6">
        <v>45941</v>
      </c>
      <c r="C115" s="5" t="s">
        <v>278</v>
      </c>
      <c r="D115" s="5" t="s">
        <v>71</v>
      </c>
      <c r="E115" s="5" t="s">
        <v>588</v>
      </c>
      <c r="F115" s="5" t="s">
        <v>24</v>
      </c>
      <c r="G115">
        <v>0.41319444444444442</v>
      </c>
      <c r="H115">
        <v>0.41319444444444442</v>
      </c>
      <c r="I115">
        <v>-4</v>
      </c>
      <c r="J115" s="5" t="s">
        <v>18</v>
      </c>
      <c r="K115" s="5" t="s">
        <v>19</v>
      </c>
      <c r="L115">
        <v>802</v>
      </c>
      <c r="M115" s="5">
        <v>0</v>
      </c>
      <c r="N115" s="5" t="s">
        <v>1671</v>
      </c>
      <c r="O115" s="5" t="s">
        <v>1667</v>
      </c>
      <c r="P115">
        <v>1</v>
      </c>
      <c r="Q115" t="s">
        <v>1660</v>
      </c>
    </row>
    <row r="116" spans="1:18" x14ac:dyDescent="0.35">
      <c r="A116" s="5" t="s">
        <v>279</v>
      </c>
      <c r="B116" s="6">
        <v>45941</v>
      </c>
      <c r="C116" s="5" t="s">
        <v>280</v>
      </c>
      <c r="D116" s="5" t="s">
        <v>71</v>
      </c>
      <c r="E116" s="5" t="s">
        <v>413</v>
      </c>
      <c r="F116" s="5" t="s">
        <v>17</v>
      </c>
      <c r="G116">
        <v>0.44444444444444442</v>
      </c>
      <c r="H116">
        <v>0.44444444444444442</v>
      </c>
      <c r="I116">
        <v>2</v>
      </c>
      <c r="J116" s="5" t="s">
        <v>18</v>
      </c>
      <c r="K116" s="5" t="s">
        <v>19</v>
      </c>
      <c r="L116">
        <v>1742</v>
      </c>
      <c r="M116" s="5">
        <v>0</v>
      </c>
      <c r="N116" s="5" t="s">
        <v>1671</v>
      </c>
      <c r="O116" s="5" t="s">
        <v>1667</v>
      </c>
      <c r="P116">
        <v>1</v>
      </c>
      <c r="Q116" t="s">
        <v>1660</v>
      </c>
    </row>
    <row r="117" spans="1:18" x14ac:dyDescent="0.35">
      <c r="A117" s="5" t="s">
        <v>281</v>
      </c>
      <c r="B117" s="6">
        <v>45941</v>
      </c>
      <c r="C117" s="5" t="s">
        <v>282</v>
      </c>
      <c r="D117" s="5" t="s">
        <v>79</v>
      </c>
      <c r="E117" s="5" t="s">
        <v>546</v>
      </c>
      <c r="F117" s="5" t="s">
        <v>24</v>
      </c>
      <c r="G117">
        <v>0.57638888888888884</v>
      </c>
      <c r="H117">
        <v>0.63472222222222219</v>
      </c>
      <c r="I117">
        <v>84</v>
      </c>
      <c r="J117" s="5" t="s">
        <v>129</v>
      </c>
      <c r="K117" s="5" t="s">
        <v>19</v>
      </c>
      <c r="L117">
        <v>1743</v>
      </c>
      <c r="M117" s="5">
        <v>84</v>
      </c>
      <c r="N117" s="5" t="s">
        <v>1671</v>
      </c>
      <c r="O117" s="5" t="s">
        <v>1667</v>
      </c>
      <c r="P117">
        <v>0</v>
      </c>
      <c r="Q117" t="s">
        <v>1663</v>
      </c>
      <c r="R117" t="s">
        <v>1670</v>
      </c>
    </row>
    <row r="118" spans="1:18" x14ac:dyDescent="0.35">
      <c r="A118" s="5" t="s">
        <v>283</v>
      </c>
      <c r="B118" s="6">
        <v>45941</v>
      </c>
      <c r="C118" s="5" t="s">
        <v>284</v>
      </c>
      <c r="D118" s="5" t="s">
        <v>1549</v>
      </c>
      <c r="E118" s="5" t="s">
        <v>79</v>
      </c>
      <c r="F118" s="5" t="s">
        <v>28</v>
      </c>
      <c r="G118">
        <v>0.70486111111111116</v>
      </c>
      <c r="H118">
        <v>0.70694444444444449</v>
      </c>
      <c r="I118">
        <v>-6</v>
      </c>
      <c r="J118" s="5" t="s">
        <v>18</v>
      </c>
      <c r="K118" s="5" t="s">
        <v>19</v>
      </c>
      <c r="L118">
        <v>945</v>
      </c>
      <c r="M118" s="5">
        <v>3</v>
      </c>
      <c r="N118" s="5" t="s">
        <v>1671</v>
      </c>
      <c r="O118" s="5" t="s">
        <v>1667</v>
      </c>
      <c r="P118">
        <v>1</v>
      </c>
      <c r="Q118" t="s">
        <v>1663</v>
      </c>
    </row>
    <row r="119" spans="1:18" x14ac:dyDescent="0.35">
      <c r="A119" s="5" t="s">
        <v>285</v>
      </c>
      <c r="B119" s="6">
        <v>45942</v>
      </c>
      <c r="C119" s="5" t="s">
        <v>286</v>
      </c>
      <c r="D119" s="5" t="s">
        <v>84</v>
      </c>
      <c r="E119" s="5" t="s">
        <v>202</v>
      </c>
      <c r="F119" s="5" t="s">
        <v>17</v>
      </c>
      <c r="G119">
        <v>0.31597222222222221</v>
      </c>
      <c r="H119">
        <v>0.31388888888888888</v>
      </c>
      <c r="I119">
        <v>-2</v>
      </c>
      <c r="J119" s="5" t="s">
        <v>18</v>
      </c>
      <c r="K119" s="5" t="s">
        <v>19</v>
      </c>
      <c r="L119">
        <v>2722</v>
      </c>
      <c r="M119" s="5">
        <v>-3</v>
      </c>
      <c r="N119" s="5" t="s">
        <v>1671</v>
      </c>
      <c r="O119" s="5" t="s">
        <v>1668</v>
      </c>
      <c r="P119">
        <v>1</v>
      </c>
      <c r="Q119" t="s">
        <v>1660</v>
      </c>
    </row>
    <row r="120" spans="1:18" x14ac:dyDescent="0.35">
      <c r="A120" s="5" t="s">
        <v>287</v>
      </c>
      <c r="B120" s="6">
        <v>45942</v>
      </c>
      <c r="C120" s="5" t="s">
        <v>288</v>
      </c>
      <c r="D120" s="5" t="s">
        <v>197</v>
      </c>
      <c r="E120" s="5" t="s">
        <v>71</v>
      </c>
      <c r="F120" s="5" t="s">
        <v>17</v>
      </c>
      <c r="G120">
        <v>0.38541666666666669</v>
      </c>
      <c r="H120">
        <v>0.3923611111111111</v>
      </c>
      <c r="I120">
        <v>6</v>
      </c>
      <c r="J120" s="5" t="s">
        <v>18</v>
      </c>
      <c r="K120" s="5" t="s">
        <v>19</v>
      </c>
      <c r="L120">
        <v>738</v>
      </c>
      <c r="M120" s="5">
        <v>10</v>
      </c>
      <c r="N120" s="5" t="s">
        <v>1671</v>
      </c>
      <c r="O120" s="5" t="s">
        <v>1668</v>
      </c>
      <c r="P120">
        <v>1</v>
      </c>
      <c r="Q120" t="s">
        <v>1660</v>
      </c>
    </row>
    <row r="121" spans="1:18" x14ac:dyDescent="0.35">
      <c r="A121" s="5" t="s">
        <v>289</v>
      </c>
      <c r="B121" s="6">
        <v>45942</v>
      </c>
      <c r="C121" s="5" t="s">
        <v>290</v>
      </c>
      <c r="D121" s="5" t="s">
        <v>202</v>
      </c>
      <c r="E121" s="5" t="s">
        <v>1549</v>
      </c>
      <c r="F121" s="5" t="s">
        <v>24</v>
      </c>
      <c r="G121">
        <v>0.59375</v>
      </c>
      <c r="H121">
        <v>0.59722222222222221</v>
      </c>
      <c r="I121">
        <v>-4</v>
      </c>
      <c r="J121" s="5" t="s">
        <v>18</v>
      </c>
      <c r="K121" s="5" t="s">
        <v>19</v>
      </c>
      <c r="L121">
        <v>1260</v>
      </c>
      <c r="M121" s="5">
        <v>5</v>
      </c>
      <c r="N121" s="5" t="s">
        <v>1671</v>
      </c>
      <c r="O121" s="5" t="s">
        <v>1668</v>
      </c>
      <c r="P121">
        <v>1</v>
      </c>
      <c r="Q121" t="s">
        <v>1663</v>
      </c>
    </row>
    <row r="122" spans="1:18" x14ac:dyDescent="0.35">
      <c r="A122" s="5" t="s">
        <v>291</v>
      </c>
      <c r="B122" s="6">
        <v>45942</v>
      </c>
      <c r="C122" s="5" t="s">
        <v>292</v>
      </c>
      <c r="D122" s="5" t="s">
        <v>71</v>
      </c>
      <c r="E122" s="5" t="s">
        <v>226</v>
      </c>
      <c r="F122" s="5" t="s">
        <v>24</v>
      </c>
      <c r="G122">
        <v>0.61111111111111116</v>
      </c>
      <c r="H122">
        <v>0.61805555555555558</v>
      </c>
      <c r="I122">
        <v>-2</v>
      </c>
      <c r="J122" s="5" t="s">
        <v>18</v>
      </c>
      <c r="K122" s="5" t="s">
        <v>19</v>
      </c>
      <c r="L122">
        <v>886</v>
      </c>
      <c r="M122" s="5">
        <v>10</v>
      </c>
      <c r="N122" s="5" t="s">
        <v>1671</v>
      </c>
      <c r="O122" s="5" t="s">
        <v>1668</v>
      </c>
      <c r="P122">
        <v>1</v>
      </c>
      <c r="Q122" t="s">
        <v>1663</v>
      </c>
    </row>
    <row r="123" spans="1:18" x14ac:dyDescent="0.35">
      <c r="A123" s="5" t="s">
        <v>293</v>
      </c>
      <c r="B123" s="6">
        <v>45942</v>
      </c>
      <c r="C123" s="5" t="s">
        <v>294</v>
      </c>
      <c r="D123" s="5" t="s">
        <v>588</v>
      </c>
      <c r="E123" s="5" t="s">
        <v>226</v>
      </c>
      <c r="F123" s="5" t="s">
        <v>38</v>
      </c>
      <c r="G123">
        <v>0.80555555555555558</v>
      </c>
      <c r="H123">
        <v>0.80347222222222225</v>
      </c>
      <c r="I123">
        <v>0</v>
      </c>
      <c r="J123" s="5" t="s">
        <v>18</v>
      </c>
      <c r="K123" s="5" t="s">
        <v>19</v>
      </c>
      <c r="L123">
        <v>641</v>
      </c>
      <c r="M123" s="5">
        <v>-3</v>
      </c>
      <c r="N123" s="5" t="s">
        <v>1671</v>
      </c>
      <c r="O123" s="5" t="s">
        <v>1668</v>
      </c>
      <c r="P123">
        <v>1</v>
      </c>
      <c r="Q123" t="s">
        <v>1665</v>
      </c>
    </row>
    <row r="124" spans="1:18" x14ac:dyDescent="0.35">
      <c r="A124" s="5" t="s">
        <v>295</v>
      </c>
      <c r="B124" s="6">
        <v>45942</v>
      </c>
      <c r="C124" s="5" t="s">
        <v>296</v>
      </c>
      <c r="D124" s="5" t="s">
        <v>413</v>
      </c>
      <c r="E124" s="5" t="s">
        <v>226</v>
      </c>
      <c r="F124" s="5" t="s">
        <v>17</v>
      </c>
      <c r="G124">
        <v>0.88541666666666663</v>
      </c>
      <c r="H124">
        <v>0.88402777777777775</v>
      </c>
      <c r="I124">
        <v>-10</v>
      </c>
      <c r="J124" s="5" t="s">
        <v>18</v>
      </c>
      <c r="K124" s="5" t="s">
        <v>19</v>
      </c>
      <c r="L124">
        <v>861</v>
      </c>
      <c r="M124" s="5">
        <v>-2</v>
      </c>
      <c r="N124" s="5" t="s">
        <v>1671</v>
      </c>
      <c r="O124" s="5" t="s">
        <v>1668</v>
      </c>
      <c r="P124">
        <v>1</v>
      </c>
      <c r="Q124" t="s">
        <v>1669</v>
      </c>
    </row>
    <row r="125" spans="1:18" x14ac:dyDescent="0.35">
      <c r="A125" s="5" t="s">
        <v>297</v>
      </c>
      <c r="B125" s="6">
        <v>45943</v>
      </c>
      <c r="C125" s="5" t="s">
        <v>298</v>
      </c>
      <c r="D125" s="5" t="s">
        <v>413</v>
      </c>
      <c r="E125" s="5" t="s">
        <v>588</v>
      </c>
      <c r="F125" s="5" t="s">
        <v>17</v>
      </c>
      <c r="G125">
        <v>0.2638888888888889</v>
      </c>
      <c r="H125">
        <v>0.27013888888888887</v>
      </c>
      <c r="I125">
        <v>4</v>
      </c>
      <c r="J125" s="5" t="s">
        <v>18</v>
      </c>
      <c r="K125" s="5" t="s">
        <v>19</v>
      </c>
      <c r="L125">
        <v>1232</v>
      </c>
      <c r="M125" s="5">
        <v>9</v>
      </c>
      <c r="N125" s="5" t="s">
        <v>1671</v>
      </c>
      <c r="O125" s="5" t="s">
        <v>1659</v>
      </c>
      <c r="P125">
        <v>1</v>
      </c>
      <c r="Q125" t="s">
        <v>1660</v>
      </c>
    </row>
    <row r="126" spans="1:18" x14ac:dyDescent="0.35">
      <c r="A126" s="5" t="s">
        <v>299</v>
      </c>
      <c r="B126" s="6">
        <v>45943</v>
      </c>
      <c r="C126" s="5" t="s">
        <v>300</v>
      </c>
      <c r="D126" s="5" t="s">
        <v>1295</v>
      </c>
      <c r="E126" s="5" t="s">
        <v>79</v>
      </c>
      <c r="F126" s="5" t="s">
        <v>28</v>
      </c>
      <c r="G126">
        <v>0.35069444444444442</v>
      </c>
      <c r="H126">
        <v>0.37083333333333329</v>
      </c>
      <c r="I126">
        <v>14</v>
      </c>
      <c r="J126" s="5" t="s">
        <v>60</v>
      </c>
      <c r="K126" s="5" t="s">
        <v>19</v>
      </c>
      <c r="L126">
        <v>2134</v>
      </c>
      <c r="M126" s="5">
        <v>29</v>
      </c>
      <c r="N126" s="5" t="s">
        <v>1671</v>
      </c>
      <c r="O126" s="5" t="s">
        <v>1659</v>
      </c>
      <c r="P126">
        <v>1</v>
      </c>
      <c r="Q126" t="s">
        <v>1660</v>
      </c>
      <c r="R126" t="s">
        <v>1657</v>
      </c>
    </row>
    <row r="127" spans="1:18" x14ac:dyDescent="0.35">
      <c r="A127" s="5" t="s">
        <v>301</v>
      </c>
      <c r="B127" s="6">
        <v>45943</v>
      </c>
      <c r="C127" s="5" t="s">
        <v>302</v>
      </c>
      <c r="D127" s="5" t="s">
        <v>79</v>
      </c>
      <c r="E127" s="5" t="s">
        <v>197</v>
      </c>
      <c r="F127" s="5" t="s">
        <v>28</v>
      </c>
      <c r="G127">
        <v>0.41319444444444442</v>
      </c>
      <c r="H127">
        <v>0.42986111111111108</v>
      </c>
      <c r="I127">
        <v>24</v>
      </c>
      <c r="J127" s="5" t="s">
        <v>129</v>
      </c>
      <c r="K127" s="5" t="s">
        <v>19</v>
      </c>
      <c r="L127">
        <v>759</v>
      </c>
      <c r="M127" s="5">
        <v>24</v>
      </c>
      <c r="N127" s="5" t="s">
        <v>1671</v>
      </c>
      <c r="O127" s="5" t="s">
        <v>1659</v>
      </c>
      <c r="P127">
        <v>0</v>
      </c>
      <c r="Q127" t="s">
        <v>1660</v>
      </c>
      <c r="R127" t="s">
        <v>1670</v>
      </c>
    </row>
    <row r="128" spans="1:18" x14ac:dyDescent="0.35">
      <c r="A128" s="5" t="s">
        <v>304</v>
      </c>
      <c r="B128" s="6">
        <v>45943</v>
      </c>
      <c r="C128" s="5" t="s">
        <v>305</v>
      </c>
      <c r="D128" s="5" t="s">
        <v>202</v>
      </c>
      <c r="E128" s="5" t="s">
        <v>71</v>
      </c>
      <c r="F128" s="5" t="s">
        <v>17</v>
      </c>
      <c r="G128">
        <v>0.50347222222222221</v>
      </c>
      <c r="H128">
        <v>0.50486111111111109</v>
      </c>
      <c r="I128">
        <v>1</v>
      </c>
      <c r="J128" s="5" t="s">
        <v>18</v>
      </c>
      <c r="K128" s="5" t="s">
        <v>19</v>
      </c>
      <c r="L128">
        <v>1199</v>
      </c>
      <c r="M128" s="5">
        <v>2</v>
      </c>
      <c r="N128" s="5" t="s">
        <v>1671</v>
      </c>
      <c r="O128" s="5" t="s">
        <v>1659</v>
      </c>
      <c r="P128">
        <v>1</v>
      </c>
      <c r="Q128" t="s">
        <v>1663</v>
      </c>
    </row>
    <row r="129" spans="1:18" x14ac:dyDescent="0.35">
      <c r="A129" s="5" t="s">
        <v>306</v>
      </c>
      <c r="B129" s="6">
        <v>45943</v>
      </c>
      <c r="C129" s="5" t="s">
        <v>307</v>
      </c>
      <c r="D129" s="5" t="s">
        <v>197</v>
      </c>
      <c r="E129" s="5" t="s">
        <v>202</v>
      </c>
      <c r="F129" s="5" t="s">
        <v>28</v>
      </c>
      <c r="G129">
        <v>0.77430555555555558</v>
      </c>
      <c r="H129">
        <v>0.77361111111111114</v>
      </c>
      <c r="I129">
        <v>8</v>
      </c>
      <c r="J129" s="5" t="s">
        <v>18</v>
      </c>
      <c r="K129" s="5" t="s">
        <v>19</v>
      </c>
      <c r="L129">
        <v>1092</v>
      </c>
      <c r="M129" s="5">
        <v>-1</v>
      </c>
      <c r="N129" s="5" t="s">
        <v>1671</v>
      </c>
      <c r="O129" s="5" t="s">
        <v>1659</v>
      </c>
      <c r="P129">
        <v>1</v>
      </c>
      <c r="Q129" t="s">
        <v>1665</v>
      </c>
    </row>
    <row r="130" spans="1:18" x14ac:dyDescent="0.35">
      <c r="A130" s="5" t="s">
        <v>308</v>
      </c>
      <c r="B130" s="6">
        <v>45944</v>
      </c>
      <c r="C130" s="5" t="s">
        <v>309</v>
      </c>
      <c r="D130" s="5" t="s">
        <v>588</v>
      </c>
      <c r="E130" s="5" t="s">
        <v>79</v>
      </c>
      <c r="F130" s="5" t="s">
        <v>17</v>
      </c>
      <c r="G130">
        <v>0.3298611111111111</v>
      </c>
      <c r="H130">
        <v>0.32916666666666672</v>
      </c>
      <c r="I130">
        <v>1</v>
      </c>
      <c r="J130" s="5" t="s">
        <v>18</v>
      </c>
      <c r="K130" s="5" t="s">
        <v>19</v>
      </c>
      <c r="L130">
        <v>730</v>
      </c>
      <c r="M130" s="5">
        <v>-1</v>
      </c>
      <c r="N130" s="5" t="s">
        <v>1671</v>
      </c>
      <c r="O130" s="5" t="s">
        <v>1661</v>
      </c>
      <c r="P130">
        <v>1</v>
      </c>
      <c r="Q130" t="s">
        <v>1660</v>
      </c>
    </row>
    <row r="131" spans="1:18" x14ac:dyDescent="0.35">
      <c r="A131" s="5" t="s">
        <v>310</v>
      </c>
      <c r="B131" s="6">
        <v>45944</v>
      </c>
      <c r="C131" s="5" t="s">
        <v>205</v>
      </c>
      <c r="D131" s="5" t="s">
        <v>413</v>
      </c>
      <c r="E131" s="5" t="s">
        <v>202</v>
      </c>
      <c r="F131" s="5" t="s">
        <v>28</v>
      </c>
      <c r="G131">
        <v>0.40972222222222221</v>
      </c>
      <c r="H131">
        <v>0.41736111111111113</v>
      </c>
      <c r="I131">
        <v>13</v>
      </c>
      <c r="J131" s="5" t="s">
        <v>18</v>
      </c>
      <c r="K131" s="5" t="s">
        <v>19</v>
      </c>
      <c r="L131">
        <v>2338</v>
      </c>
      <c r="M131" s="5">
        <v>11</v>
      </c>
      <c r="N131" s="5" t="s">
        <v>1671</v>
      </c>
      <c r="O131" s="5" t="s">
        <v>1661</v>
      </c>
      <c r="P131">
        <v>1</v>
      </c>
      <c r="Q131" t="s">
        <v>1660</v>
      </c>
    </row>
    <row r="132" spans="1:18" x14ac:dyDescent="0.35">
      <c r="A132" s="5" t="s">
        <v>311</v>
      </c>
      <c r="B132" s="6">
        <v>45944</v>
      </c>
      <c r="C132" s="5" t="s">
        <v>312</v>
      </c>
      <c r="D132" s="5" t="s">
        <v>413</v>
      </c>
      <c r="E132" s="5" t="s">
        <v>197</v>
      </c>
      <c r="F132" s="5" t="s">
        <v>17</v>
      </c>
      <c r="G132">
        <v>0.76388888888888884</v>
      </c>
      <c r="H132">
        <v>0.77708333333333335</v>
      </c>
      <c r="I132">
        <v>20</v>
      </c>
      <c r="J132" s="5" t="s">
        <v>129</v>
      </c>
      <c r="K132" s="5" t="s">
        <v>19</v>
      </c>
      <c r="L132">
        <v>2470</v>
      </c>
      <c r="M132" s="5">
        <v>19</v>
      </c>
      <c r="N132" s="5" t="s">
        <v>1671</v>
      </c>
      <c r="O132" s="5" t="s">
        <v>1661</v>
      </c>
      <c r="P132">
        <v>0</v>
      </c>
      <c r="Q132" t="s">
        <v>1665</v>
      </c>
      <c r="R132" t="s">
        <v>1670</v>
      </c>
    </row>
    <row r="133" spans="1:18" x14ac:dyDescent="0.35">
      <c r="A133" s="5" t="s">
        <v>313</v>
      </c>
      <c r="B133" s="6">
        <v>45945</v>
      </c>
      <c r="C133" s="5" t="s">
        <v>314</v>
      </c>
      <c r="D133" s="5" t="s">
        <v>546</v>
      </c>
      <c r="E133" s="5" t="s">
        <v>1171</v>
      </c>
      <c r="F133" s="5" t="s">
        <v>17</v>
      </c>
      <c r="G133">
        <v>0.41666666666666669</v>
      </c>
      <c r="H133">
        <v>0.42083333333333328</v>
      </c>
      <c r="I133">
        <v>-5</v>
      </c>
      <c r="J133" s="5" t="s">
        <v>18</v>
      </c>
      <c r="K133" s="5" t="s">
        <v>19</v>
      </c>
      <c r="L133">
        <v>256</v>
      </c>
      <c r="M133" s="5">
        <v>6</v>
      </c>
      <c r="N133" s="5" t="s">
        <v>1671</v>
      </c>
      <c r="O133" s="5" t="s">
        <v>1662</v>
      </c>
      <c r="P133">
        <v>1</v>
      </c>
      <c r="Q133" t="s">
        <v>1660</v>
      </c>
    </row>
    <row r="134" spans="1:18" x14ac:dyDescent="0.35">
      <c r="A134" s="5" t="s">
        <v>315</v>
      </c>
      <c r="B134" s="6">
        <v>45945</v>
      </c>
      <c r="C134" s="5" t="s">
        <v>316</v>
      </c>
      <c r="D134" s="5" t="s">
        <v>588</v>
      </c>
      <c r="E134" s="5" t="s">
        <v>1549</v>
      </c>
      <c r="F134" s="5" t="s">
        <v>17</v>
      </c>
      <c r="G134">
        <v>0.4375</v>
      </c>
      <c r="H134">
        <v>0.44444444444444442</v>
      </c>
      <c r="I134">
        <v>11</v>
      </c>
      <c r="J134" s="5" t="s">
        <v>18</v>
      </c>
      <c r="K134" s="5" t="s">
        <v>19</v>
      </c>
      <c r="L134">
        <v>1559</v>
      </c>
      <c r="M134" s="5">
        <v>10</v>
      </c>
      <c r="N134" s="5" t="s">
        <v>1671</v>
      </c>
      <c r="O134" s="5" t="s">
        <v>1662</v>
      </c>
      <c r="P134">
        <v>1</v>
      </c>
      <c r="Q134" t="s">
        <v>1660</v>
      </c>
    </row>
    <row r="135" spans="1:18" x14ac:dyDescent="0.35">
      <c r="A135" s="5" t="s">
        <v>317</v>
      </c>
      <c r="B135" s="6">
        <v>45945</v>
      </c>
      <c r="C135" s="5" t="s">
        <v>318</v>
      </c>
      <c r="D135" s="5" t="s">
        <v>79</v>
      </c>
      <c r="E135" s="5" t="s">
        <v>84</v>
      </c>
      <c r="F135" s="5" t="s">
        <v>24</v>
      </c>
      <c r="G135">
        <v>0.75347222222222221</v>
      </c>
      <c r="H135">
        <v>0.77708333333333335</v>
      </c>
      <c r="I135">
        <v>31</v>
      </c>
      <c r="J135" s="5" t="s">
        <v>319</v>
      </c>
      <c r="K135" s="5" t="s">
        <v>19</v>
      </c>
      <c r="L135">
        <v>2178</v>
      </c>
      <c r="M135" s="5">
        <v>34</v>
      </c>
      <c r="N135" s="5" t="s">
        <v>1671</v>
      </c>
      <c r="O135" s="5" t="s">
        <v>1662</v>
      </c>
      <c r="P135">
        <v>0</v>
      </c>
      <c r="Q135" t="s">
        <v>1665</v>
      </c>
      <c r="R135" t="s">
        <v>1670</v>
      </c>
    </row>
    <row r="136" spans="1:18" x14ac:dyDescent="0.35">
      <c r="A136" s="5" t="s">
        <v>320</v>
      </c>
      <c r="B136" s="6">
        <v>45945</v>
      </c>
      <c r="C136" s="5" t="s">
        <v>298</v>
      </c>
      <c r="D136" s="5" t="s">
        <v>84</v>
      </c>
      <c r="E136" s="5" t="s">
        <v>546</v>
      </c>
      <c r="F136" s="5" t="s">
        <v>38</v>
      </c>
      <c r="G136">
        <v>0.78819444444444442</v>
      </c>
      <c r="H136">
        <v>0.79166666666666663</v>
      </c>
      <c r="I136">
        <v>-7</v>
      </c>
      <c r="J136" s="5" t="s">
        <v>18</v>
      </c>
      <c r="K136" s="5" t="s">
        <v>19</v>
      </c>
      <c r="L136">
        <v>867</v>
      </c>
      <c r="M136" s="5">
        <v>5</v>
      </c>
      <c r="N136" s="5" t="s">
        <v>1671</v>
      </c>
      <c r="O136" s="5" t="s">
        <v>1662</v>
      </c>
      <c r="P136">
        <v>1</v>
      </c>
      <c r="Q136" t="s">
        <v>1665</v>
      </c>
    </row>
    <row r="137" spans="1:18" x14ac:dyDescent="0.35">
      <c r="A137" s="5" t="s">
        <v>321</v>
      </c>
      <c r="B137" s="6">
        <v>45946</v>
      </c>
      <c r="C137" s="5" t="s">
        <v>322</v>
      </c>
      <c r="D137" s="5" t="s">
        <v>202</v>
      </c>
      <c r="E137" s="5" t="s">
        <v>79</v>
      </c>
      <c r="F137" s="5" t="s">
        <v>28</v>
      </c>
      <c r="G137">
        <v>0.36458333333333331</v>
      </c>
      <c r="H137">
        <v>0.36249999999999999</v>
      </c>
      <c r="I137">
        <v>1</v>
      </c>
      <c r="J137" s="5" t="s">
        <v>18</v>
      </c>
      <c r="K137" s="5" t="s">
        <v>19</v>
      </c>
      <c r="L137">
        <v>596</v>
      </c>
      <c r="M137" s="5">
        <v>-3</v>
      </c>
      <c r="N137" s="5" t="s">
        <v>1671</v>
      </c>
      <c r="O137" s="5" t="s">
        <v>1664</v>
      </c>
      <c r="P137">
        <v>1</v>
      </c>
      <c r="Q137" t="s">
        <v>1660</v>
      </c>
    </row>
    <row r="138" spans="1:18" x14ac:dyDescent="0.35">
      <c r="A138" s="5" t="s">
        <v>323</v>
      </c>
      <c r="B138" s="6">
        <v>45946</v>
      </c>
      <c r="C138" s="5" t="s">
        <v>324</v>
      </c>
      <c r="D138" s="5" t="s">
        <v>1549</v>
      </c>
      <c r="E138" s="5" t="s">
        <v>84</v>
      </c>
      <c r="F138" s="5" t="s">
        <v>24</v>
      </c>
      <c r="G138">
        <v>0.44791666666666669</v>
      </c>
      <c r="H138">
        <v>0.46388888888888891</v>
      </c>
      <c r="I138">
        <v>23</v>
      </c>
      <c r="J138" s="5" t="s">
        <v>477</v>
      </c>
      <c r="K138" s="5" t="s">
        <v>19</v>
      </c>
      <c r="L138">
        <v>2489</v>
      </c>
      <c r="M138" s="5">
        <v>23</v>
      </c>
      <c r="N138" s="5" t="s">
        <v>1671</v>
      </c>
      <c r="O138" s="5" t="s">
        <v>1664</v>
      </c>
      <c r="P138">
        <v>0</v>
      </c>
      <c r="Q138" t="s">
        <v>1660</v>
      </c>
      <c r="R138" t="s">
        <v>1670</v>
      </c>
    </row>
    <row r="139" spans="1:18" x14ac:dyDescent="0.35">
      <c r="A139" s="5" t="s">
        <v>326</v>
      </c>
      <c r="B139" s="6">
        <v>45946</v>
      </c>
      <c r="C139" s="5" t="s">
        <v>327</v>
      </c>
      <c r="D139" s="5" t="s">
        <v>197</v>
      </c>
      <c r="E139" s="5" t="s">
        <v>84</v>
      </c>
      <c r="F139" s="5" t="s">
        <v>17</v>
      </c>
      <c r="G139">
        <v>0.46180555555555558</v>
      </c>
      <c r="H139">
        <v>0.46944444444444439</v>
      </c>
      <c r="I139">
        <v>9</v>
      </c>
      <c r="J139" s="5" t="s">
        <v>18</v>
      </c>
      <c r="K139" s="5" t="s">
        <v>19</v>
      </c>
      <c r="L139">
        <v>2415</v>
      </c>
      <c r="M139" s="5">
        <v>11</v>
      </c>
      <c r="N139" s="5" t="s">
        <v>1671</v>
      </c>
      <c r="O139" s="5" t="s">
        <v>1664</v>
      </c>
      <c r="P139">
        <v>1</v>
      </c>
      <c r="Q139" t="s">
        <v>1660</v>
      </c>
    </row>
    <row r="140" spans="1:18" x14ac:dyDescent="0.35">
      <c r="A140" s="5" t="s">
        <v>329</v>
      </c>
      <c r="B140" s="6">
        <v>45946</v>
      </c>
      <c r="C140" s="5" t="s">
        <v>330</v>
      </c>
      <c r="D140" s="5" t="s">
        <v>71</v>
      </c>
      <c r="E140" s="5" t="s">
        <v>202</v>
      </c>
      <c r="F140" s="5" t="s">
        <v>17</v>
      </c>
      <c r="G140">
        <v>0.78472222222222221</v>
      </c>
      <c r="H140">
        <v>0.78402777777777777</v>
      </c>
      <c r="I140">
        <v>-10</v>
      </c>
      <c r="J140" s="5" t="s">
        <v>18</v>
      </c>
      <c r="K140" s="5" t="s">
        <v>19</v>
      </c>
      <c r="L140">
        <v>1199</v>
      </c>
      <c r="M140" s="5">
        <v>-1</v>
      </c>
      <c r="N140" s="5" t="s">
        <v>1671</v>
      </c>
      <c r="O140" s="5" t="s">
        <v>1664</v>
      </c>
      <c r="P140">
        <v>1</v>
      </c>
      <c r="Q140" t="s">
        <v>1665</v>
      </c>
    </row>
    <row r="141" spans="1:18" x14ac:dyDescent="0.35">
      <c r="A141" s="5" t="s">
        <v>331</v>
      </c>
      <c r="B141" s="6">
        <v>45946</v>
      </c>
      <c r="C141" s="5" t="s">
        <v>332</v>
      </c>
      <c r="D141" s="5" t="s">
        <v>1171</v>
      </c>
      <c r="E141" s="5" t="s">
        <v>202</v>
      </c>
      <c r="F141" s="5" t="s">
        <v>28</v>
      </c>
      <c r="G141">
        <v>0.84375</v>
      </c>
      <c r="H141">
        <v>0.85069444444444442</v>
      </c>
      <c r="I141">
        <v>9</v>
      </c>
      <c r="J141" s="5" t="s">
        <v>18</v>
      </c>
      <c r="K141" s="5" t="s">
        <v>19</v>
      </c>
      <c r="L141">
        <v>1969</v>
      </c>
      <c r="M141" s="5">
        <v>10</v>
      </c>
      <c r="N141" s="5" t="s">
        <v>1671</v>
      </c>
      <c r="O141" s="5" t="s">
        <v>1664</v>
      </c>
      <c r="P141">
        <v>1</v>
      </c>
      <c r="Q141" t="s">
        <v>1665</v>
      </c>
    </row>
    <row r="142" spans="1:18" x14ac:dyDescent="0.35">
      <c r="A142" s="5" t="s">
        <v>333</v>
      </c>
      <c r="B142" s="6">
        <v>45947</v>
      </c>
      <c r="C142" s="5" t="s">
        <v>334</v>
      </c>
      <c r="D142" s="5" t="s">
        <v>546</v>
      </c>
      <c r="E142" s="5" t="s">
        <v>71</v>
      </c>
      <c r="F142" s="5" t="s">
        <v>17</v>
      </c>
      <c r="G142">
        <v>0.27430555555555558</v>
      </c>
      <c r="H142">
        <v>0.2722222222222222</v>
      </c>
      <c r="I142">
        <v>5</v>
      </c>
      <c r="J142" s="5" t="s">
        <v>18</v>
      </c>
      <c r="K142" s="5" t="s">
        <v>19</v>
      </c>
      <c r="L142">
        <v>1511</v>
      </c>
      <c r="M142" s="5">
        <v>-3</v>
      </c>
      <c r="N142" s="5" t="s">
        <v>1671</v>
      </c>
      <c r="O142" s="5" t="s">
        <v>1666</v>
      </c>
      <c r="P142">
        <v>1</v>
      </c>
      <c r="Q142" t="s">
        <v>1660</v>
      </c>
    </row>
    <row r="143" spans="1:18" x14ac:dyDescent="0.35">
      <c r="A143" s="5" t="s">
        <v>335</v>
      </c>
      <c r="B143" s="6">
        <v>45947</v>
      </c>
      <c r="C143" s="5" t="s">
        <v>336</v>
      </c>
      <c r="D143" s="5" t="s">
        <v>71</v>
      </c>
      <c r="E143" s="5" t="s">
        <v>588</v>
      </c>
      <c r="F143" s="5" t="s">
        <v>24</v>
      </c>
      <c r="G143">
        <v>0.67708333333333337</v>
      </c>
      <c r="H143">
        <v>0.68194444444444446</v>
      </c>
      <c r="I143">
        <v>6</v>
      </c>
      <c r="J143" s="5" t="s">
        <v>18</v>
      </c>
      <c r="K143" s="5" t="s">
        <v>19</v>
      </c>
      <c r="L143">
        <v>802</v>
      </c>
      <c r="M143" s="5">
        <v>7</v>
      </c>
      <c r="N143" s="5" t="s">
        <v>1671</v>
      </c>
      <c r="O143" s="5" t="s">
        <v>1666</v>
      </c>
      <c r="P143">
        <v>1</v>
      </c>
      <c r="Q143" t="s">
        <v>1663</v>
      </c>
    </row>
    <row r="144" spans="1:18" x14ac:dyDescent="0.35">
      <c r="A144" s="5" t="s">
        <v>337</v>
      </c>
      <c r="B144" s="6">
        <v>45947</v>
      </c>
      <c r="C144" s="5" t="s">
        <v>338</v>
      </c>
      <c r="D144" s="5" t="s">
        <v>588</v>
      </c>
      <c r="E144" s="5" t="s">
        <v>413</v>
      </c>
      <c r="F144" s="5" t="s">
        <v>24</v>
      </c>
      <c r="G144">
        <v>0.83333333333333337</v>
      </c>
      <c r="H144">
        <v>0.84861111111111109</v>
      </c>
      <c r="I144">
        <v>13</v>
      </c>
      <c r="J144" s="5" t="s">
        <v>54</v>
      </c>
      <c r="K144" s="5" t="s">
        <v>19</v>
      </c>
      <c r="L144">
        <v>1232</v>
      </c>
      <c r="M144" s="5">
        <v>22</v>
      </c>
      <c r="N144" s="5" t="s">
        <v>1671</v>
      </c>
      <c r="O144" s="5" t="s">
        <v>1666</v>
      </c>
      <c r="P144">
        <v>1</v>
      </c>
      <c r="Q144" t="s">
        <v>1665</v>
      </c>
      <c r="R144" t="s">
        <v>1657</v>
      </c>
    </row>
    <row r="145" spans="1:18" x14ac:dyDescent="0.35">
      <c r="A145" s="5" t="s">
        <v>339</v>
      </c>
      <c r="B145" s="6">
        <v>45948</v>
      </c>
      <c r="C145" s="5" t="s">
        <v>340</v>
      </c>
      <c r="D145" s="5" t="s">
        <v>202</v>
      </c>
      <c r="E145" s="5" t="s">
        <v>588</v>
      </c>
      <c r="F145" s="5" t="s">
        <v>24</v>
      </c>
      <c r="G145">
        <v>0.22916666666666671</v>
      </c>
      <c r="H145">
        <v>0.24930555555555561</v>
      </c>
      <c r="I145">
        <v>33</v>
      </c>
      <c r="J145" s="5" t="s">
        <v>54</v>
      </c>
      <c r="K145" s="5" t="s">
        <v>19</v>
      </c>
      <c r="L145">
        <v>1120</v>
      </c>
      <c r="M145" s="5">
        <v>29</v>
      </c>
      <c r="N145" s="5" t="s">
        <v>1671</v>
      </c>
      <c r="O145" s="5" t="s">
        <v>1667</v>
      </c>
      <c r="P145">
        <v>0</v>
      </c>
      <c r="Q145" t="s">
        <v>1660</v>
      </c>
      <c r="R145" t="s">
        <v>1657</v>
      </c>
    </row>
    <row r="146" spans="1:18" x14ac:dyDescent="0.35">
      <c r="A146" s="5" t="s">
        <v>341</v>
      </c>
      <c r="B146" s="6">
        <v>45948</v>
      </c>
      <c r="C146" s="5" t="s">
        <v>342</v>
      </c>
      <c r="D146" s="5" t="s">
        <v>79</v>
      </c>
      <c r="E146" s="5" t="s">
        <v>1295</v>
      </c>
      <c r="F146" s="5" t="s">
        <v>17</v>
      </c>
      <c r="G146">
        <v>0.34027777777777779</v>
      </c>
      <c r="H146">
        <v>0.3347222222222222</v>
      </c>
      <c r="I146">
        <v>-8</v>
      </c>
      <c r="J146" s="5" t="s">
        <v>18</v>
      </c>
      <c r="K146" s="5" t="s">
        <v>19</v>
      </c>
      <c r="L146">
        <v>2134</v>
      </c>
      <c r="M146" s="5">
        <v>-8</v>
      </c>
      <c r="N146" s="5" t="s">
        <v>1671</v>
      </c>
      <c r="O146" s="5" t="s">
        <v>1667</v>
      </c>
      <c r="P146">
        <v>1</v>
      </c>
      <c r="Q146" t="s">
        <v>1660</v>
      </c>
    </row>
    <row r="147" spans="1:18" x14ac:dyDescent="0.35">
      <c r="A147" s="5" t="s">
        <v>343</v>
      </c>
      <c r="B147" s="6">
        <v>45948</v>
      </c>
      <c r="C147" s="5" t="s">
        <v>344</v>
      </c>
      <c r="D147" s="5" t="s">
        <v>413</v>
      </c>
      <c r="E147" s="5" t="s">
        <v>79</v>
      </c>
      <c r="F147" s="5" t="s">
        <v>17</v>
      </c>
      <c r="G147">
        <v>0.77777777777777779</v>
      </c>
      <c r="H147">
        <v>0.78333333333333333</v>
      </c>
      <c r="I147">
        <v>13</v>
      </c>
      <c r="J147" s="5" t="s">
        <v>18</v>
      </c>
      <c r="K147" s="5" t="s">
        <v>19</v>
      </c>
      <c r="L147">
        <v>1942</v>
      </c>
      <c r="M147" s="5">
        <v>8</v>
      </c>
      <c r="N147" s="5" t="s">
        <v>1671</v>
      </c>
      <c r="O147" s="5" t="s">
        <v>1667</v>
      </c>
      <c r="P147">
        <v>1</v>
      </c>
      <c r="Q147" t="s">
        <v>1665</v>
      </c>
    </row>
    <row r="148" spans="1:18" x14ac:dyDescent="0.35">
      <c r="A148" s="5" t="s">
        <v>345</v>
      </c>
      <c r="B148" s="6">
        <v>45948</v>
      </c>
      <c r="C148" s="5" t="s">
        <v>346</v>
      </c>
      <c r="D148" s="5" t="s">
        <v>1549</v>
      </c>
      <c r="E148" s="5" t="s">
        <v>71</v>
      </c>
      <c r="F148" s="5" t="s">
        <v>17</v>
      </c>
      <c r="G148">
        <v>0.84027777777777779</v>
      </c>
      <c r="H148">
        <v>0.83958333333333335</v>
      </c>
      <c r="I148">
        <v>-2</v>
      </c>
      <c r="J148" s="5" t="s">
        <v>18</v>
      </c>
      <c r="K148" s="5" t="s">
        <v>19</v>
      </c>
      <c r="L148">
        <v>864</v>
      </c>
      <c r="M148" s="5">
        <v>-1</v>
      </c>
      <c r="N148" s="5" t="s">
        <v>1671</v>
      </c>
      <c r="O148" s="5" t="s">
        <v>1667</v>
      </c>
      <c r="P148">
        <v>1</v>
      </c>
      <c r="Q148" t="s">
        <v>1665</v>
      </c>
    </row>
    <row r="149" spans="1:18" x14ac:dyDescent="0.35">
      <c r="A149" s="5" t="s">
        <v>347</v>
      </c>
      <c r="B149" s="6">
        <v>45948</v>
      </c>
      <c r="C149" s="5" t="s">
        <v>273</v>
      </c>
      <c r="D149" s="5" t="s">
        <v>71</v>
      </c>
      <c r="E149" s="5" t="s">
        <v>546</v>
      </c>
      <c r="F149" s="5" t="s">
        <v>38</v>
      </c>
      <c r="G149">
        <v>0.85069444444444442</v>
      </c>
      <c r="H149">
        <v>0.85833333333333328</v>
      </c>
      <c r="I149">
        <v>2</v>
      </c>
      <c r="J149" s="5" t="s">
        <v>18</v>
      </c>
      <c r="K149" s="5" t="s">
        <v>19</v>
      </c>
      <c r="L149">
        <v>1511</v>
      </c>
      <c r="M149" s="5">
        <v>11</v>
      </c>
      <c r="N149" s="5" t="s">
        <v>1671</v>
      </c>
      <c r="O149" s="5" t="s">
        <v>1667</v>
      </c>
      <c r="P149">
        <v>1</v>
      </c>
      <c r="Q149" t="s">
        <v>1665</v>
      </c>
    </row>
    <row r="150" spans="1:18" x14ac:dyDescent="0.35">
      <c r="A150" s="5" t="s">
        <v>348</v>
      </c>
      <c r="B150" s="6">
        <v>45949</v>
      </c>
      <c r="C150" s="5" t="s">
        <v>349</v>
      </c>
      <c r="D150" s="5" t="s">
        <v>1171</v>
      </c>
      <c r="E150" s="5" t="s">
        <v>84</v>
      </c>
      <c r="F150" s="5" t="s">
        <v>24</v>
      </c>
      <c r="G150">
        <v>0.39583333333333331</v>
      </c>
      <c r="H150">
        <v>0.4</v>
      </c>
      <c r="I150">
        <v>5</v>
      </c>
      <c r="J150" s="5" t="s">
        <v>18</v>
      </c>
      <c r="K150" s="5" t="s">
        <v>19</v>
      </c>
      <c r="L150">
        <v>1108</v>
      </c>
      <c r="M150" s="5">
        <v>6</v>
      </c>
      <c r="N150" s="5" t="s">
        <v>1671</v>
      </c>
      <c r="O150" s="5" t="s">
        <v>1668</v>
      </c>
      <c r="P150">
        <v>1</v>
      </c>
      <c r="Q150" t="s">
        <v>1660</v>
      </c>
    </row>
    <row r="151" spans="1:18" x14ac:dyDescent="0.35">
      <c r="A151" s="5" t="s">
        <v>350</v>
      </c>
      <c r="B151" s="6">
        <v>45949</v>
      </c>
      <c r="C151" s="5" t="s">
        <v>351</v>
      </c>
      <c r="D151" s="5" t="s">
        <v>79</v>
      </c>
      <c r="E151" s="5" t="s">
        <v>413</v>
      </c>
      <c r="F151" s="5" t="s">
        <v>17</v>
      </c>
      <c r="G151">
        <v>0.40625</v>
      </c>
      <c r="J151" s="5" t="s">
        <v>60</v>
      </c>
      <c r="K151" s="5" t="s">
        <v>254</v>
      </c>
      <c r="L151">
        <v>1942</v>
      </c>
      <c r="M151" s="5"/>
      <c r="N151" s="5" t="s">
        <v>1671</v>
      </c>
      <c r="O151" s="5" t="s">
        <v>1668</v>
      </c>
      <c r="Q151" t="s">
        <v>1660</v>
      </c>
      <c r="R151" t="s">
        <v>1657</v>
      </c>
    </row>
    <row r="152" spans="1:18" x14ac:dyDescent="0.35">
      <c r="A152" s="5" t="s">
        <v>352</v>
      </c>
      <c r="B152" s="6">
        <v>45949</v>
      </c>
      <c r="C152" s="5" t="s">
        <v>353</v>
      </c>
      <c r="D152" s="5" t="s">
        <v>79</v>
      </c>
      <c r="E152" s="5" t="s">
        <v>197</v>
      </c>
      <c r="F152" s="5" t="s">
        <v>28</v>
      </c>
      <c r="G152">
        <v>0.52777777777777779</v>
      </c>
      <c r="H152">
        <v>0.53472222222222221</v>
      </c>
      <c r="J152" s="5" t="s">
        <v>18</v>
      </c>
      <c r="K152" s="5" t="s">
        <v>19</v>
      </c>
      <c r="L152">
        <v>759</v>
      </c>
      <c r="M152" s="5">
        <v>10</v>
      </c>
      <c r="N152" s="5" t="s">
        <v>1671</v>
      </c>
      <c r="O152" s="5" t="s">
        <v>1668</v>
      </c>
      <c r="Q152" t="s">
        <v>1663</v>
      </c>
    </row>
    <row r="153" spans="1:18" x14ac:dyDescent="0.35">
      <c r="A153" s="5" t="s">
        <v>354</v>
      </c>
      <c r="B153" s="6">
        <v>45950</v>
      </c>
      <c r="C153" s="5" t="s">
        <v>355</v>
      </c>
      <c r="D153" s="5" t="s">
        <v>413</v>
      </c>
      <c r="E153" s="5" t="s">
        <v>79</v>
      </c>
      <c r="F153" s="5" t="s">
        <v>24</v>
      </c>
      <c r="G153">
        <v>0.22222222222222221</v>
      </c>
      <c r="H153">
        <v>0.22361111111111109</v>
      </c>
      <c r="I153">
        <v>0</v>
      </c>
      <c r="J153" s="5" t="s">
        <v>18</v>
      </c>
      <c r="K153" s="5" t="s">
        <v>19</v>
      </c>
      <c r="L153">
        <v>1942</v>
      </c>
      <c r="M153" s="5">
        <v>2</v>
      </c>
      <c r="N153" s="5" t="s">
        <v>1671</v>
      </c>
      <c r="O153" s="5" t="s">
        <v>1659</v>
      </c>
      <c r="P153">
        <v>1</v>
      </c>
      <c r="Q153" t="s">
        <v>1660</v>
      </c>
    </row>
    <row r="154" spans="1:18" x14ac:dyDescent="0.35">
      <c r="A154" s="5" t="s">
        <v>356</v>
      </c>
      <c r="B154" s="6">
        <v>45951</v>
      </c>
      <c r="C154" s="5" t="s">
        <v>357</v>
      </c>
      <c r="D154" s="5" t="s">
        <v>71</v>
      </c>
      <c r="E154" s="5" t="s">
        <v>226</v>
      </c>
      <c r="F154" s="5" t="s">
        <v>24</v>
      </c>
      <c r="G154">
        <v>0.29166666666666669</v>
      </c>
      <c r="H154">
        <v>0.29375000000000001</v>
      </c>
      <c r="I154">
        <v>3</v>
      </c>
      <c r="J154" s="5" t="s">
        <v>18</v>
      </c>
      <c r="K154" s="5" t="s">
        <v>19</v>
      </c>
      <c r="L154">
        <v>886</v>
      </c>
      <c r="M154" s="5">
        <v>3</v>
      </c>
      <c r="N154" s="5" t="s">
        <v>1671</v>
      </c>
      <c r="O154" s="5" t="s">
        <v>1661</v>
      </c>
      <c r="P154">
        <v>1</v>
      </c>
      <c r="Q154" t="s">
        <v>1660</v>
      </c>
    </row>
    <row r="155" spans="1:18" x14ac:dyDescent="0.35">
      <c r="A155" s="5" t="s">
        <v>358</v>
      </c>
      <c r="B155" s="6">
        <v>45951</v>
      </c>
      <c r="C155" s="5" t="s">
        <v>359</v>
      </c>
      <c r="D155" s="5" t="s">
        <v>226</v>
      </c>
      <c r="E155" s="5" t="s">
        <v>588</v>
      </c>
      <c r="F155" s="5" t="s">
        <v>24</v>
      </c>
      <c r="G155">
        <v>0.36805555555555558</v>
      </c>
      <c r="H155">
        <v>0.37152777777777779</v>
      </c>
      <c r="I155">
        <v>2</v>
      </c>
      <c r="J155" s="5" t="s">
        <v>18</v>
      </c>
      <c r="K155" s="5" t="s">
        <v>19</v>
      </c>
      <c r="L155">
        <v>641</v>
      </c>
      <c r="M155" s="5">
        <v>5</v>
      </c>
      <c r="N155" s="5" t="s">
        <v>1671</v>
      </c>
      <c r="O155" s="5" t="s">
        <v>1661</v>
      </c>
      <c r="P155">
        <v>1</v>
      </c>
      <c r="Q155" t="s">
        <v>1660</v>
      </c>
    </row>
    <row r="156" spans="1:18" x14ac:dyDescent="0.35">
      <c r="A156" s="5" t="s">
        <v>360</v>
      </c>
      <c r="B156" s="6">
        <v>45951</v>
      </c>
      <c r="C156" s="5" t="s">
        <v>361</v>
      </c>
      <c r="D156" s="5" t="s">
        <v>1171</v>
      </c>
      <c r="E156" s="5" t="s">
        <v>71</v>
      </c>
      <c r="F156" s="5" t="s">
        <v>17</v>
      </c>
      <c r="G156">
        <v>0.66666666666666663</v>
      </c>
      <c r="H156">
        <v>0.66874999999999996</v>
      </c>
      <c r="I156">
        <v>5</v>
      </c>
      <c r="J156" s="5" t="s">
        <v>18</v>
      </c>
      <c r="K156" s="5" t="s">
        <v>19</v>
      </c>
      <c r="L156">
        <v>1438</v>
      </c>
      <c r="M156" s="5">
        <v>3</v>
      </c>
      <c r="N156" s="5" t="s">
        <v>1671</v>
      </c>
      <c r="O156" s="5" t="s">
        <v>1661</v>
      </c>
      <c r="P156">
        <v>1</v>
      </c>
      <c r="Q156" t="s">
        <v>1663</v>
      </c>
    </row>
    <row r="157" spans="1:18" x14ac:dyDescent="0.35">
      <c r="A157" s="5" t="s">
        <v>362</v>
      </c>
      <c r="B157" s="6">
        <v>45951</v>
      </c>
      <c r="C157" s="5" t="s">
        <v>363</v>
      </c>
      <c r="D157" s="5" t="s">
        <v>79</v>
      </c>
      <c r="E157" s="5" t="s">
        <v>546</v>
      </c>
      <c r="F157" s="5" t="s">
        <v>24</v>
      </c>
      <c r="G157">
        <v>0.70833333333333337</v>
      </c>
      <c r="J157" s="5" t="s">
        <v>60</v>
      </c>
      <c r="K157" s="5" t="s">
        <v>254</v>
      </c>
      <c r="L157">
        <v>1743</v>
      </c>
      <c r="M157" s="5"/>
      <c r="N157" s="5" t="s">
        <v>1671</v>
      </c>
      <c r="O157" s="5" t="s">
        <v>1661</v>
      </c>
      <c r="Q157" t="s">
        <v>1665</v>
      </c>
      <c r="R157" t="s">
        <v>1657</v>
      </c>
    </row>
    <row r="158" spans="1:18" x14ac:dyDescent="0.35">
      <c r="A158" s="5" t="s">
        <v>364</v>
      </c>
      <c r="B158" s="6">
        <v>45952</v>
      </c>
      <c r="C158" s="5" t="s">
        <v>365</v>
      </c>
      <c r="D158" s="5" t="s">
        <v>84</v>
      </c>
      <c r="E158" s="5" t="s">
        <v>71</v>
      </c>
      <c r="F158" s="5" t="s">
        <v>28</v>
      </c>
      <c r="G158">
        <v>0.47916666666666669</v>
      </c>
      <c r="H158">
        <v>0.4777777777777778</v>
      </c>
      <c r="I158">
        <v>-12</v>
      </c>
      <c r="J158" s="5" t="s">
        <v>18</v>
      </c>
      <c r="K158" s="5" t="s">
        <v>19</v>
      </c>
      <c r="L158">
        <v>1717</v>
      </c>
      <c r="M158" s="5">
        <v>-2</v>
      </c>
      <c r="N158" s="5" t="s">
        <v>1671</v>
      </c>
      <c r="O158" s="5" t="s">
        <v>1662</v>
      </c>
      <c r="P158">
        <v>1</v>
      </c>
      <c r="Q158" t="s">
        <v>1660</v>
      </c>
    </row>
    <row r="159" spans="1:18" x14ac:dyDescent="0.35">
      <c r="A159" s="5" t="s">
        <v>366</v>
      </c>
      <c r="B159" s="6">
        <v>45952</v>
      </c>
      <c r="C159" s="5" t="s">
        <v>367</v>
      </c>
      <c r="D159" s="5" t="s">
        <v>197</v>
      </c>
      <c r="E159" s="5" t="s">
        <v>84</v>
      </c>
      <c r="F159" s="5" t="s">
        <v>28</v>
      </c>
      <c r="G159">
        <v>0.61458333333333337</v>
      </c>
      <c r="H159">
        <v>0.69305555555555554</v>
      </c>
      <c r="I159">
        <v>100</v>
      </c>
      <c r="J159" s="5" t="s">
        <v>54</v>
      </c>
      <c r="K159" s="5" t="s">
        <v>19</v>
      </c>
      <c r="L159">
        <v>2415</v>
      </c>
      <c r="M159" s="5">
        <v>113</v>
      </c>
      <c r="N159" s="5" t="s">
        <v>1671</v>
      </c>
      <c r="O159" s="5" t="s">
        <v>1662</v>
      </c>
      <c r="P159">
        <v>0</v>
      </c>
      <c r="Q159" t="s">
        <v>1663</v>
      </c>
      <c r="R159" t="s">
        <v>1657</v>
      </c>
    </row>
    <row r="160" spans="1:18" x14ac:dyDescent="0.35">
      <c r="A160" s="5" t="s">
        <v>368</v>
      </c>
      <c r="B160" s="6">
        <v>45952</v>
      </c>
      <c r="C160" s="5" t="s">
        <v>369</v>
      </c>
      <c r="D160" s="5" t="s">
        <v>71</v>
      </c>
      <c r="E160" s="5" t="s">
        <v>79</v>
      </c>
      <c r="F160" s="5" t="s">
        <v>17</v>
      </c>
      <c r="G160">
        <v>0.84722222222222221</v>
      </c>
      <c r="H160">
        <v>0.85</v>
      </c>
      <c r="I160">
        <v>-3</v>
      </c>
      <c r="J160" s="5" t="s">
        <v>18</v>
      </c>
      <c r="K160" s="5" t="s">
        <v>19</v>
      </c>
      <c r="L160">
        <v>606</v>
      </c>
      <c r="M160" s="5">
        <v>4</v>
      </c>
      <c r="N160" s="5" t="s">
        <v>1671</v>
      </c>
      <c r="O160" s="5" t="s">
        <v>1662</v>
      </c>
      <c r="P160">
        <v>1</v>
      </c>
      <c r="Q160" t="s">
        <v>1665</v>
      </c>
    </row>
    <row r="161" spans="1:18" x14ac:dyDescent="0.35">
      <c r="A161" s="5" t="s">
        <v>370</v>
      </c>
      <c r="B161" s="6">
        <v>45953</v>
      </c>
      <c r="C161" s="5" t="s">
        <v>371</v>
      </c>
      <c r="D161" s="5" t="s">
        <v>71</v>
      </c>
      <c r="E161" s="5" t="s">
        <v>413</v>
      </c>
      <c r="F161" s="5" t="s">
        <v>38</v>
      </c>
      <c r="G161">
        <v>0.63888888888888884</v>
      </c>
      <c r="H161">
        <v>0.63541666666666663</v>
      </c>
      <c r="I161">
        <v>4</v>
      </c>
      <c r="J161" s="5" t="s">
        <v>18</v>
      </c>
      <c r="K161" s="5" t="s">
        <v>19</v>
      </c>
      <c r="L161">
        <v>1742</v>
      </c>
      <c r="M161" s="5">
        <v>-5</v>
      </c>
      <c r="N161" s="5" t="s">
        <v>1671</v>
      </c>
      <c r="O161" s="5" t="s">
        <v>1664</v>
      </c>
      <c r="P161">
        <v>1</v>
      </c>
      <c r="Q161" t="s">
        <v>1663</v>
      </c>
    </row>
    <row r="162" spans="1:18" x14ac:dyDescent="0.35">
      <c r="A162" s="5" t="s">
        <v>372</v>
      </c>
      <c r="B162" s="6">
        <v>45953</v>
      </c>
      <c r="C162" s="5" t="s">
        <v>133</v>
      </c>
      <c r="D162" s="5" t="s">
        <v>79</v>
      </c>
      <c r="E162" s="5" t="s">
        <v>588</v>
      </c>
      <c r="F162" s="5" t="s">
        <v>17</v>
      </c>
      <c r="G162">
        <v>0.75</v>
      </c>
      <c r="H162">
        <v>0.75069444444444444</v>
      </c>
      <c r="I162">
        <v>7</v>
      </c>
      <c r="J162" s="5" t="s">
        <v>18</v>
      </c>
      <c r="K162" s="5" t="s">
        <v>19</v>
      </c>
      <c r="L162">
        <v>730</v>
      </c>
      <c r="M162" s="5">
        <v>1</v>
      </c>
      <c r="N162" s="5" t="s">
        <v>1671</v>
      </c>
      <c r="O162" s="5" t="s">
        <v>1664</v>
      </c>
      <c r="P162">
        <v>1</v>
      </c>
      <c r="Q162" t="s">
        <v>1665</v>
      </c>
    </row>
    <row r="163" spans="1:18" x14ac:dyDescent="0.35">
      <c r="A163" s="5" t="s">
        <v>373</v>
      </c>
      <c r="B163" s="6">
        <v>45954</v>
      </c>
      <c r="C163" s="5" t="s">
        <v>374</v>
      </c>
      <c r="D163" s="5" t="s">
        <v>413</v>
      </c>
      <c r="E163" s="5" t="s">
        <v>588</v>
      </c>
      <c r="F163" s="5" t="s">
        <v>24</v>
      </c>
      <c r="G163">
        <v>0.78819444444444442</v>
      </c>
      <c r="H163">
        <v>0.7895833333333333</v>
      </c>
      <c r="I163">
        <v>-7</v>
      </c>
      <c r="J163" s="5" t="s">
        <v>18</v>
      </c>
      <c r="K163" s="5" t="s">
        <v>19</v>
      </c>
      <c r="L163">
        <v>1232</v>
      </c>
      <c r="M163" s="5">
        <v>2</v>
      </c>
      <c r="N163" s="5" t="s">
        <v>1671</v>
      </c>
      <c r="O163" s="5" t="s">
        <v>1666</v>
      </c>
      <c r="P163">
        <v>1</v>
      </c>
      <c r="Q163" t="s">
        <v>1665</v>
      </c>
    </row>
    <row r="164" spans="1:18" x14ac:dyDescent="0.35">
      <c r="A164" s="5" t="s">
        <v>375</v>
      </c>
      <c r="B164" s="6">
        <v>45954</v>
      </c>
      <c r="C164" s="5" t="s">
        <v>376</v>
      </c>
      <c r="D164" s="5" t="s">
        <v>413</v>
      </c>
      <c r="E164" s="5" t="s">
        <v>1171</v>
      </c>
      <c r="F164" s="5" t="s">
        <v>38</v>
      </c>
      <c r="G164">
        <v>0.81597222222222221</v>
      </c>
      <c r="H164">
        <v>0.89375000000000004</v>
      </c>
      <c r="I164">
        <v>117</v>
      </c>
      <c r="J164" s="5" t="s">
        <v>54</v>
      </c>
      <c r="K164" s="5" t="s">
        <v>19</v>
      </c>
      <c r="L164">
        <v>370</v>
      </c>
      <c r="M164" s="5">
        <v>112</v>
      </c>
      <c r="N164" s="5" t="s">
        <v>1671</v>
      </c>
      <c r="O164" s="5" t="s">
        <v>1666</v>
      </c>
      <c r="P164">
        <v>0</v>
      </c>
      <c r="Q164" t="s">
        <v>1665</v>
      </c>
      <c r="R164" t="s">
        <v>1657</v>
      </c>
    </row>
    <row r="165" spans="1:18" x14ac:dyDescent="0.35">
      <c r="A165" s="5" t="s">
        <v>377</v>
      </c>
      <c r="B165" s="6">
        <v>45955</v>
      </c>
      <c r="C165" s="5" t="s">
        <v>378</v>
      </c>
      <c r="D165" s="5" t="s">
        <v>71</v>
      </c>
      <c r="E165" s="5" t="s">
        <v>588</v>
      </c>
      <c r="F165" s="5" t="s">
        <v>28</v>
      </c>
      <c r="G165">
        <v>0.28125</v>
      </c>
      <c r="H165">
        <v>0.28125</v>
      </c>
      <c r="I165">
        <v>-12</v>
      </c>
      <c r="J165" s="5" t="s">
        <v>18</v>
      </c>
      <c r="K165" s="5" t="s">
        <v>19</v>
      </c>
      <c r="L165">
        <v>802</v>
      </c>
      <c r="M165" s="5">
        <v>0</v>
      </c>
      <c r="N165" s="5" t="s">
        <v>1671</v>
      </c>
      <c r="O165" s="5" t="s">
        <v>1667</v>
      </c>
      <c r="P165">
        <v>1</v>
      </c>
      <c r="Q165" t="s">
        <v>1660</v>
      </c>
    </row>
    <row r="166" spans="1:18" x14ac:dyDescent="0.35">
      <c r="A166" s="5" t="s">
        <v>379</v>
      </c>
      <c r="B166" s="6">
        <v>45955</v>
      </c>
      <c r="C166" s="5" t="s">
        <v>346</v>
      </c>
      <c r="D166" s="5" t="s">
        <v>588</v>
      </c>
      <c r="E166" s="5" t="s">
        <v>71</v>
      </c>
      <c r="F166" s="5" t="s">
        <v>28</v>
      </c>
      <c r="G166">
        <v>0.30208333333333331</v>
      </c>
      <c r="H166">
        <v>0.29930555555555549</v>
      </c>
      <c r="I166">
        <v>-15</v>
      </c>
      <c r="J166" s="5" t="s">
        <v>18</v>
      </c>
      <c r="K166" s="5" t="s">
        <v>19</v>
      </c>
      <c r="L166">
        <v>802</v>
      </c>
      <c r="M166" s="5">
        <v>-4</v>
      </c>
      <c r="N166" s="5" t="s">
        <v>1671</v>
      </c>
      <c r="O166" s="5" t="s">
        <v>1667</v>
      </c>
      <c r="P166">
        <v>1</v>
      </c>
      <c r="Q166" t="s">
        <v>1660</v>
      </c>
    </row>
    <row r="167" spans="1:18" x14ac:dyDescent="0.35">
      <c r="A167" s="5" t="s">
        <v>380</v>
      </c>
      <c r="B167" s="6">
        <v>45956</v>
      </c>
      <c r="C167" s="5" t="s">
        <v>381</v>
      </c>
      <c r="D167" s="5" t="s">
        <v>197</v>
      </c>
      <c r="E167" s="5" t="s">
        <v>1171</v>
      </c>
      <c r="F167" s="5" t="s">
        <v>24</v>
      </c>
      <c r="G167">
        <v>0.63541666666666663</v>
      </c>
      <c r="H167">
        <v>0.63402777777777775</v>
      </c>
      <c r="I167">
        <v>-7</v>
      </c>
      <c r="J167" s="5" t="s">
        <v>18</v>
      </c>
      <c r="K167" s="5" t="s">
        <v>19</v>
      </c>
      <c r="L167">
        <v>2149</v>
      </c>
      <c r="M167" s="5">
        <v>-2</v>
      </c>
      <c r="N167" s="5" t="s">
        <v>1671</v>
      </c>
      <c r="O167" s="5" t="s">
        <v>1668</v>
      </c>
      <c r="P167">
        <v>1</v>
      </c>
      <c r="Q167" t="s">
        <v>1663</v>
      </c>
    </row>
    <row r="168" spans="1:18" x14ac:dyDescent="0.35">
      <c r="A168" s="5" t="s">
        <v>382</v>
      </c>
      <c r="B168" s="6">
        <v>45957</v>
      </c>
      <c r="C168" s="5" t="s">
        <v>383</v>
      </c>
      <c r="D168" s="5" t="s">
        <v>546</v>
      </c>
      <c r="E168" s="5" t="s">
        <v>1549</v>
      </c>
      <c r="F168" s="5" t="s">
        <v>17</v>
      </c>
      <c r="G168">
        <v>0.31597222222222221</v>
      </c>
      <c r="H168">
        <v>0.32291666666666669</v>
      </c>
      <c r="I168">
        <v>3</v>
      </c>
      <c r="J168" s="5" t="s">
        <v>18</v>
      </c>
      <c r="K168" s="5" t="s">
        <v>19</v>
      </c>
      <c r="L168">
        <v>2375</v>
      </c>
      <c r="M168" s="5">
        <v>10</v>
      </c>
      <c r="N168" s="5" t="s">
        <v>1671</v>
      </c>
      <c r="O168" s="5" t="s">
        <v>1659</v>
      </c>
      <c r="P168">
        <v>1</v>
      </c>
      <c r="Q168" t="s">
        <v>1660</v>
      </c>
    </row>
    <row r="169" spans="1:18" x14ac:dyDescent="0.35">
      <c r="A169" s="5" t="s">
        <v>384</v>
      </c>
      <c r="B169" s="6">
        <v>45957</v>
      </c>
      <c r="C169" s="5" t="s">
        <v>385</v>
      </c>
      <c r="D169" s="5" t="s">
        <v>79</v>
      </c>
      <c r="E169" s="5" t="s">
        <v>1295</v>
      </c>
      <c r="F169" s="5" t="s">
        <v>17</v>
      </c>
      <c r="G169">
        <v>0.36805555555555558</v>
      </c>
      <c r="H169">
        <v>0.36944444444444452</v>
      </c>
      <c r="I169">
        <v>1</v>
      </c>
      <c r="J169" s="5" t="s">
        <v>18</v>
      </c>
      <c r="K169" s="5" t="s">
        <v>19</v>
      </c>
      <c r="L169">
        <v>2134</v>
      </c>
      <c r="M169" s="5">
        <v>2</v>
      </c>
      <c r="N169" s="5" t="s">
        <v>1671</v>
      </c>
      <c r="O169" s="5" t="s">
        <v>1659</v>
      </c>
      <c r="P169">
        <v>1</v>
      </c>
      <c r="Q169" t="s">
        <v>1660</v>
      </c>
    </row>
    <row r="170" spans="1:18" x14ac:dyDescent="0.35">
      <c r="A170" s="5" t="s">
        <v>387</v>
      </c>
      <c r="B170" s="6">
        <v>45957</v>
      </c>
      <c r="C170" s="5" t="s">
        <v>388</v>
      </c>
      <c r="D170" s="5" t="s">
        <v>588</v>
      </c>
      <c r="E170" s="5" t="s">
        <v>79</v>
      </c>
      <c r="F170" s="5" t="s">
        <v>24</v>
      </c>
      <c r="G170">
        <v>0.74652777777777779</v>
      </c>
      <c r="H170">
        <v>0.7416666666666667</v>
      </c>
      <c r="I170">
        <v>-12</v>
      </c>
      <c r="J170" s="5" t="s">
        <v>18</v>
      </c>
      <c r="K170" s="5" t="s">
        <v>19</v>
      </c>
      <c r="L170">
        <v>730</v>
      </c>
      <c r="M170" s="5">
        <v>-7</v>
      </c>
      <c r="N170" s="5" t="s">
        <v>1671</v>
      </c>
      <c r="O170" s="5" t="s">
        <v>1659</v>
      </c>
      <c r="P170">
        <v>1</v>
      </c>
      <c r="Q170" t="s">
        <v>1665</v>
      </c>
    </row>
    <row r="171" spans="1:18" x14ac:dyDescent="0.35">
      <c r="A171" s="5" t="s">
        <v>389</v>
      </c>
      <c r="B171" s="6">
        <v>45957</v>
      </c>
      <c r="C171" s="5" t="s">
        <v>390</v>
      </c>
      <c r="D171" s="5" t="s">
        <v>197</v>
      </c>
      <c r="E171" s="5" t="s">
        <v>84</v>
      </c>
      <c r="F171" s="5" t="s">
        <v>24</v>
      </c>
      <c r="G171">
        <v>0.89583333333333337</v>
      </c>
      <c r="H171">
        <v>0.89027777777777772</v>
      </c>
      <c r="I171">
        <v>-5</v>
      </c>
      <c r="J171" s="5" t="s">
        <v>18</v>
      </c>
      <c r="K171" s="5" t="s">
        <v>19</v>
      </c>
      <c r="L171">
        <v>2415</v>
      </c>
      <c r="M171" s="5">
        <v>-8</v>
      </c>
      <c r="N171" s="5" t="s">
        <v>1671</v>
      </c>
      <c r="O171" s="5" t="s">
        <v>1659</v>
      </c>
      <c r="P171">
        <v>1</v>
      </c>
      <c r="Q171" t="s">
        <v>1669</v>
      </c>
    </row>
    <row r="172" spans="1:18" x14ac:dyDescent="0.35">
      <c r="A172" s="5" t="s">
        <v>391</v>
      </c>
      <c r="B172" s="6">
        <v>45958</v>
      </c>
      <c r="C172" s="5" t="s">
        <v>385</v>
      </c>
      <c r="D172" s="5" t="s">
        <v>1171</v>
      </c>
      <c r="E172" s="5" t="s">
        <v>588</v>
      </c>
      <c r="F172" s="5" t="s">
        <v>38</v>
      </c>
      <c r="G172">
        <v>0.36458333333333331</v>
      </c>
      <c r="H172">
        <v>0.37222222222222218</v>
      </c>
      <c r="I172">
        <v>14</v>
      </c>
      <c r="J172" s="5" t="s">
        <v>18</v>
      </c>
      <c r="K172" s="5" t="s">
        <v>19</v>
      </c>
      <c r="L172">
        <v>866</v>
      </c>
      <c r="M172" s="5">
        <v>11</v>
      </c>
      <c r="N172" s="5" t="s">
        <v>1671</v>
      </c>
      <c r="O172" s="5" t="s">
        <v>1661</v>
      </c>
      <c r="P172">
        <v>1</v>
      </c>
      <c r="Q172" t="s">
        <v>1660</v>
      </c>
    </row>
    <row r="173" spans="1:18" x14ac:dyDescent="0.35">
      <c r="A173" s="5" t="s">
        <v>392</v>
      </c>
      <c r="B173" s="6">
        <v>45958</v>
      </c>
      <c r="C173" s="5" t="s">
        <v>196</v>
      </c>
      <c r="D173" s="5" t="s">
        <v>413</v>
      </c>
      <c r="E173" s="5" t="s">
        <v>1549</v>
      </c>
      <c r="F173" s="5" t="s">
        <v>28</v>
      </c>
      <c r="G173">
        <v>0.58333333333333337</v>
      </c>
      <c r="H173">
        <v>0.58680555555555558</v>
      </c>
      <c r="I173">
        <v>10</v>
      </c>
      <c r="J173" s="5" t="s">
        <v>18</v>
      </c>
      <c r="K173" s="5" t="s">
        <v>19</v>
      </c>
      <c r="L173">
        <v>2606</v>
      </c>
      <c r="M173" s="5">
        <v>5</v>
      </c>
      <c r="N173" s="5" t="s">
        <v>1671</v>
      </c>
      <c r="O173" s="5" t="s">
        <v>1661</v>
      </c>
      <c r="P173">
        <v>1</v>
      </c>
      <c r="Q173" t="s">
        <v>1663</v>
      </c>
    </row>
    <row r="174" spans="1:18" x14ac:dyDescent="0.35">
      <c r="A174" s="5" t="s">
        <v>393</v>
      </c>
      <c r="B174" s="6">
        <v>45958</v>
      </c>
      <c r="C174" s="5" t="s">
        <v>394</v>
      </c>
      <c r="D174" s="5" t="s">
        <v>79</v>
      </c>
      <c r="E174" s="5" t="s">
        <v>1171</v>
      </c>
      <c r="F174" s="5" t="s">
        <v>38</v>
      </c>
      <c r="G174">
        <v>0.71180555555555558</v>
      </c>
      <c r="H174">
        <v>0.7270833333333333</v>
      </c>
      <c r="I174">
        <v>17</v>
      </c>
      <c r="J174" s="5" t="s">
        <v>60</v>
      </c>
      <c r="K174" s="5" t="s">
        <v>19</v>
      </c>
      <c r="L174">
        <v>1584</v>
      </c>
      <c r="M174" s="5">
        <v>22</v>
      </c>
      <c r="N174" s="5" t="s">
        <v>1671</v>
      </c>
      <c r="O174" s="5" t="s">
        <v>1661</v>
      </c>
      <c r="P174">
        <v>0</v>
      </c>
      <c r="Q174" t="s">
        <v>1665</v>
      </c>
      <c r="R174" t="s">
        <v>1657</v>
      </c>
    </row>
    <row r="175" spans="1:18" x14ac:dyDescent="0.35">
      <c r="A175" s="5" t="s">
        <v>395</v>
      </c>
      <c r="B175" s="6">
        <v>45959</v>
      </c>
      <c r="C175" s="5" t="s">
        <v>120</v>
      </c>
      <c r="D175" s="5" t="s">
        <v>71</v>
      </c>
      <c r="E175" s="5" t="s">
        <v>79</v>
      </c>
      <c r="F175" s="5" t="s">
        <v>24</v>
      </c>
      <c r="G175">
        <v>0.33333333333333331</v>
      </c>
      <c r="H175">
        <v>0.33750000000000002</v>
      </c>
      <c r="I175">
        <v>5</v>
      </c>
      <c r="J175" s="5" t="s">
        <v>18</v>
      </c>
      <c r="K175" s="5" t="s">
        <v>19</v>
      </c>
      <c r="L175">
        <v>606</v>
      </c>
      <c r="M175" s="5">
        <v>6</v>
      </c>
      <c r="N175" s="5" t="s">
        <v>1671</v>
      </c>
      <c r="O175" s="5" t="s">
        <v>1662</v>
      </c>
      <c r="P175">
        <v>1</v>
      </c>
      <c r="Q175" t="s">
        <v>1660</v>
      </c>
    </row>
    <row r="176" spans="1:18" x14ac:dyDescent="0.35">
      <c r="A176" s="5" t="s">
        <v>396</v>
      </c>
      <c r="B176" s="6">
        <v>45959</v>
      </c>
      <c r="C176" s="5" t="s">
        <v>397</v>
      </c>
      <c r="D176" s="5" t="s">
        <v>79</v>
      </c>
      <c r="E176" s="5" t="s">
        <v>1549</v>
      </c>
      <c r="F176" s="5" t="s">
        <v>17</v>
      </c>
      <c r="G176">
        <v>0.61111111111111116</v>
      </c>
      <c r="H176">
        <v>0.6166666666666667</v>
      </c>
      <c r="I176">
        <v>1</v>
      </c>
      <c r="J176" s="5" t="s">
        <v>18</v>
      </c>
      <c r="K176" s="5" t="s">
        <v>19</v>
      </c>
      <c r="L176">
        <v>945</v>
      </c>
      <c r="M176" s="5">
        <v>8</v>
      </c>
      <c r="N176" s="5" t="s">
        <v>1671</v>
      </c>
      <c r="O176" s="5" t="s">
        <v>1662</v>
      </c>
      <c r="P176">
        <v>1</v>
      </c>
      <c r="Q176" t="s">
        <v>1663</v>
      </c>
    </row>
    <row r="177" spans="1:18" x14ac:dyDescent="0.35">
      <c r="A177" s="5" t="s">
        <v>398</v>
      </c>
      <c r="B177" s="6">
        <v>45961</v>
      </c>
      <c r="C177" s="5" t="s">
        <v>399</v>
      </c>
      <c r="D177" s="5" t="s">
        <v>71</v>
      </c>
      <c r="E177" s="5" t="s">
        <v>79</v>
      </c>
      <c r="F177" s="5" t="s">
        <v>24</v>
      </c>
      <c r="G177">
        <v>0.2638888888888889</v>
      </c>
      <c r="H177">
        <v>0.26041666666666669</v>
      </c>
      <c r="I177">
        <v>-13</v>
      </c>
      <c r="J177" s="5" t="s">
        <v>18</v>
      </c>
      <c r="K177" s="5" t="s">
        <v>19</v>
      </c>
      <c r="L177">
        <v>606</v>
      </c>
      <c r="M177" s="5">
        <v>-5</v>
      </c>
      <c r="N177" s="5" t="s">
        <v>1671</v>
      </c>
      <c r="O177" s="5" t="s">
        <v>1666</v>
      </c>
      <c r="P177">
        <v>1</v>
      </c>
      <c r="Q177" t="s">
        <v>1660</v>
      </c>
    </row>
    <row r="178" spans="1:18" x14ac:dyDescent="0.35">
      <c r="A178" s="5" t="s">
        <v>400</v>
      </c>
      <c r="B178" s="6">
        <v>45961</v>
      </c>
      <c r="C178" s="5" t="s">
        <v>381</v>
      </c>
      <c r="D178" s="5" t="s">
        <v>79</v>
      </c>
      <c r="E178" s="5" t="s">
        <v>202</v>
      </c>
      <c r="F178" s="5" t="s">
        <v>38</v>
      </c>
      <c r="G178">
        <v>0.38194444444444442</v>
      </c>
      <c r="H178">
        <v>0.38055555555555548</v>
      </c>
      <c r="I178">
        <v>6</v>
      </c>
      <c r="J178" s="5" t="s">
        <v>18</v>
      </c>
      <c r="K178" s="5" t="s">
        <v>19</v>
      </c>
      <c r="L178">
        <v>596</v>
      </c>
      <c r="M178" s="5">
        <v>-2</v>
      </c>
      <c r="N178" s="5" t="s">
        <v>1671</v>
      </c>
      <c r="O178" s="5" t="s">
        <v>1666</v>
      </c>
      <c r="P178">
        <v>1</v>
      </c>
      <c r="Q178" t="s">
        <v>1660</v>
      </c>
    </row>
    <row r="179" spans="1:18" x14ac:dyDescent="0.35">
      <c r="A179" s="5" t="s">
        <v>401</v>
      </c>
      <c r="B179" s="6">
        <v>45961</v>
      </c>
      <c r="C179" s="5" t="s">
        <v>402</v>
      </c>
      <c r="D179" s="5" t="s">
        <v>79</v>
      </c>
      <c r="E179" s="5" t="s">
        <v>226</v>
      </c>
      <c r="F179" s="5" t="s">
        <v>38</v>
      </c>
      <c r="G179">
        <v>0.45833333333333331</v>
      </c>
      <c r="H179">
        <v>0.45763888888888887</v>
      </c>
      <c r="I179">
        <v>1</v>
      </c>
      <c r="J179" s="5" t="s">
        <v>18</v>
      </c>
      <c r="K179" s="5" t="s">
        <v>19</v>
      </c>
      <c r="L179">
        <v>1197</v>
      </c>
      <c r="M179" s="5">
        <v>-1</v>
      </c>
      <c r="N179" s="5" t="s">
        <v>1671</v>
      </c>
      <c r="O179" s="5" t="s">
        <v>1666</v>
      </c>
      <c r="P179">
        <v>1</v>
      </c>
      <c r="Q179" t="s">
        <v>1660</v>
      </c>
    </row>
    <row r="180" spans="1:18" x14ac:dyDescent="0.35">
      <c r="A180" s="5" t="s">
        <v>403</v>
      </c>
      <c r="B180" s="6">
        <v>45961</v>
      </c>
      <c r="C180" s="5" t="s">
        <v>404</v>
      </c>
      <c r="D180" s="5" t="s">
        <v>71</v>
      </c>
      <c r="E180" s="5" t="s">
        <v>546</v>
      </c>
      <c r="F180" s="5" t="s">
        <v>17</v>
      </c>
      <c r="G180">
        <v>0.67013888888888884</v>
      </c>
      <c r="H180">
        <v>0.67847222222222225</v>
      </c>
      <c r="I180">
        <v>0</v>
      </c>
      <c r="J180" s="5" t="s">
        <v>18</v>
      </c>
      <c r="K180" s="5" t="s">
        <v>19</v>
      </c>
      <c r="L180">
        <v>1511</v>
      </c>
      <c r="M180" s="5">
        <v>12</v>
      </c>
      <c r="N180" s="5" t="s">
        <v>1671</v>
      </c>
      <c r="O180" s="5" t="s">
        <v>1666</v>
      </c>
      <c r="P180">
        <v>1</v>
      </c>
      <c r="Q180" t="s">
        <v>1663</v>
      </c>
    </row>
    <row r="181" spans="1:18" x14ac:dyDescent="0.35">
      <c r="A181" s="5" t="s">
        <v>405</v>
      </c>
      <c r="B181" s="6">
        <v>45961</v>
      </c>
      <c r="C181" s="5" t="s">
        <v>406</v>
      </c>
      <c r="D181" s="5" t="s">
        <v>197</v>
      </c>
      <c r="E181" s="5" t="s">
        <v>413</v>
      </c>
      <c r="F181" s="5" t="s">
        <v>17</v>
      </c>
      <c r="G181">
        <v>0.73263888888888884</v>
      </c>
      <c r="H181">
        <v>0.72916666666666663</v>
      </c>
      <c r="I181">
        <v>-7</v>
      </c>
      <c r="J181" s="5" t="s">
        <v>18</v>
      </c>
      <c r="K181" s="5" t="s">
        <v>19</v>
      </c>
      <c r="L181">
        <v>2470</v>
      </c>
      <c r="M181" s="5">
        <v>-5</v>
      </c>
      <c r="N181" s="5" t="s">
        <v>1671</v>
      </c>
      <c r="O181" s="5" t="s">
        <v>1666</v>
      </c>
      <c r="P181">
        <v>1</v>
      </c>
      <c r="Q181" t="s">
        <v>1665</v>
      </c>
    </row>
    <row r="182" spans="1:18" x14ac:dyDescent="0.35">
      <c r="A182" s="5" t="s">
        <v>407</v>
      </c>
      <c r="B182" s="6">
        <v>45961</v>
      </c>
      <c r="C182" s="5" t="s">
        <v>408</v>
      </c>
      <c r="D182" s="5" t="s">
        <v>197</v>
      </c>
      <c r="E182" s="5" t="s">
        <v>202</v>
      </c>
      <c r="F182" s="5" t="s">
        <v>38</v>
      </c>
      <c r="G182">
        <v>0.74652777777777779</v>
      </c>
      <c r="H182">
        <v>0.75208333333333333</v>
      </c>
      <c r="I182">
        <v>11</v>
      </c>
      <c r="J182" s="5" t="s">
        <v>18</v>
      </c>
      <c r="K182" s="5" t="s">
        <v>19</v>
      </c>
      <c r="L182">
        <v>1092</v>
      </c>
      <c r="M182" s="5">
        <v>8</v>
      </c>
      <c r="N182" s="5" t="s">
        <v>1671</v>
      </c>
      <c r="O182" s="5" t="s">
        <v>1666</v>
      </c>
      <c r="P182">
        <v>1</v>
      </c>
      <c r="Q182" t="s">
        <v>1665</v>
      </c>
    </row>
    <row r="183" spans="1:18" x14ac:dyDescent="0.35">
      <c r="A183" s="5" t="s">
        <v>409</v>
      </c>
      <c r="B183" s="6">
        <v>45961</v>
      </c>
      <c r="C183" s="5" t="s">
        <v>410</v>
      </c>
      <c r="D183" s="5" t="s">
        <v>79</v>
      </c>
      <c r="E183" s="5" t="s">
        <v>226</v>
      </c>
      <c r="F183" s="5" t="s">
        <v>28</v>
      </c>
      <c r="G183">
        <v>0.81944444444444442</v>
      </c>
      <c r="H183">
        <v>0.82777777777777772</v>
      </c>
      <c r="I183">
        <v>1</v>
      </c>
      <c r="J183" s="5" t="s">
        <v>18</v>
      </c>
      <c r="K183" s="5" t="s">
        <v>19</v>
      </c>
      <c r="L183">
        <v>1197</v>
      </c>
      <c r="M183" s="5">
        <v>12</v>
      </c>
      <c r="N183" s="5" t="s">
        <v>1671</v>
      </c>
      <c r="O183" s="5" t="s">
        <v>1666</v>
      </c>
      <c r="P183">
        <v>1</v>
      </c>
      <c r="Q183" t="s">
        <v>1665</v>
      </c>
    </row>
    <row r="184" spans="1:18" x14ac:dyDescent="0.35">
      <c r="A184" s="5" t="s">
        <v>411</v>
      </c>
      <c r="B184" s="6">
        <v>45962</v>
      </c>
      <c r="C184" s="5" t="s">
        <v>412</v>
      </c>
      <c r="D184" s="5" t="s">
        <v>202</v>
      </c>
      <c r="E184" s="5" t="s">
        <v>413</v>
      </c>
      <c r="F184" s="5" t="s">
        <v>24</v>
      </c>
      <c r="G184">
        <v>0.71875</v>
      </c>
      <c r="H184">
        <v>0.73541666666666672</v>
      </c>
      <c r="I184">
        <v>31</v>
      </c>
      <c r="J184" s="5" t="s">
        <v>60</v>
      </c>
      <c r="K184" s="5" t="s">
        <v>19</v>
      </c>
      <c r="L184">
        <v>2338</v>
      </c>
      <c r="M184" s="5">
        <v>24</v>
      </c>
      <c r="N184" s="5" t="s">
        <v>1672</v>
      </c>
      <c r="O184" s="5" t="s">
        <v>1667</v>
      </c>
      <c r="P184">
        <v>0</v>
      </c>
      <c r="Q184" t="s">
        <v>1665</v>
      </c>
      <c r="R184" t="s">
        <v>1657</v>
      </c>
    </row>
    <row r="185" spans="1:18" x14ac:dyDescent="0.35">
      <c r="A185" s="5" t="s">
        <v>414</v>
      </c>
      <c r="B185" s="6">
        <v>45963</v>
      </c>
      <c r="C185" s="5" t="s">
        <v>415</v>
      </c>
      <c r="D185" s="5" t="s">
        <v>226</v>
      </c>
      <c r="E185" s="5" t="s">
        <v>197</v>
      </c>
      <c r="F185" s="5" t="s">
        <v>17</v>
      </c>
      <c r="G185">
        <v>0.27777777777777779</v>
      </c>
      <c r="H185">
        <v>0.27916666666666667</v>
      </c>
      <c r="I185">
        <v>-5</v>
      </c>
      <c r="J185" s="5" t="s">
        <v>18</v>
      </c>
      <c r="K185" s="5" t="s">
        <v>19</v>
      </c>
      <c r="L185">
        <v>1622</v>
      </c>
      <c r="M185" s="5">
        <v>2</v>
      </c>
      <c r="N185" s="5" t="s">
        <v>1672</v>
      </c>
      <c r="O185" s="5" t="s">
        <v>1668</v>
      </c>
      <c r="P185">
        <v>1</v>
      </c>
      <c r="Q185" t="s">
        <v>1660</v>
      </c>
    </row>
    <row r="186" spans="1:18" x14ac:dyDescent="0.35">
      <c r="A186" s="5" t="s">
        <v>416</v>
      </c>
      <c r="B186" s="6">
        <v>45963</v>
      </c>
      <c r="C186" s="5" t="s">
        <v>417</v>
      </c>
      <c r="D186" s="5" t="s">
        <v>588</v>
      </c>
      <c r="E186" s="5" t="s">
        <v>202</v>
      </c>
      <c r="F186" s="5" t="s">
        <v>28</v>
      </c>
      <c r="G186">
        <v>0.31597222222222221</v>
      </c>
      <c r="H186">
        <v>0.31319444444444439</v>
      </c>
      <c r="I186">
        <v>-15</v>
      </c>
      <c r="J186" s="5" t="s">
        <v>18</v>
      </c>
      <c r="K186" s="5" t="s">
        <v>19</v>
      </c>
      <c r="L186">
        <v>1120</v>
      </c>
      <c r="M186" s="5">
        <v>-4</v>
      </c>
      <c r="N186" s="5" t="s">
        <v>1672</v>
      </c>
      <c r="O186" s="5" t="s">
        <v>1668</v>
      </c>
      <c r="P186">
        <v>1</v>
      </c>
      <c r="Q186" t="s">
        <v>1660</v>
      </c>
    </row>
    <row r="187" spans="1:18" x14ac:dyDescent="0.35">
      <c r="A187" s="5" t="s">
        <v>419</v>
      </c>
      <c r="B187" s="6">
        <v>45963</v>
      </c>
      <c r="C187" s="5" t="s">
        <v>420</v>
      </c>
      <c r="D187" s="5" t="s">
        <v>413</v>
      </c>
      <c r="E187" s="5" t="s">
        <v>588</v>
      </c>
      <c r="F187" s="5" t="s">
        <v>24</v>
      </c>
      <c r="G187">
        <v>0.35416666666666669</v>
      </c>
      <c r="H187">
        <v>0.35486111111111113</v>
      </c>
      <c r="I187">
        <v>3</v>
      </c>
      <c r="J187" s="5" t="s">
        <v>18</v>
      </c>
      <c r="K187" s="5" t="s">
        <v>19</v>
      </c>
      <c r="L187">
        <v>1232</v>
      </c>
      <c r="M187" s="5">
        <v>1</v>
      </c>
      <c r="N187" s="5" t="s">
        <v>1672</v>
      </c>
      <c r="O187" s="5" t="s">
        <v>1668</v>
      </c>
      <c r="P187">
        <v>1</v>
      </c>
      <c r="Q187" t="s">
        <v>1660</v>
      </c>
    </row>
    <row r="188" spans="1:18" x14ac:dyDescent="0.35">
      <c r="A188" s="5" t="s">
        <v>421</v>
      </c>
      <c r="B188" s="6">
        <v>45963</v>
      </c>
      <c r="C188" s="5" t="s">
        <v>422</v>
      </c>
      <c r="D188" s="5" t="s">
        <v>79</v>
      </c>
      <c r="E188" s="5" t="s">
        <v>71</v>
      </c>
      <c r="F188" s="5" t="s">
        <v>28</v>
      </c>
      <c r="G188">
        <v>0.3888888888888889</v>
      </c>
      <c r="H188">
        <v>0.38472222222222219</v>
      </c>
      <c r="I188">
        <v>1</v>
      </c>
      <c r="J188" s="5" t="s">
        <v>18</v>
      </c>
      <c r="K188" s="5" t="s">
        <v>19</v>
      </c>
      <c r="L188">
        <v>606</v>
      </c>
      <c r="M188" s="5">
        <v>-6</v>
      </c>
      <c r="N188" s="5" t="s">
        <v>1672</v>
      </c>
      <c r="O188" s="5" t="s">
        <v>1668</v>
      </c>
      <c r="P188">
        <v>1</v>
      </c>
      <c r="Q188" t="s">
        <v>1660</v>
      </c>
    </row>
    <row r="189" spans="1:18" x14ac:dyDescent="0.35">
      <c r="A189" s="5" t="s">
        <v>423</v>
      </c>
      <c r="B189" s="6">
        <v>45963</v>
      </c>
      <c r="C189" s="5" t="s">
        <v>424</v>
      </c>
      <c r="D189" s="5" t="s">
        <v>79</v>
      </c>
      <c r="E189" s="5" t="s">
        <v>202</v>
      </c>
      <c r="F189" s="5" t="s">
        <v>28</v>
      </c>
      <c r="G189">
        <v>0.77777777777777779</v>
      </c>
      <c r="H189">
        <v>0.83472222222222225</v>
      </c>
      <c r="I189">
        <v>79</v>
      </c>
      <c r="J189" s="5" t="s">
        <v>60</v>
      </c>
      <c r="K189" s="5" t="s">
        <v>19</v>
      </c>
      <c r="L189">
        <v>596</v>
      </c>
      <c r="M189" s="5">
        <v>82</v>
      </c>
      <c r="N189" s="5" t="s">
        <v>1672</v>
      </c>
      <c r="O189" s="5" t="s">
        <v>1668</v>
      </c>
      <c r="P189">
        <v>0</v>
      </c>
      <c r="Q189" t="s">
        <v>1665</v>
      </c>
      <c r="R189" t="s">
        <v>1657</v>
      </c>
    </row>
    <row r="190" spans="1:18" x14ac:dyDescent="0.35">
      <c r="A190" s="5" t="s">
        <v>425</v>
      </c>
      <c r="B190" s="6">
        <v>45964</v>
      </c>
      <c r="C190" s="5" t="s">
        <v>426</v>
      </c>
      <c r="D190" s="5" t="s">
        <v>202</v>
      </c>
      <c r="E190" s="5" t="s">
        <v>79</v>
      </c>
      <c r="F190" s="5" t="s">
        <v>28</v>
      </c>
      <c r="G190">
        <v>0.43055555555555558</v>
      </c>
      <c r="H190">
        <v>0.43680555555555561</v>
      </c>
      <c r="I190">
        <v>13</v>
      </c>
      <c r="J190" s="5" t="s">
        <v>18</v>
      </c>
      <c r="K190" s="5" t="s">
        <v>19</v>
      </c>
      <c r="L190">
        <v>596</v>
      </c>
      <c r="M190" s="5">
        <v>9</v>
      </c>
      <c r="N190" s="5" t="s">
        <v>1672</v>
      </c>
      <c r="O190" s="5" t="s">
        <v>1659</v>
      </c>
      <c r="P190">
        <v>1</v>
      </c>
      <c r="Q190" t="s">
        <v>1660</v>
      </c>
    </row>
    <row r="191" spans="1:18" x14ac:dyDescent="0.35">
      <c r="A191" s="5" t="s">
        <v>427</v>
      </c>
      <c r="B191" s="6">
        <v>45965</v>
      </c>
      <c r="C191" s="5" t="s">
        <v>428</v>
      </c>
      <c r="D191" s="5" t="s">
        <v>79</v>
      </c>
      <c r="E191" s="5" t="s">
        <v>413</v>
      </c>
      <c r="F191" s="5" t="s">
        <v>24</v>
      </c>
      <c r="G191">
        <v>0.2986111111111111</v>
      </c>
      <c r="H191">
        <v>0.30486111111111108</v>
      </c>
      <c r="I191">
        <v>17</v>
      </c>
      <c r="J191" s="5" t="s">
        <v>18</v>
      </c>
      <c r="K191" s="5" t="s">
        <v>19</v>
      </c>
      <c r="L191">
        <v>1942</v>
      </c>
      <c r="M191" s="5">
        <v>9</v>
      </c>
      <c r="N191" s="5" t="s">
        <v>1672</v>
      </c>
      <c r="O191" s="5" t="s">
        <v>1661</v>
      </c>
      <c r="P191">
        <v>0</v>
      </c>
      <c r="Q191" t="s">
        <v>1660</v>
      </c>
    </row>
    <row r="192" spans="1:18" x14ac:dyDescent="0.35">
      <c r="A192" s="5" t="s">
        <v>429</v>
      </c>
      <c r="B192" s="6">
        <v>45965</v>
      </c>
      <c r="C192" s="5" t="s">
        <v>430</v>
      </c>
      <c r="D192" s="5" t="s">
        <v>197</v>
      </c>
      <c r="E192" s="5" t="s">
        <v>71</v>
      </c>
      <c r="F192" s="5" t="s">
        <v>24</v>
      </c>
      <c r="G192">
        <v>0.40625</v>
      </c>
      <c r="H192">
        <v>0.41388888888888892</v>
      </c>
      <c r="I192">
        <v>15</v>
      </c>
      <c r="J192" s="5" t="s">
        <v>18</v>
      </c>
      <c r="K192" s="5" t="s">
        <v>19</v>
      </c>
      <c r="L192">
        <v>738</v>
      </c>
      <c r="M192" s="5">
        <v>11</v>
      </c>
      <c r="N192" s="5" t="s">
        <v>1672</v>
      </c>
      <c r="O192" s="5" t="s">
        <v>1661</v>
      </c>
      <c r="P192">
        <v>1</v>
      </c>
      <c r="Q192" t="s">
        <v>1660</v>
      </c>
    </row>
    <row r="193" spans="1:18" x14ac:dyDescent="0.35">
      <c r="A193" s="5" t="s">
        <v>431</v>
      </c>
      <c r="B193" s="6">
        <v>45965</v>
      </c>
      <c r="C193" s="5" t="s">
        <v>432</v>
      </c>
      <c r="D193" s="5" t="s">
        <v>1549</v>
      </c>
      <c r="E193" s="5" t="s">
        <v>226</v>
      </c>
      <c r="F193" s="5" t="s">
        <v>38</v>
      </c>
      <c r="G193">
        <v>0.48958333333333331</v>
      </c>
      <c r="H193">
        <v>0.49444444444444452</v>
      </c>
      <c r="I193">
        <v>3</v>
      </c>
      <c r="J193" s="5" t="s">
        <v>18</v>
      </c>
      <c r="K193" s="5" t="s">
        <v>19</v>
      </c>
      <c r="L193">
        <v>1749</v>
      </c>
      <c r="M193" s="5">
        <v>7</v>
      </c>
      <c r="N193" s="5" t="s">
        <v>1672</v>
      </c>
      <c r="O193" s="5" t="s">
        <v>1661</v>
      </c>
      <c r="P193">
        <v>1</v>
      </c>
      <c r="Q193" t="s">
        <v>1660</v>
      </c>
    </row>
    <row r="194" spans="1:18" x14ac:dyDescent="0.35">
      <c r="A194" s="5" t="s">
        <v>433</v>
      </c>
      <c r="B194" s="6">
        <v>45966</v>
      </c>
      <c r="C194" s="5" t="s">
        <v>434</v>
      </c>
      <c r="D194" s="5" t="s">
        <v>588</v>
      </c>
      <c r="E194" s="5" t="s">
        <v>413</v>
      </c>
      <c r="F194" s="5" t="s">
        <v>17</v>
      </c>
      <c r="G194">
        <v>0.34722222222222221</v>
      </c>
      <c r="H194">
        <v>0.34236111111111112</v>
      </c>
      <c r="I194">
        <v>-9</v>
      </c>
      <c r="J194" s="5" t="s">
        <v>18</v>
      </c>
      <c r="K194" s="5" t="s">
        <v>19</v>
      </c>
      <c r="L194">
        <v>1232</v>
      </c>
      <c r="M194" s="5">
        <v>-7</v>
      </c>
      <c r="N194" s="5" t="s">
        <v>1672</v>
      </c>
      <c r="O194" s="5" t="s">
        <v>1662</v>
      </c>
      <c r="P194">
        <v>1</v>
      </c>
      <c r="Q194" t="s">
        <v>1660</v>
      </c>
    </row>
    <row r="195" spans="1:18" x14ac:dyDescent="0.35">
      <c r="A195" s="5" t="s">
        <v>435</v>
      </c>
      <c r="B195" s="6">
        <v>45966</v>
      </c>
      <c r="C195" s="5" t="s">
        <v>436</v>
      </c>
      <c r="D195" s="5" t="s">
        <v>84</v>
      </c>
      <c r="E195" s="5" t="s">
        <v>226</v>
      </c>
      <c r="F195" s="5" t="s">
        <v>38</v>
      </c>
      <c r="G195">
        <v>0.38194444444444442</v>
      </c>
      <c r="H195">
        <v>0.38541666666666669</v>
      </c>
      <c r="I195">
        <v>-6</v>
      </c>
      <c r="J195" s="5" t="s">
        <v>18</v>
      </c>
      <c r="K195" s="5" t="s">
        <v>19</v>
      </c>
      <c r="L195">
        <v>1023</v>
      </c>
      <c r="M195" s="5">
        <v>5</v>
      </c>
      <c r="N195" s="5" t="s">
        <v>1672</v>
      </c>
      <c r="O195" s="5" t="s">
        <v>1662</v>
      </c>
      <c r="P195">
        <v>1</v>
      </c>
      <c r="Q195" t="s">
        <v>1660</v>
      </c>
    </row>
    <row r="196" spans="1:18" x14ac:dyDescent="0.35">
      <c r="A196" s="5" t="s">
        <v>437</v>
      </c>
      <c r="B196" s="6">
        <v>45966</v>
      </c>
      <c r="C196" s="5" t="s">
        <v>438</v>
      </c>
      <c r="D196" s="5" t="s">
        <v>71</v>
      </c>
      <c r="E196" s="5" t="s">
        <v>1171</v>
      </c>
      <c r="F196" s="5" t="s">
        <v>17</v>
      </c>
      <c r="G196">
        <v>0.66319444444444442</v>
      </c>
      <c r="H196">
        <v>0.66597222222222219</v>
      </c>
      <c r="I196">
        <v>8</v>
      </c>
      <c r="J196" s="5" t="s">
        <v>18</v>
      </c>
      <c r="K196" s="5" t="s">
        <v>19</v>
      </c>
      <c r="L196">
        <v>1438</v>
      </c>
      <c r="M196" s="5">
        <v>4</v>
      </c>
      <c r="N196" s="5" t="s">
        <v>1672</v>
      </c>
      <c r="O196" s="5" t="s">
        <v>1662</v>
      </c>
      <c r="P196">
        <v>1</v>
      </c>
      <c r="Q196" t="s">
        <v>1663</v>
      </c>
    </row>
    <row r="197" spans="1:18" x14ac:dyDescent="0.35">
      <c r="A197" s="5" t="s">
        <v>439</v>
      </c>
      <c r="B197" s="6">
        <v>45966</v>
      </c>
      <c r="C197" s="5" t="s">
        <v>440</v>
      </c>
      <c r="D197" s="5" t="s">
        <v>588</v>
      </c>
      <c r="E197" s="5" t="s">
        <v>1171</v>
      </c>
      <c r="F197" s="5" t="s">
        <v>17</v>
      </c>
      <c r="G197">
        <v>0.82638888888888884</v>
      </c>
      <c r="H197">
        <v>0.83472222222222225</v>
      </c>
      <c r="I197">
        <v>2</v>
      </c>
      <c r="J197" s="5" t="s">
        <v>18</v>
      </c>
      <c r="K197" s="5" t="s">
        <v>19</v>
      </c>
      <c r="L197">
        <v>866</v>
      </c>
      <c r="M197" s="5">
        <v>12</v>
      </c>
      <c r="N197" s="5" t="s">
        <v>1672</v>
      </c>
      <c r="O197" s="5" t="s">
        <v>1662</v>
      </c>
      <c r="P197">
        <v>1</v>
      </c>
      <c r="Q197" t="s">
        <v>1665</v>
      </c>
    </row>
    <row r="198" spans="1:18" x14ac:dyDescent="0.35">
      <c r="A198" s="5" t="s">
        <v>441</v>
      </c>
      <c r="B198" s="6">
        <v>45966</v>
      </c>
      <c r="C198" s="5" t="s">
        <v>442</v>
      </c>
      <c r="D198" s="5" t="s">
        <v>1295</v>
      </c>
      <c r="E198" s="5" t="s">
        <v>197</v>
      </c>
      <c r="F198" s="5" t="s">
        <v>17</v>
      </c>
      <c r="G198">
        <v>0.85416666666666663</v>
      </c>
      <c r="H198">
        <v>0.86041666666666672</v>
      </c>
      <c r="I198">
        <v>1</v>
      </c>
      <c r="J198" s="5" t="s">
        <v>18</v>
      </c>
      <c r="K198" s="5" t="s">
        <v>19</v>
      </c>
      <c r="L198">
        <v>2580</v>
      </c>
      <c r="M198" s="5">
        <v>9</v>
      </c>
      <c r="N198" s="5" t="s">
        <v>1672</v>
      </c>
      <c r="O198" s="5" t="s">
        <v>1662</v>
      </c>
      <c r="P198">
        <v>1</v>
      </c>
      <c r="Q198" t="s">
        <v>1665</v>
      </c>
    </row>
    <row r="199" spans="1:18" x14ac:dyDescent="0.35">
      <c r="A199" s="5" t="s">
        <v>443</v>
      </c>
      <c r="B199" s="6">
        <v>45967</v>
      </c>
      <c r="C199" s="5" t="s">
        <v>444</v>
      </c>
      <c r="D199" s="5" t="s">
        <v>71</v>
      </c>
      <c r="E199" s="5" t="s">
        <v>197</v>
      </c>
      <c r="F199" s="5" t="s">
        <v>17</v>
      </c>
      <c r="G199">
        <v>0.47916666666666669</v>
      </c>
      <c r="H199">
        <v>0.48680555555555549</v>
      </c>
      <c r="I199">
        <v>19</v>
      </c>
      <c r="J199" s="5" t="s">
        <v>18</v>
      </c>
      <c r="K199" s="5" t="s">
        <v>19</v>
      </c>
      <c r="L199">
        <v>738</v>
      </c>
      <c r="M199" s="5">
        <v>11</v>
      </c>
      <c r="N199" s="5" t="s">
        <v>1672</v>
      </c>
      <c r="O199" s="5" t="s">
        <v>1664</v>
      </c>
      <c r="P199">
        <v>0</v>
      </c>
      <c r="Q199" t="s">
        <v>1660</v>
      </c>
    </row>
    <row r="200" spans="1:18" x14ac:dyDescent="0.35">
      <c r="A200" s="5" t="s">
        <v>445</v>
      </c>
      <c r="B200" s="6">
        <v>45967</v>
      </c>
      <c r="C200" s="5" t="s">
        <v>446</v>
      </c>
      <c r="D200" s="5" t="s">
        <v>71</v>
      </c>
      <c r="E200" s="5" t="s">
        <v>202</v>
      </c>
      <c r="F200" s="5" t="s">
        <v>24</v>
      </c>
      <c r="G200">
        <v>0.88888888888888884</v>
      </c>
      <c r="H200">
        <v>0.90625</v>
      </c>
      <c r="I200">
        <v>25</v>
      </c>
      <c r="J200" s="5" t="s">
        <v>477</v>
      </c>
      <c r="K200" s="5" t="s">
        <v>19</v>
      </c>
      <c r="L200">
        <v>1199</v>
      </c>
      <c r="M200" s="5">
        <v>25</v>
      </c>
      <c r="N200" s="5" t="s">
        <v>1672</v>
      </c>
      <c r="O200" s="5" t="s">
        <v>1664</v>
      </c>
      <c r="P200">
        <v>0</v>
      </c>
      <c r="Q200" t="s">
        <v>1669</v>
      </c>
      <c r="R200" t="s">
        <v>1670</v>
      </c>
    </row>
    <row r="201" spans="1:18" x14ac:dyDescent="0.35">
      <c r="A201" s="5" t="s">
        <v>447</v>
      </c>
      <c r="B201" s="6">
        <v>45968</v>
      </c>
      <c r="C201" s="5" t="s">
        <v>448</v>
      </c>
      <c r="D201" s="5" t="s">
        <v>71</v>
      </c>
      <c r="E201" s="5" t="s">
        <v>1171</v>
      </c>
      <c r="F201" s="5" t="s">
        <v>38</v>
      </c>
      <c r="G201">
        <v>0.3263888888888889</v>
      </c>
      <c r="H201">
        <v>0.32361111111111113</v>
      </c>
      <c r="I201">
        <v>1</v>
      </c>
      <c r="J201" s="5" t="s">
        <v>18</v>
      </c>
      <c r="K201" s="5" t="s">
        <v>19</v>
      </c>
      <c r="L201">
        <v>1438</v>
      </c>
      <c r="M201" s="5">
        <v>-4</v>
      </c>
      <c r="N201" s="5" t="s">
        <v>1672</v>
      </c>
      <c r="O201" s="5" t="s">
        <v>1666</v>
      </c>
      <c r="P201">
        <v>1</v>
      </c>
      <c r="Q201" t="s">
        <v>1660</v>
      </c>
    </row>
    <row r="202" spans="1:18" x14ac:dyDescent="0.35">
      <c r="A202" s="5" t="s">
        <v>449</v>
      </c>
      <c r="B202" s="6">
        <v>45968</v>
      </c>
      <c r="C202" s="5" t="s">
        <v>133</v>
      </c>
      <c r="D202" s="5" t="s">
        <v>197</v>
      </c>
      <c r="E202" s="5" t="s">
        <v>71</v>
      </c>
      <c r="F202" s="5" t="s">
        <v>24</v>
      </c>
      <c r="G202">
        <v>0.38194444444444442</v>
      </c>
      <c r="H202">
        <v>0.37847222222222221</v>
      </c>
      <c r="I202">
        <v>-16</v>
      </c>
      <c r="J202" s="5" t="s">
        <v>18</v>
      </c>
      <c r="K202" s="5" t="s">
        <v>19</v>
      </c>
      <c r="L202">
        <v>738</v>
      </c>
      <c r="M202" s="5">
        <v>-5</v>
      </c>
      <c r="N202" s="5" t="s">
        <v>1672</v>
      </c>
      <c r="O202" s="5" t="s">
        <v>1666</v>
      </c>
      <c r="P202">
        <v>1</v>
      </c>
      <c r="Q202" t="s">
        <v>1660</v>
      </c>
    </row>
    <row r="203" spans="1:18" x14ac:dyDescent="0.35">
      <c r="A203" s="5" t="s">
        <v>450</v>
      </c>
      <c r="B203" s="6">
        <v>45968</v>
      </c>
      <c r="C203" s="5" t="s">
        <v>46</v>
      </c>
      <c r="D203" s="5" t="s">
        <v>197</v>
      </c>
      <c r="E203" s="5" t="s">
        <v>71</v>
      </c>
      <c r="F203" s="5" t="s">
        <v>17</v>
      </c>
      <c r="G203">
        <v>0.39583333333333331</v>
      </c>
      <c r="H203">
        <v>0.40277777777777779</v>
      </c>
      <c r="I203">
        <v>2</v>
      </c>
      <c r="J203" s="5" t="s">
        <v>18</v>
      </c>
      <c r="K203" s="5" t="s">
        <v>19</v>
      </c>
      <c r="L203">
        <v>738</v>
      </c>
      <c r="M203" s="5">
        <v>10</v>
      </c>
      <c r="N203" s="5" t="s">
        <v>1672</v>
      </c>
      <c r="O203" s="5" t="s">
        <v>1666</v>
      </c>
      <c r="P203">
        <v>1</v>
      </c>
      <c r="Q203" t="s">
        <v>1660</v>
      </c>
    </row>
    <row r="204" spans="1:18" x14ac:dyDescent="0.35">
      <c r="A204" s="5" t="s">
        <v>451</v>
      </c>
      <c r="B204" s="6">
        <v>45968</v>
      </c>
      <c r="C204" s="5" t="s">
        <v>452</v>
      </c>
      <c r="D204" s="5" t="s">
        <v>71</v>
      </c>
      <c r="E204" s="5" t="s">
        <v>1549</v>
      </c>
      <c r="F204" s="5" t="s">
        <v>17</v>
      </c>
      <c r="G204">
        <v>0.43055555555555558</v>
      </c>
      <c r="H204">
        <v>0.43263888888888891</v>
      </c>
      <c r="I204">
        <v>-3</v>
      </c>
      <c r="J204" s="5" t="s">
        <v>18</v>
      </c>
      <c r="K204" s="5" t="s">
        <v>19</v>
      </c>
      <c r="L204">
        <v>864</v>
      </c>
      <c r="M204" s="5">
        <v>3</v>
      </c>
      <c r="N204" s="5" t="s">
        <v>1672</v>
      </c>
      <c r="O204" s="5" t="s">
        <v>1666</v>
      </c>
      <c r="P204">
        <v>1</v>
      </c>
      <c r="Q204" t="s">
        <v>1660</v>
      </c>
    </row>
    <row r="205" spans="1:18" x14ac:dyDescent="0.35">
      <c r="A205" s="5" t="s">
        <v>453</v>
      </c>
      <c r="B205" s="6">
        <v>45969</v>
      </c>
      <c r="C205" s="5" t="s">
        <v>454</v>
      </c>
      <c r="D205" s="5" t="s">
        <v>79</v>
      </c>
      <c r="E205" s="5" t="s">
        <v>1171</v>
      </c>
      <c r="F205" s="5" t="s">
        <v>17</v>
      </c>
      <c r="G205">
        <v>0.22916666666666671</v>
      </c>
      <c r="H205">
        <v>0.22847222222222219</v>
      </c>
      <c r="I205">
        <v>7</v>
      </c>
      <c r="J205" s="5" t="s">
        <v>18</v>
      </c>
      <c r="K205" s="5" t="s">
        <v>19</v>
      </c>
      <c r="L205">
        <v>1584</v>
      </c>
      <c r="M205" s="5">
        <v>-1</v>
      </c>
      <c r="N205" s="5" t="s">
        <v>1672</v>
      </c>
      <c r="O205" s="5" t="s">
        <v>1667</v>
      </c>
      <c r="P205">
        <v>1</v>
      </c>
      <c r="Q205" t="s">
        <v>1660</v>
      </c>
    </row>
    <row r="206" spans="1:18" x14ac:dyDescent="0.35">
      <c r="A206" s="5" t="s">
        <v>455</v>
      </c>
      <c r="B206" s="6">
        <v>45969</v>
      </c>
      <c r="C206" s="5" t="s">
        <v>456</v>
      </c>
      <c r="D206" s="5" t="s">
        <v>1295</v>
      </c>
      <c r="E206" s="5" t="s">
        <v>413</v>
      </c>
      <c r="F206" s="5" t="s">
        <v>17</v>
      </c>
      <c r="G206">
        <v>0.3125</v>
      </c>
      <c r="H206">
        <v>0.31319444444444439</v>
      </c>
      <c r="I206">
        <v>6</v>
      </c>
      <c r="J206" s="5" t="s">
        <v>18</v>
      </c>
      <c r="K206" s="5" t="s">
        <v>19</v>
      </c>
      <c r="L206">
        <v>338</v>
      </c>
      <c r="M206" s="5">
        <v>1</v>
      </c>
      <c r="N206" s="5" t="s">
        <v>1672</v>
      </c>
      <c r="O206" s="5" t="s">
        <v>1667</v>
      </c>
      <c r="P206">
        <v>1</v>
      </c>
      <c r="Q206" t="s">
        <v>1660</v>
      </c>
    </row>
    <row r="207" spans="1:18" x14ac:dyDescent="0.35">
      <c r="A207" s="5" t="s">
        <v>457</v>
      </c>
      <c r="B207" s="6">
        <v>45969</v>
      </c>
      <c r="C207" s="5" t="s">
        <v>458</v>
      </c>
      <c r="D207" s="5" t="s">
        <v>413</v>
      </c>
      <c r="E207" s="5" t="s">
        <v>226</v>
      </c>
      <c r="F207" s="5" t="s">
        <v>24</v>
      </c>
      <c r="G207">
        <v>0.70486111111111116</v>
      </c>
      <c r="I207">
        <v>-8</v>
      </c>
      <c r="J207" s="5" t="s">
        <v>18</v>
      </c>
      <c r="K207" s="5" t="s">
        <v>19</v>
      </c>
      <c r="L207">
        <v>861</v>
      </c>
      <c r="M207" s="5">
        <v>4</v>
      </c>
      <c r="N207" s="5" t="s">
        <v>1672</v>
      </c>
      <c r="O207" s="5" t="s">
        <v>1667</v>
      </c>
      <c r="P207">
        <v>1</v>
      </c>
      <c r="Q207" t="s">
        <v>1663</v>
      </c>
    </row>
    <row r="208" spans="1:18" x14ac:dyDescent="0.35">
      <c r="A208" s="5" t="s">
        <v>459</v>
      </c>
      <c r="B208" s="6">
        <v>45969</v>
      </c>
      <c r="C208" s="5" t="s">
        <v>460</v>
      </c>
      <c r="D208" s="5" t="s">
        <v>588</v>
      </c>
      <c r="E208" s="5" t="s">
        <v>197</v>
      </c>
      <c r="F208" s="5" t="s">
        <v>28</v>
      </c>
      <c r="G208">
        <v>0.72569444444444442</v>
      </c>
      <c r="H208">
        <v>0.72013888888888888</v>
      </c>
      <c r="I208">
        <v>-4</v>
      </c>
      <c r="J208" s="5" t="s">
        <v>18</v>
      </c>
      <c r="K208" s="5" t="s">
        <v>19</v>
      </c>
      <c r="L208">
        <v>1389</v>
      </c>
      <c r="M208" s="5">
        <v>-8</v>
      </c>
      <c r="N208" s="5" t="s">
        <v>1672</v>
      </c>
      <c r="O208" s="5" t="s">
        <v>1667</v>
      </c>
      <c r="P208">
        <v>1</v>
      </c>
      <c r="Q208" t="s">
        <v>1665</v>
      </c>
    </row>
    <row r="209" spans="1:18" x14ac:dyDescent="0.35">
      <c r="A209" s="5" t="s">
        <v>461</v>
      </c>
      <c r="B209" s="6">
        <v>45969</v>
      </c>
      <c r="C209" s="5" t="s">
        <v>14</v>
      </c>
      <c r="D209" s="5" t="s">
        <v>197</v>
      </c>
      <c r="E209" s="5" t="s">
        <v>1549</v>
      </c>
      <c r="F209" s="5" t="s">
        <v>28</v>
      </c>
      <c r="G209">
        <v>0.77777777777777779</v>
      </c>
      <c r="H209">
        <v>0.81458333333333333</v>
      </c>
      <c r="I209">
        <v>41</v>
      </c>
      <c r="J209" s="5" t="s">
        <v>54</v>
      </c>
      <c r="K209" s="5" t="s">
        <v>19</v>
      </c>
      <c r="L209">
        <v>186</v>
      </c>
      <c r="M209" s="5">
        <v>53</v>
      </c>
      <c r="N209" s="5" t="s">
        <v>1672</v>
      </c>
      <c r="O209" s="5" t="s">
        <v>1667</v>
      </c>
      <c r="P209">
        <v>0</v>
      </c>
      <c r="Q209" t="s">
        <v>1665</v>
      </c>
      <c r="R209" t="s">
        <v>1657</v>
      </c>
    </row>
    <row r="210" spans="1:18" x14ac:dyDescent="0.35">
      <c r="A210" s="5" t="s">
        <v>462</v>
      </c>
      <c r="B210" s="6">
        <v>45969</v>
      </c>
      <c r="C210" s="5" t="s">
        <v>463</v>
      </c>
      <c r="D210" s="5" t="s">
        <v>202</v>
      </c>
      <c r="E210" s="5" t="s">
        <v>588</v>
      </c>
      <c r="F210" s="5" t="s">
        <v>38</v>
      </c>
      <c r="G210">
        <v>0.80902777777777779</v>
      </c>
      <c r="H210">
        <v>0.82222222222222219</v>
      </c>
      <c r="I210">
        <v>17</v>
      </c>
      <c r="J210" s="5" t="s">
        <v>54</v>
      </c>
      <c r="K210" s="5" t="s">
        <v>19</v>
      </c>
      <c r="L210">
        <v>1120</v>
      </c>
      <c r="M210" s="5">
        <v>19</v>
      </c>
      <c r="N210" s="5" t="s">
        <v>1672</v>
      </c>
      <c r="O210" s="5" t="s">
        <v>1667</v>
      </c>
      <c r="P210">
        <v>0</v>
      </c>
      <c r="Q210" t="s">
        <v>1665</v>
      </c>
      <c r="R210" t="s">
        <v>1657</v>
      </c>
    </row>
    <row r="211" spans="1:18" x14ac:dyDescent="0.35">
      <c r="A211" s="5" t="s">
        <v>464</v>
      </c>
      <c r="B211" s="6">
        <v>45970</v>
      </c>
      <c r="C211" s="5" t="s">
        <v>465</v>
      </c>
      <c r="D211" s="5" t="s">
        <v>84</v>
      </c>
      <c r="E211" s="5" t="s">
        <v>71</v>
      </c>
      <c r="F211" s="5" t="s">
        <v>24</v>
      </c>
      <c r="G211">
        <v>0.34375</v>
      </c>
      <c r="H211">
        <v>0.34722222222222221</v>
      </c>
      <c r="I211">
        <v>10</v>
      </c>
      <c r="J211" s="5" t="s">
        <v>18</v>
      </c>
      <c r="K211" s="5" t="s">
        <v>19</v>
      </c>
      <c r="L211">
        <v>1717</v>
      </c>
      <c r="M211" s="5">
        <v>5</v>
      </c>
      <c r="N211" s="5" t="s">
        <v>1672</v>
      </c>
      <c r="O211" s="5" t="s">
        <v>1668</v>
      </c>
      <c r="P211">
        <v>1</v>
      </c>
      <c r="Q211" t="s">
        <v>1660</v>
      </c>
    </row>
    <row r="212" spans="1:18" x14ac:dyDescent="0.35">
      <c r="A212" s="5" t="s">
        <v>466</v>
      </c>
      <c r="B212" s="6">
        <v>45970</v>
      </c>
      <c r="C212" s="5" t="s">
        <v>151</v>
      </c>
      <c r="D212" s="5" t="s">
        <v>588</v>
      </c>
      <c r="E212" s="5" t="s">
        <v>79</v>
      </c>
      <c r="F212" s="5" t="s">
        <v>17</v>
      </c>
      <c r="G212">
        <v>0.52083333333333337</v>
      </c>
      <c r="H212">
        <v>0.52569444444444446</v>
      </c>
      <c r="I212">
        <v>4</v>
      </c>
      <c r="J212" s="5" t="s">
        <v>18</v>
      </c>
      <c r="K212" s="5" t="s">
        <v>19</v>
      </c>
      <c r="L212">
        <v>730</v>
      </c>
      <c r="M212" s="5">
        <v>7</v>
      </c>
      <c r="N212" s="5" t="s">
        <v>1672</v>
      </c>
      <c r="O212" s="5" t="s">
        <v>1668</v>
      </c>
      <c r="P212">
        <v>1</v>
      </c>
      <c r="Q212" t="s">
        <v>1663</v>
      </c>
    </row>
    <row r="213" spans="1:18" x14ac:dyDescent="0.35">
      <c r="A213" s="5" t="s">
        <v>467</v>
      </c>
      <c r="B213" s="6">
        <v>45970</v>
      </c>
      <c r="C213" s="5" t="s">
        <v>468</v>
      </c>
      <c r="D213" s="5" t="s">
        <v>226</v>
      </c>
      <c r="E213" s="5" t="s">
        <v>1549</v>
      </c>
      <c r="F213" s="5" t="s">
        <v>17</v>
      </c>
      <c r="G213">
        <v>0.79166666666666663</v>
      </c>
      <c r="H213">
        <v>0.79791666666666672</v>
      </c>
      <c r="I213">
        <v>7</v>
      </c>
      <c r="J213" s="5" t="s">
        <v>18</v>
      </c>
      <c r="K213" s="5" t="s">
        <v>19</v>
      </c>
      <c r="L213">
        <v>1749</v>
      </c>
      <c r="M213" s="5">
        <v>9</v>
      </c>
      <c r="N213" s="5" t="s">
        <v>1672</v>
      </c>
      <c r="O213" s="5" t="s">
        <v>1668</v>
      </c>
      <c r="P213">
        <v>1</v>
      </c>
      <c r="Q213" t="s">
        <v>1665</v>
      </c>
    </row>
    <row r="214" spans="1:18" x14ac:dyDescent="0.35">
      <c r="A214" s="5" t="s">
        <v>469</v>
      </c>
      <c r="B214" s="6">
        <v>45971</v>
      </c>
      <c r="C214" s="5" t="s">
        <v>470</v>
      </c>
      <c r="D214" s="5" t="s">
        <v>413</v>
      </c>
      <c r="E214" s="5" t="s">
        <v>71</v>
      </c>
      <c r="F214" s="5" t="s">
        <v>24</v>
      </c>
      <c r="G214">
        <v>0.35069444444444442</v>
      </c>
      <c r="H214">
        <v>0.35625000000000001</v>
      </c>
      <c r="I214">
        <v>17</v>
      </c>
      <c r="J214" s="5" t="s">
        <v>18</v>
      </c>
      <c r="K214" s="5" t="s">
        <v>19</v>
      </c>
      <c r="L214">
        <v>1742</v>
      </c>
      <c r="M214" s="5">
        <v>8</v>
      </c>
      <c r="N214" s="5" t="s">
        <v>1672</v>
      </c>
      <c r="O214" s="5" t="s">
        <v>1659</v>
      </c>
      <c r="P214">
        <v>0</v>
      </c>
      <c r="Q214" t="s">
        <v>1660</v>
      </c>
    </row>
    <row r="215" spans="1:18" x14ac:dyDescent="0.35">
      <c r="A215" s="5" t="s">
        <v>471</v>
      </c>
      <c r="B215" s="6">
        <v>45971</v>
      </c>
      <c r="C215" s="5" t="s">
        <v>472</v>
      </c>
      <c r="D215" s="5" t="s">
        <v>197</v>
      </c>
      <c r="E215" s="5" t="s">
        <v>588</v>
      </c>
      <c r="F215" s="5" t="s">
        <v>24</v>
      </c>
      <c r="G215">
        <v>0.62152777777777779</v>
      </c>
      <c r="H215">
        <v>0.63958333333333328</v>
      </c>
      <c r="I215">
        <v>24</v>
      </c>
      <c r="J215" s="5" t="s">
        <v>129</v>
      </c>
      <c r="K215" s="5" t="s">
        <v>19</v>
      </c>
      <c r="L215">
        <v>1389</v>
      </c>
      <c r="M215" s="5">
        <v>26</v>
      </c>
      <c r="N215" s="5" t="s">
        <v>1672</v>
      </c>
      <c r="O215" s="5" t="s">
        <v>1659</v>
      </c>
      <c r="P215">
        <v>0</v>
      </c>
      <c r="Q215" t="s">
        <v>1663</v>
      </c>
      <c r="R215" t="s">
        <v>1670</v>
      </c>
    </row>
    <row r="216" spans="1:18" x14ac:dyDescent="0.35">
      <c r="A216" s="5" t="s">
        <v>473</v>
      </c>
      <c r="B216" s="6">
        <v>45972</v>
      </c>
      <c r="C216" s="5" t="s">
        <v>474</v>
      </c>
      <c r="D216" s="5" t="s">
        <v>1171</v>
      </c>
      <c r="E216" s="5" t="s">
        <v>226</v>
      </c>
      <c r="F216" s="5" t="s">
        <v>38</v>
      </c>
      <c r="G216">
        <v>0.52430555555555558</v>
      </c>
      <c r="H216">
        <v>0.52569444444444446</v>
      </c>
      <c r="I216">
        <v>11</v>
      </c>
      <c r="J216" s="5" t="s">
        <v>18</v>
      </c>
      <c r="K216" s="5" t="s">
        <v>19</v>
      </c>
      <c r="L216">
        <v>602</v>
      </c>
      <c r="M216" s="5">
        <v>2</v>
      </c>
      <c r="N216" s="5" t="s">
        <v>1672</v>
      </c>
      <c r="O216" s="5" t="s">
        <v>1661</v>
      </c>
      <c r="P216">
        <v>1</v>
      </c>
      <c r="Q216" t="s">
        <v>1663</v>
      </c>
    </row>
    <row r="217" spans="1:18" x14ac:dyDescent="0.35">
      <c r="A217" s="5" t="s">
        <v>475</v>
      </c>
      <c r="B217" s="6">
        <v>45972</v>
      </c>
      <c r="C217" s="5" t="s">
        <v>476</v>
      </c>
      <c r="D217" s="5" t="s">
        <v>197</v>
      </c>
      <c r="E217" s="5" t="s">
        <v>79</v>
      </c>
      <c r="F217" s="5" t="s">
        <v>38</v>
      </c>
      <c r="G217">
        <v>0.73263888888888884</v>
      </c>
      <c r="H217">
        <v>0.7631944444444444</v>
      </c>
      <c r="I217">
        <v>45</v>
      </c>
      <c r="J217" s="5" t="s">
        <v>477</v>
      </c>
      <c r="K217" s="5" t="s">
        <v>19</v>
      </c>
      <c r="L217">
        <v>759</v>
      </c>
      <c r="M217" s="5">
        <v>44</v>
      </c>
      <c r="N217" s="5" t="s">
        <v>1672</v>
      </c>
      <c r="O217" s="5" t="s">
        <v>1661</v>
      </c>
      <c r="P217">
        <v>0</v>
      </c>
      <c r="Q217" t="s">
        <v>1665</v>
      </c>
      <c r="R217" t="s">
        <v>1670</v>
      </c>
    </row>
    <row r="218" spans="1:18" x14ac:dyDescent="0.35">
      <c r="A218" s="5" t="s">
        <v>478</v>
      </c>
      <c r="B218" s="6">
        <v>45973</v>
      </c>
      <c r="C218" s="5" t="s">
        <v>479</v>
      </c>
      <c r="D218" s="5" t="s">
        <v>202</v>
      </c>
      <c r="E218" s="5" t="s">
        <v>1295</v>
      </c>
      <c r="F218" s="5" t="s">
        <v>28</v>
      </c>
      <c r="G218">
        <v>0.4548611111111111</v>
      </c>
      <c r="H218">
        <v>0.44930555555555562</v>
      </c>
      <c r="I218">
        <v>-16</v>
      </c>
      <c r="J218" s="5" t="s">
        <v>18</v>
      </c>
      <c r="K218" s="5" t="s">
        <v>19</v>
      </c>
      <c r="L218">
        <v>2582</v>
      </c>
      <c r="M218" s="5">
        <v>-8</v>
      </c>
      <c r="N218" s="5" t="s">
        <v>1672</v>
      </c>
      <c r="O218" s="5" t="s">
        <v>1662</v>
      </c>
      <c r="P218">
        <v>1</v>
      </c>
      <c r="Q218" t="s">
        <v>1660</v>
      </c>
    </row>
    <row r="219" spans="1:18" x14ac:dyDescent="0.35">
      <c r="A219" s="5" t="s">
        <v>480</v>
      </c>
      <c r="B219" s="6">
        <v>45973</v>
      </c>
      <c r="C219" s="5" t="s">
        <v>481</v>
      </c>
      <c r="D219" s="5" t="s">
        <v>588</v>
      </c>
      <c r="E219" s="5" t="s">
        <v>1549</v>
      </c>
      <c r="F219" s="5" t="s">
        <v>17</v>
      </c>
      <c r="G219">
        <v>0.57638888888888884</v>
      </c>
      <c r="H219">
        <v>0.57777777777777772</v>
      </c>
      <c r="I219">
        <v>1</v>
      </c>
      <c r="J219" s="5" t="s">
        <v>18</v>
      </c>
      <c r="K219" s="5" t="s">
        <v>19</v>
      </c>
      <c r="L219">
        <v>1559</v>
      </c>
      <c r="M219" s="5">
        <v>2</v>
      </c>
      <c r="N219" s="5" t="s">
        <v>1672</v>
      </c>
      <c r="O219" s="5" t="s">
        <v>1662</v>
      </c>
      <c r="P219">
        <v>1</v>
      </c>
      <c r="Q219" t="s">
        <v>1663</v>
      </c>
    </row>
    <row r="220" spans="1:18" x14ac:dyDescent="0.35">
      <c r="A220" s="5" t="s">
        <v>482</v>
      </c>
      <c r="B220" s="6">
        <v>45973</v>
      </c>
      <c r="C220" s="5" t="s">
        <v>483</v>
      </c>
      <c r="D220" s="5" t="s">
        <v>588</v>
      </c>
      <c r="E220" s="5" t="s">
        <v>79</v>
      </c>
      <c r="F220" s="5" t="s">
        <v>24</v>
      </c>
      <c r="G220">
        <v>0.69444444444444442</v>
      </c>
      <c r="H220">
        <v>0.69305555555555554</v>
      </c>
      <c r="I220">
        <v>6</v>
      </c>
      <c r="J220" s="5" t="s">
        <v>18</v>
      </c>
      <c r="K220" s="5" t="s">
        <v>19</v>
      </c>
      <c r="L220">
        <v>730</v>
      </c>
      <c r="M220" s="5">
        <v>-2</v>
      </c>
      <c r="N220" s="5" t="s">
        <v>1672</v>
      </c>
      <c r="O220" s="5" t="s">
        <v>1662</v>
      </c>
      <c r="P220">
        <v>1</v>
      </c>
      <c r="Q220" t="s">
        <v>1663</v>
      </c>
    </row>
    <row r="221" spans="1:18" x14ac:dyDescent="0.35">
      <c r="A221" s="5" t="s">
        <v>484</v>
      </c>
      <c r="B221" s="6">
        <v>45973</v>
      </c>
      <c r="C221" s="5" t="s">
        <v>485</v>
      </c>
      <c r="D221" s="5" t="s">
        <v>84</v>
      </c>
      <c r="E221" s="5" t="s">
        <v>546</v>
      </c>
      <c r="F221" s="5" t="s">
        <v>38</v>
      </c>
      <c r="G221">
        <v>0.73611111111111116</v>
      </c>
      <c r="H221">
        <v>0.7319444444444444</v>
      </c>
      <c r="I221">
        <v>2</v>
      </c>
      <c r="J221" s="5" t="s">
        <v>18</v>
      </c>
      <c r="K221" s="5" t="s">
        <v>19</v>
      </c>
      <c r="L221">
        <v>867</v>
      </c>
      <c r="M221" s="5">
        <v>-6</v>
      </c>
      <c r="N221" s="5" t="s">
        <v>1672</v>
      </c>
      <c r="O221" s="5" t="s">
        <v>1662</v>
      </c>
      <c r="P221">
        <v>1</v>
      </c>
      <c r="Q221" t="s">
        <v>1665</v>
      </c>
    </row>
    <row r="222" spans="1:18" x14ac:dyDescent="0.35">
      <c r="A222" s="5" t="s">
        <v>486</v>
      </c>
      <c r="B222" s="6">
        <v>45973</v>
      </c>
      <c r="C222" s="5" t="s">
        <v>487</v>
      </c>
      <c r="D222" s="5" t="s">
        <v>588</v>
      </c>
      <c r="E222" s="5" t="s">
        <v>1549</v>
      </c>
      <c r="F222" s="5" t="s">
        <v>17</v>
      </c>
      <c r="G222">
        <v>0.78472222222222221</v>
      </c>
      <c r="H222">
        <v>0.78402777777777777</v>
      </c>
      <c r="J222" s="5" t="s">
        <v>18</v>
      </c>
      <c r="K222" s="5" t="s">
        <v>19</v>
      </c>
      <c r="L222">
        <v>1559</v>
      </c>
      <c r="M222" s="5">
        <v>-1</v>
      </c>
      <c r="N222" s="5" t="s">
        <v>1672</v>
      </c>
      <c r="O222" s="5" t="s">
        <v>1662</v>
      </c>
      <c r="Q222" t="s">
        <v>1665</v>
      </c>
    </row>
    <row r="223" spans="1:18" x14ac:dyDescent="0.35">
      <c r="A223" s="5" t="s">
        <v>488</v>
      </c>
      <c r="B223" s="6">
        <v>45973</v>
      </c>
      <c r="C223" s="5" t="s">
        <v>489</v>
      </c>
      <c r="D223" s="5" t="s">
        <v>202</v>
      </c>
      <c r="E223" s="5" t="s">
        <v>71</v>
      </c>
      <c r="F223" s="5" t="s">
        <v>17</v>
      </c>
      <c r="G223">
        <v>0.82291666666666663</v>
      </c>
      <c r="H223">
        <v>0.85</v>
      </c>
      <c r="I223">
        <v>36</v>
      </c>
      <c r="J223" s="5" t="s">
        <v>60</v>
      </c>
      <c r="K223" s="5" t="s">
        <v>19</v>
      </c>
      <c r="L223">
        <v>1199</v>
      </c>
      <c r="M223" s="5">
        <v>39</v>
      </c>
      <c r="N223" s="5" t="s">
        <v>1672</v>
      </c>
      <c r="O223" s="5" t="s">
        <v>1662</v>
      </c>
      <c r="P223">
        <v>0</v>
      </c>
      <c r="Q223" t="s">
        <v>1665</v>
      </c>
      <c r="R223" t="s">
        <v>1657</v>
      </c>
    </row>
    <row r="224" spans="1:18" x14ac:dyDescent="0.35">
      <c r="A224" s="5" t="s">
        <v>490</v>
      </c>
      <c r="B224" s="6">
        <v>45974</v>
      </c>
      <c r="C224" s="5" t="s">
        <v>239</v>
      </c>
      <c r="D224" s="5" t="s">
        <v>79</v>
      </c>
      <c r="E224" s="5" t="s">
        <v>588</v>
      </c>
      <c r="F224" s="5" t="s">
        <v>28</v>
      </c>
      <c r="G224">
        <v>0.4548611111111111</v>
      </c>
      <c r="H224">
        <v>0.4513888888888889</v>
      </c>
      <c r="I224">
        <v>-12</v>
      </c>
      <c r="J224" s="5" t="s">
        <v>18</v>
      </c>
      <c r="K224" s="5" t="s">
        <v>19</v>
      </c>
      <c r="L224">
        <v>730</v>
      </c>
      <c r="M224" s="5">
        <v>-5</v>
      </c>
      <c r="N224" s="5" t="s">
        <v>1672</v>
      </c>
      <c r="O224" s="5" t="s">
        <v>1664</v>
      </c>
      <c r="P224">
        <v>1</v>
      </c>
      <c r="Q224" t="s">
        <v>1660</v>
      </c>
    </row>
    <row r="225" spans="1:18" x14ac:dyDescent="0.35">
      <c r="A225" s="5" t="s">
        <v>491</v>
      </c>
      <c r="B225" s="6">
        <v>45974</v>
      </c>
      <c r="C225" s="5" t="s">
        <v>492</v>
      </c>
      <c r="D225" s="5" t="s">
        <v>588</v>
      </c>
      <c r="E225" s="5" t="s">
        <v>413</v>
      </c>
      <c r="F225" s="5" t="s">
        <v>24</v>
      </c>
      <c r="G225">
        <v>0.73958333333333337</v>
      </c>
      <c r="H225">
        <v>0.74305555555555558</v>
      </c>
      <c r="J225" s="5" t="s">
        <v>18</v>
      </c>
      <c r="K225" s="5" t="s">
        <v>19</v>
      </c>
      <c r="L225">
        <v>1232</v>
      </c>
      <c r="M225" s="5">
        <v>5</v>
      </c>
      <c r="N225" s="5" t="s">
        <v>1672</v>
      </c>
      <c r="O225" s="5" t="s">
        <v>1664</v>
      </c>
      <c r="Q225" t="s">
        <v>1665</v>
      </c>
    </row>
    <row r="226" spans="1:18" x14ac:dyDescent="0.35">
      <c r="A226" s="5" t="s">
        <v>493</v>
      </c>
      <c r="B226" s="6">
        <v>45974</v>
      </c>
      <c r="C226" s="5" t="s">
        <v>494</v>
      </c>
      <c r="D226" s="5" t="s">
        <v>588</v>
      </c>
      <c r="E226" s="5" t="s">
        <v>1549</v>
      </c>
      <c r="F226" s="5" t="s">
        <v>38</v>
      </c>
      <c r="G226">
        <v>0.8125</v>
      </c>
      <c r="H226">
        <v>0.81805555555555554</v>
      </c>
      <c r="I226">
        <v>11</v>
      </c>
      <c r="J226" s="5" t="s">
        <v>18</v>
      </c>
      <c r="K226" s="5" t="s">
        <v>19</v>
      </c>
      <c r="L226">
        <v>1559</v>
      </c>
      <c r="M226" s="5"/>
      <c r="N226" s="5" t="s">
        <v>1672</v>
      </c>
      <c r="O226" s="5" t="s">
        <v>1664</v>
      </c>
      <c r="P226">
        <v>1</v>
      </c>
      <c r="Q226" t="s">
        <v>1665</v>
      </c>
    </row>
    <row r="227" spans="1:18" x14ac:dyDescent="0.35">
      <c r="A227" s="5" t="s">
        <v>495</v>
      </c>
      <c r="B227" s="6">
        <v>45975</v>
      </c>
      <c r="C227" s="5" t="s">
        <v>496</v>
      </c>
      <c r="D227" s="5" t="s">
        <v>79</v>
      </c>
      <c r="E227" s="5" t="s">
        <v>588</v>
      </c>
      <c r="F227" s="5" t="s">
        <v>17</v>
      </c>
      <c r="G227">
        <v>0.4513888888888889</v>
      </c>
      <c r="H227">
        <v>0.45833333333333331</v>
      </c>
      <c r="I227">
        <v>13</v>
      </c>
      <c r="J227" s="5" t="s">
        <v>18</v>
      </c>
      <c r="K227" s="5" t="s">
        <v>19</v>
      </c>
      <c r="L227">
        <v>730</v>
      </c>
      <c r="M227" s="5">
        <v>10</v>
      </c>
      <c r="N227" s="5" t="s">
        <v>1672</v>
      </c>
      <c r="O227" s="5" t="s">
        <v>1666</v>
      </c>
      <c r="P227">
        <v>1</v>
      </c>
      <c r="Q227" t="s">
        <v>1660</v>
      </c>
    </row>
    <row r="228" spans="1:18" x14ac:dyDescent="0.35">
      <c r="A228" s="5" t="s">
        <v>497</v>
      </c>
      <c r="B228" s="6">
        <v>45975</v>
      </c>
      <c r="C228" s="5" t="s">
        <v>290</v>
      </c>
      <c r="D228" s="5" t="s">
        <v>226</v>
      </c>
      <c r="E228" s="5" t="s">
        <v>79</v>
      </c>
      <c r="F228" s="5" t="s">
        <v>28</v>
      </c>
      <c r="G228">
        <v>0.70833333333333337</v>
      </c>
      <c r="H228">
        <v>0.71319444444444446</v>
      </c>
      <c r="I228">
        <v>-2</v>
      </c>
      <c r="J228" s="5" t="s">
        <v>18</v>
      </c>
      <c r="K228" s="5" t="s">
        <v>19</v>
      </c>
      <c r="L228">
        <v>1197</v>
      </c>
      <c r="M228" s="5">
        <v>7</v>
      </c>
      <c r="N228" s="5" t="s">
        <v>1672</v>
      </c>
      <c r="O228" s="5" t="s">
        <v>1666</v>
      </c>
      <c r="P228">
        <v>1</v>
      </c>
      <c r="Q228" t="s">
        <v>1665</v>
      </c>
    </row>
    <row r="229" spans="1:18" x14ac:dyDescent="0.35">
      <c r="A229" s="5" t="s">
        <v>498</v>
      </c>
      <c r="B229" s="6">
        <v>45976</v>
      </c>
      <c r="C229" s="5" t="s">
        <v>499</v>
      </c>
      <c r="D229" s="5" t="s">
        <v>71</v>
      </c>
      <c r="E229" s="5" t="s">
        <v>226</v>
      </c>
      <c r="F229" s="5" t="s">
        <v>24</v>
      </c>
      <c r="G229">
        <v>0.2361111111111111</v>
      </c>
      <c r="H229">
        <v>0.23333333333333331</v>
      </c>
      <c r="I229">
        <v>-4</v>
      </c>
      <c r="J229" s="5" t="s">
        <v>18</v>
      </c>
      <c r="K229" s="5" t="s">
        <v>19</v>
      </c>
      <c r="L229">
        <v>886</v>
      </c>
      <c r="M229" s="5">
        <v>-4</v>
      </c>
      <c r="N229" s="5" t="s">
        <v>1672</v>
      </c>
      <c r="O229" s="5" t="s">
        <v>1667</v>
      </c>
      <c r="P229">
        <v>1</v>
      </c>
      <c r="Q229" t="s">
        <v>1660</v>
      </c>
    </row>
    <row r="230" spans="1:18" x14ac:dyDescent="0.35">
      <c r="A230" s="5" t="s">
        <v>500</v>
      </c>
      <c r="B230" s="6">
        <v>45976</v>
      </c>
      <c r="C230" s="5" t="s">
        <v>501</v>
      </c>
      <c r="D230" s="5" t="s">
        <v>226</v>
      </c>
      <c r="E230" s="5" t="s">
        <v>1549</v>
      </c>
      <c r="F230" s="5" t="s">
        <v>24</v>
      </c>
      <c r="G230">
        <v>0.3263888888888889</v>
      </c>
      <c r="H230">
        <v>0.32708333333333328</v>
      </c>
      <c r="I230">
        <v>-1</v>
      </c>
      <c r="J230" s="5" t="s">
        <v>18</v>
      </c>
      <c r="K230" s="5" t="s">
        <v>19</v>
      </c>
      <c r="L230">
        <v>1749</v>
      </c>
      <c r="M230" s="5">
        <v>1</v>
      </c>
      <c r="N230" s="5" t="s">
        <v>1672</v>
      </c>
      <c r="O230" s="5" t="s">
        <v>1667</v>
      </c>
      <c r="P230">
        <v>1</v>
      </c>
      <c r="Q230" t="s">
        <v>1660</v>
      </c>
    </row>
    <row r="231" spans="1:18" x14ac:dyDescent="0.35">
      <c r="A231" s="5" t="s">
        <v>502</v>
      </c>
      <c r="B231" s="6">
        <v>45976</v>
      </c>
      <c r="C231" s="5" t="s">
        <v>470</v>
      </c>
      <c r="D231" s="5" t="s">
        <v>79</v>
      </c>
      <c r="E231" s="5" t="s">
        <v>413</v>
      </c>
      <c r="F231" s="5" t="s">
        <v>24</v>
      </c>
      <c r="G231">
        <v>0.3263888888888889</v>
      </c>
      <c r="H231">
        <v>0.3215277777777778</v>
      </c>
      <c r="I231">
        <v>-9</v>
      </c>
      <c r="J231" s="5" t="s">
        <v>18</v>
      </c>
      <c r="K231" s="5" t="s">
        <v>19</v>
      </c>
      <c r="L231">
        <v>1942</v>
      </c>
      <c r="M231" s="5">
        <v>-7</v>
      </c>
      <c r="N231" s="5" t="s">
        <v>1672</v>
      </c>
      <c r="O231" s="5" t="s">
        <v>1667</v>
      </c>
      <c r="P231">
        <v>1</v>
      </c>
      <c r="Q231" t="s">
        <v>1660</v>
      </c>
    </row>
    <row r="232" spans="1:18" x14ac:dyDescent="0.35">
      <c r="A232" s="5" t="s">
        <v>503</v>
      </c>
      <c r="B232" s="6">
        <v>45976</v>
      </c>
      <c r="C232" s="5" t="s">
        <v>504</v>
      </c>
      <c r="D232" s="5" t="s">
        <v>79</v>
      </c>
      <c r="E232" s="5" t="s">
        <v>197</v>
      </c>
      <c r="F232" s="5" t="s">
        <v>38</v>
      </c>
      <c r="G232">
        <v>0.33333333333333331</v>
      </c>
      <c r="H232">
        <v>0.33958333333333329</v>
      </c>
      <c r="I232">
        <v>1</v>
      </c>
      <c r="J232" s="5" t="s">
        <v>18</v>
      </c>
      <c r="K232" s="5" t="s">
        <v>19</v>
      </c>
      <c r="L232">
        <v>759</v>
      </c>
      <c r="M232" s="5">
        <v>9</v>
      </c>
      <c r="N232" s="5" t="s">
        <v>1672</v>
      </c>
      <c r="O232" s="5" t="s">
        <v>1667</v>
      </c>
      <c r="P232">
        <v>1</v>
      </c>
      <c r="Q232" t="s">
        <v>1660</v>
      </c>
    </row>
    <row r="233" spans="1:18" x14ac:dyDescent="0.35">
      <c r="A233" s="5" t="s">
        <v>505</v>
      </c>
      <c r="B233" s="6">
        <v>45976</v>
      </c>
      <c r="C233" s="5" t="s">
        <v>506</v>
      </c>
      <c r="D233" s="5" t="s">
        <v>226</v>
      </c>
      <c r="E233" s="5" t="s">
        <v>1171</v>
      </c>
      <c r="F233" s="5" t="s">
        <v>17</v>
      </c>
      <c r="G233">
        <v>0.36458333333333331</v>
      </c>
      <c r="H233">
        <v>0.37083333333333329</v>
      </c>
      <c r="I233">
        <v>12</v>
      </c>
      <c r="J233" s="5" t="s">
        <v>18</v>
      </c>
      <c r="K233" s="5" t="s">
        <v>19</v>
      </c>
      <c r="L233">
        <v>602</v>
      </c>
      <c r="M233" s="5">
        <v>9</v>
      </c>
      <c r="N233" s="5" t="s">
        <v>1672</v>
      </c>
      <c r="O233" s="5" t="s">
        <v>1667</v>
      </c>
      <c r="P233">
        <v>1</v>
      </c>
      <c r="Q233" t="s">
        <v>1660</v>
      </c>
    </row>
    <row r="234" spans="1:18" x14ac:dyDescent="0.35">
      <c r="A234" s="5" t="s">
        <v>507</v>
      </c>
      <c r="B234" s="6">
        <v>45976</v>
      </c>
      <c r="C234" s="5" t="s">
        <v>508</v>
      </c>
      <c r="D234" s="5" t="s">
        <v>84</v>
      </c>
      <c r="E234" s="5" t="s">
        <v>1549</v>
      </c>
      <c r="F234" s="5" t="s">
        <v>38</v>
      </c>
      <c r="G234">
        <v>0.59375</v>
      </c>
      <c r="H234">
        <v>0.59583333333333333</v>
      </c>
      <c r="I234">
        <v>-3</v>
      </c>
      <c r="J234" s="5" t="s">
        <v>18</v>
      </c>
      <c r="K234" s="5" t="s">
        <v>19</v>
      </c>
      <c r="L234">
        <v>2489</v>
      </c>
      <c r="M234" s="5">
        <v>3</v>
      </c>
      <c r="N234" s="5" t="s">
        <v>1672</v>
      </c>
      <c r="O234" s="5" t="s">
        <v>1667</v>
      </c>
      <c r="P234">
        <v>1</v>
      </c>
      <c r="Q234" t="s">
        <v>1663</v>
      </c>
    </row>
    <row r="235" spans="1:18" x14ac:dyDescent="0.35">
      <c r="A235" s="5" t="s">
        <v>509</v>
      </c>
      <c r="B235" s="6">
        <v>45976</v>
      </c>
      <c r="C235" s="5" t="s">
        <v>510</v>
      </c>
      <c r="D235" s="5" t="s">
        <v>226</v>
      </c>
      <c r="E235" s="5" t="s">
        <v>197</v>
      </c>
      <c r="F235" s="5" t="s">
        <v>17</v>
      </c>
      <c r="G235">
        <v>0.62152777777777779</v>
      </c>
      <c r="H235">
        <v>0.62013888888888891</v>
      </c>
      <c r="J235" s="5" t="s">
        <v>18</v>
      </c>
      <c r="K235" s="5" t="s">
        <v>19</v>
      </c>
      <c r="L235">
        <v>1622</v>
      </c>
      <c r="M235" s="5">
        <v>-2</v>
      </c>
      <c r="N235" s="5" t="s">
        <v>1672</v>
      </c>
      <c r="O235" s="5" t="s">
        <v>1667</v>
      </c>
      <c r="Q235" t="s">
        <v>1663</v>
      </c>
    </row>
    <row r="236" spans="1:18" x14ac:dyDescent="0.35">
      <c r="A236" s="5" t="s">
        <v>511</v>
      </c>
      <c r="B236" s="6">
        <v>45977</v>
      </c>
      <c r="C236" s="5" t="s">
        <v>512</v>
      </c>
      <c r="D236" s="5" t="s">
        <v>202</v>
      </c>
      <c r="E236" s="5" t="s">
        <v>79</v>
      </c>
      <c r="F236" s="5" t="s">
        <v>24</v>
      </c>
      <c r="G236">
        <v>0.22916666666666671</v>
      </c>
      <c r="H236">
        <v>0.23472222222222219</v>
      </c>
      <c r="I236">
        <v>10</v>
      </c>
      <c r="J236" s="5" t="s">
        <v>18</v>
      </c>
      <c r="K236" s="5" t="s">
        <v>19</v>
      </c>
      <c r="L236">
        <v>596</v>
      </c>
      <c r="M236" s="5">
        <v>8</v>
      </c>
      <c r="N236" s="5" t="s">
        <v>1672</v>
      </c>
      <c r="O236" s="5" t="s">
        <v>1668</v>
      </c>
      <c r="P236">
        <v>1</v>
      </c>
      <c r="Q236" t="s">
        <v>1660</v>
      </c>
    </row>
    <row r="237" spans="1:18" x14ac:dyDescent="0.35">
      <c r="A237" s="5" t="s">
        <v>513</v>
      </c>
      <c r="B237" s="6">
        <v>45977</v>
      </c>
      <c r="C237" s="5" t="s">
        <v>426</v>
      </c>
      <c r="D237" s="5" t="s">
        <v>71</v>
      </c>
      <c r="E237" s="5" t="s">
        <v>79</v>
      </c>
      <c r="F237" s="5" t="s">
        <v>17</v>
      </c>
      <c r="G237">
        <v>0.47569444444444442</v>
      </c>
      <c r="H237">
        <v>0.47638888888888892</v>
      </c>
      <c r="I237">
        <v>-9</v>
      </c>
      <c r="J237" s="5" t="s">
        <v>18</v>
      </c>
      <c r="K237" s="5" t="s">
        <v>19</v>
      </c>
      <c r="L237">
        <v>606</v>
      </c>
      <c r="M237" s="5">
        <v>1</v>
      </c>
      <c r="N237" s="5" t="s">
        <v>1672</v>
      </c>
      <c r="O237" s="5" t="s">
        <v>1668</v>
      </c>
      <c r="P237">
        <v>1</v>
      </c>
      <c r="Q237" t="s">
        <v>1660</v>
      </c>
    </row>
    <row r="238" spans="1:18" x14ac:dyDescent="0.35">
      <c r="A238" s="5" t="s">
        <v>514</v>
      </c>
      <c r="B238" s="6">
        <v>45977</v>
      </c>
      <c r="C238" s="5" t="s">
        <v>312</v>
      </c>
      <c r="D238" s="5" t="s">
        <v>226</v>
      </c>
      <c r="E238" s="5" t="s">
        <v>1295</v>
      </c>
      <c r="F238" s="5" t="s">
        <v>24</v>
      </c>
      <c r="G238">
        <v>0.50694444444444442</v>
      </c>
      <c r="H238">
        <v>0.50555555555555554</v>
      </c>
      <c r="I238">
        <v>-11</v>
      </c>
      <c r="J238" s="5" t="s">
        <v>18</v>
      </c>
      <c r="K238" s="5" t="s">
        <v>19</v>
      </c>
      <c r="L238">
        <v>965</v>
      </c>
      <c r="M238" s="5">
        <v>-2</v>
      </c>
      <c r="N238" s="5" t="s">
        <v>1672</v>
      </c>
      <c r="O238" s="5" t="s">
        <v>1668</v>
      </c>
      <c r="P238">
        <v>1</v>
      </c>
      <c r="Q238" t="s">
        <v>1663</v>
      </c>
    </row>
    <row r="239" spans="1:18" x14ac:dyDescent="0.35">
      <c r="A239" s="5" t="s">
        <v>515</v>
      </c>
      <c r="B239" s="6">
        <v>45977</v>
      </c>
      <c r="C239" s="5" t="s">
        <v>190</v>
      </c>
      <c r="D239" s="5" t="s">
        <v>79</v>
      </c>
      <c r="E239" s="5" t="s">
        <v>197</v>
      </c>
      <c r="F239" s="5" t="s">
        <v>24</v>
      </c>
      <c r="G239">
        <v>0.65625</v>
      </c>
      <c r="H239">
        <v>0.66249999999999998</v>
      </c>
      <c r="I239">
        <v>16</v>
      </c>
      <c r="J239" s="5" t="s">
        <v>18</v>
      </c>
      <c r="K239" s="5" t="s">
        <v>19</v>
      </c>
      <c r="L239">
        <v>759</v>
      </c>
      <c r="M239" s="5">
        <v>9</v>
      </c>
      <c r="N239" s="5" t="s">
        <v>1672</v>
      </c>
      <c r="O239" s="5" t="s">
        <v>1668</v>
      </c>
      <c r="P239">
        <v>0</v>
      </c>
      <c r="Q239" t="s">
        <v>1663</v>
      </c>
    </row>
    <row r="240" spans="1:18" x14ac:dyDescent="0.35">
      <c r="A240" s="5" t="s">
        <v>516</v>
      </c>
      <c r="B240" s="6">
        <v>45977</v>
      </c>
      <c r="C240" s="5" t="s">
        <v>517</v>
      </c>
      <c r="D240" s="5" t="s">
        <v>197</v>
      </c>
      <c r="E240" s="5" t="s">
        <v>71</v>
      </c>
      <c r="F240" s="5" t="s">
        <v>38</v>
      </c>
      <c r="G240">
        <v>0.71180555555555558</v>
      </c>
      <c r="H240">
        <v>0.7368055555555556</v>
      </c>
      <c r="I240">
        <v>34</v>
      </c>
      <c r="J240" s="5" t="s">
        <v>54</v>
      </c>
      <c r="K240" s="5" t="s">
        <v>19</v>
      </c>
      <c r="L240">
        <v>738</v>
      </c>
      <c r="M240" s="5">
        <v>36</v>
      </c>
      <c r="N240" s="5" t="s">
        <v>1672</v>
      </c>
      <c r="O240" s="5" t="s">
        <v>1668</v>
      </c>
      <c r="P240">
        <v>0</v>
      </c>
      <c r="Q240" t="s">
        <v>1665</v>
      </c>
      <c r="R240" t="s">
        <v>1657</v>
      </c>
    </row>
    <row r="241" spans="1:18" x14ac:dyDescent="0.35">
      <c r="A241" s="5" t="s">
        <v>518</v>
      </c>
      <c r="B241" s="6">
        <v>45977</v>
      </c>
      <c r="C241" s="5" t="s">
        <v>519</v>
      </c>
      <c r="D241" s="5" t="s">
        <v>546</v>
      </c>
      <c r="E241" s="5" t="s">
        <v>588</v>
      </c>
      <c r="F241" s="5" t="s">
        <v>38</v>
      </c>
      <c r="G241">
        <v>0.75694444444444442</v>
      </c>
      <c r="H241">
        <v>0.79583333333333328</v>
      </c>
      <c r="I241">
        <v>60</v>
      </c>
      <c r="J241" s="5" t="s">
        <v>54</v>
      </c>
      <c r="K241" s="5" t="s">
        <v>19</v>
      </c>
      <c r="L241">
        <v>1053</v>
      </c>
      <c r="M241" s="5">
        <v>56</v>
      </c>
      <c r="N241" s="5" t="s">
        <v>1672</v>
      </c>
      <c r="O241" s="5" t="s">
        <v>1668</v>
      </c>
      <c r="P241">
        <v>0</v>
      </c>
      <c r="Q241" t="s">
        <v>1665</v>
      </c>
      <c r="R241" t="s">
        <v>1657</v>
      </c>
    </row>
    <row r="242" spans="1:18" x14ac:dyDescent="0.35">
      <c r="A242" s="5" t="s">
        <v>520</v>
      </c>
      <c r="B242" s="6">
        <v>45978</v>
      </c>
      <c r="C242" s="5" t="s">
        <v>521</v>
      </c>
      <c r="D242" s="5" t="s">
        <v>71</v>
      </c>
      <c r="E242" s="5" t="s">
        <v>79</v>
      </c>
      <c r="F242" s="5" t="s">
        <v>38</v>
      </c>
      <c r="G242">
        <v>0.41319444444444442</v>
      </c>
      <c r="H242">
        <v>0.4152777777777778</v>
      </c>
      <c r="I242">
        <v>11</v>
      </c>
      <c r="J242" s="5" t="s">
        <v>18</v>
      </c>
      <c r="K242" s="5" t="s">
        <v>19</v>
      </c>
      <c r="L242">
        <v>606</v>
      </c>
      <c r="M242" s="5">
        <v>3</v>
      </c>
      <c r="N242" s="5" t="s">
        <v>1672</v>
      </c>
      <c r="O242" s="5" t="s">
        <v>1659</v>
      </c>
      <c r="P242">
        <v>1</v>
      </c>
      <c r="Q242" t="s">
        <v>1660</v>
      </c>
    </row>
    <row r="243" spans="1:18" x14ac:dyDescent="0.35">
      <c r="A243" s="5" t="s">
        <v>522</v>
      </c>
      <c r="B243" s="6">
        <v>45978</v>
      </c>
      <c r="C243" s="5" t="s">
        <v>46</v>
      </c>
      <c r="D243" s="5" t="s">
        <v>588</v>
      </c>
      <c r="E243" s="5" t="s">
        <v>226</v>
      </c>
      <c r="F243" s="5" t="s">
        <v>38</v>
      </c>
      <c r="G243">
        <v>0.51388888888888884</v>
      </c>
      <c r="H243">
        <v>0.52013888888888893</v>
      </c>
      <c r="I243">
        <v>0</v>
      </c>
      <c r="J243" s="5" t="s">
        <v>18</v>
      </c>
      <c r="K243" s="5" t="s">
        <v>19</v>
      </c>
      <c r="L243">
        <v>641</v>
      </c>
      <c r="M243" s="5">
        <v>9</v>
      </c>
      <c r="N243" s="5" t="s">
        <v>1672</v>
      </c>
      <c r="O243" s="5" t="s">
        <v>1659</v>
      </c>
      <c r="P243">
        <v>1</v>
      </c>
      <c r="Q243" t="s">
        <v>1663</v>
      </c>
    </row>
    <row r="244" spans="1:18" x14ac:dyDescent="0.35">
      <c r="A244" s="5" t="s">
        <v>523</v>
      </c>
      <c r="B244" s="6">
        <v>45978</v>
      </c>
      <c r="C244" s="5" t="s">
        <v>524</v>
      </c>
      <c r="D244" s="5" t="s">
        <v>202</v>
      </c>
      <c r="E244" s="5" t="s">
        <v>588</v>
      </c>
      <c r="F244" s="5" t="s">
        <v>17</v>
      </c>
      <c r="G244">
        <v>0.67708333333333337</v>
      </c>
      <c r="H244">
        <v>0.67986111111111114</v>
      </c>
      <c r="I244">
        <v>9</v>
      </c>
      <c r="J244" s="5" t="s">
        <v>18</v>
      </c>
      <c r="K244" s="5" t="s">
        <v>19</v>
      </c>
      <c r="L244">
        <v>1120</v>
      </c>
      <c r="M244" s="5">
        <v>4</v>
      </c>
      <c r="N244" s="5" t="s">
        <v>1672</v>
      </c>
      <c r="O244" s="5" t="s">
        <v>1659</v>
      </c>
      <c r="P244">
        <v>1</v>
      </c>
      <c r="Q244" t="s">
        <v>1663</v>
      </c>
    </row>
    <row r="245" spans="1:18" x14ac:dyDescent="0.35">
      <c r="A245" s="5" t="s">
        <v>525</v>
      </c>
      <c r="B245" s="6">
        <v>45978</v>
      </c>
      <c r="C245" s="5" t="s">
        <v>526</v>
      </c>
      <c r="D245" s="5" t="s">
        <v>202</v>
      </c>
      <c r="E245" s="5" t="s">
        <v>79</v>
      </c>
      <c r="F245" s="5" t="s">
        <v>24</v>
      </c>
      <c r="G245">
        <v>0.73263888888888884</v>
      </c>
      <c r="H245">
        <v>0.73541666666666672</v>
      </c>
      <c r="I245">
        <v>-4</v>
      </c>
      <c r="J245" s="5" t="s">
        <v>18</v>
      </c>
      <c r="K245" s="5" t="s">
        <v>19</v>
      </c>
      <c r="L245">
        <v>596</v>
      </c>
      <c r="M245" s="5">
        <v>4</v>
      </c>
      <c r="N245" s="5" t="s">
        <v>1672</v>
      </c>
      <c r="O245" s="5" t="s">
        <v>1659</v>
      </c>
      <c r="P245">
        <v>1</v>
      </c>
      <c r="Q245" t="s">
        <v>1665</v>
      </c>
    </row>
    <row r="246" spans="1:18" x14ac:dyDescent="0.35">
      <c r="A246" s="5" t="s">
        <v>527</v>
      </c>
      <c r="B246" s="6">
        <v>45978</v>
      </c>
      <c r="C246" s="5" t="s">
        <v>528</v>
      </c>
      <c r="D246" s="5" t="s">
        <v>71</v>
      </c>
      <c r="E246" s="5" t="s">
        <v>588</v>
      </c>
      <c r="F246" s="5" t="s">
        <v>17</v>
      </c>
      <c r="G246">
        <v>0.80555555555555558</v>
      </c>
      <c r="H246">
        <v>0.80763888888888891</v>
      </c>
      <c r="I246">
        <v>5</v>
      </c>
      <c r="J246" s="5" t="s">
        <v>18</v>
      </c>
      <c r="K246" s="5" t="s">
        <v>19</v>
      </c>
      <c r="L246">
        <v>802</v>
      </c>
      <c r="M246" s="5">
        <v>3</v>
      </c>
      <c r="N246" s="5" t="s">
        <v>1672</v>
      </c>
      <c r="O246" s="5" t="s">
        <v>1659</v>
      </c>
      <c r="P246">
        <v>1</v>
      </c>
      <c r="Q246" t="s">
        <v>1665</v>
      </c>
    </row>
    <row r="247" spans="1:18" x14ac:dyDescent="0.35">
      <c r="A247" s="5" t="s">
        <v>529</v>
      </c>
      <c r="B247" s="6">
        <v>45979</v>
      </c>
      <c r="C247" s="5" t="s">
        <v>530</v>
      </c>
      <c r="D247" s="5" t="s">
        <v>79</v>
      </c>
      <c r="E247" s="5" t="s">
        <v>1549</v>
      </c>
      <c r="F247" s="5" t="s">
        <v>24</v>
      </c>
      <c r="G247">
        <v>0.3263888888888889</v>
      </c>
      <c r="H247">
        <v>0.32708333333333328</v>
      </c>
      <c r="I247">
        <v>4</v>
      </c>
      <c r="J247" s="5" t="s">
        <v>18</v>
      </c>
      <c r="K247" s="5" t="s">
        <v>19</v>
      </c>
      <c r="L247">
        <v>945</v>
      </c>
      <c r="M247" s="5">
        <v>1</v>
      </c>
      <c r="N247" s="5" t="s">
        <v>1672</v>
      </c>
      <c r="O247" s="5" t="s">
        <v>1661</v>
      </c>
      <c r="P247">
        <v>1</v>
      </c>
      <c r="Q247" t="s">
        <v>1660</v>
      </c>
    </row>
    <row r="248" spans="1:18" x14ac:dyDescent="0.35">
      <c r="A248" s="5" t="s">
        <v>531</v>
      </c>
      <c r="B248" s="6">
        <v>45979</v>
      </c>
      <c r="C248" s="5" t="s">
        <v>532</v>
      </c>
      <c r="D248" s="5" t="s">
        <v>588</v>
      </c>
      <c r="E248" s="5" t="s">
        <v>226</v>
      </c>
      <c r="F248" s="5" t="s">
        <v>17</v>
      </c>
      <c r="G248">
        <v>0.69097222222222221</v>
      </c>
      <c r="H248">
        <v>0.71875</v>
      </c>
      <c r="I248">
        <v>32</v>
      </c>
      <c r="J248" s="5" t="s">
        <v>60</v>
      </c>
      <c r="K248" s="5" t="s">
        <v>19</v>
      </c>
      <c r="L248">
        <v>641</v>
      </c>
      <c r="M248" s="5">
        <v>40</v>
      </c>
      <c r="N248" s="5" t="s">
        <v>1672</v>
      </c>
      <c r="O248" s="5" t="s">
        <v>1661</v>
      </c>
      <c r="P248">
        <v>0</v>
      </c>
      <c r="Q248" t="s">
        <v>1663</v>
      </c>
      <c r="R248" t="s">
        <v>1657</v>
      </c>
    </row>
    <row r="249" spans="1:18" x14ac:dyDescent="0.35">
      <c r="A249" s="5" t="s">
        <v>533</v>
      </c>
      <c r="B249" s="6">
        <v>45979</v>
      </c>
      <c r="C249" s="5" t="s">
        <v>26</v>
      </c>
      <c r="D249" s="5" t="s">
        <v>226</v>
      </c>
      <c r="E249" s="5" t="s">
        <v>197</v>
      </c>
      <c r="F249" s="5" t="s">
        <v>28</v>
      </c>
      <c r="G249">
        <v>0.78125</v>
      </c>
      <c r="H249">
        <v>0.77777777777777779</v>
      </c>
      <c r="I249">
        <v>4</v>
      </c>
      <c r="J249" s="5" t="s">
        <v>18</v>
      </c>
      <c r="K249" s="5" t="s">
        <v>19</v>
      </c>
      <c r="L249">
        <v>1622</v>
      </c>
      <c r="M249" s="5">
        <v>-5</v>
      </c>
      <c r="N249" s="5" t="s">
        <v>1672</v>
      </c>
      <c r="O249" s="5" t="s">
        <v>1661</v>
      </c>
      <c r="P249">
        <v>1</v>
      </c>
      <c r="Q249" t="s">
        <v>1665</v>
      </c>
    </row>
    <row r="250" spans="1:18" x14ac:dyDescent="0.35">
      <c r="A250" s="5" t="s">
        <v>534</v>
      </c>
      <c r="B250" s="6">
        <v>45980</v>
      </c>
      <c r="C250" s="5" t="s">
        <v>535</v>
      </c>
      <c r="D250" s="5" t="s">
        <v>1171</v>
      </c>
      <c r="E250" s="5" t="s">
        <v>226</v>
      </c>
      <c r="F250" s="5" t="s">
        <v>24</v>
      </c>
      <c r="G250">
        <v>0.34375</v>
      </c>
      <c r="H250">
        <v>0.34236111111111112</v>
      </c>
      <c r="I250">
        <v>-13</v>
      </c>
      <c r="J250" s="5" t="s">
        <v>18</v>
      </c>
      <c r="K250" s="5" t="s">
        <v>19</v>
      </c>
      <c r="L250">
        <v>602</v>
      </c>
      <c r="M250" s="5">
        <v>-2</v>
      </c>
      <c r="N250" s="5" t="s">
        <v>1672</v>
      </c>
      <c r="O250" s="5" t="s">
        <v>1662</v>
      </c>
      <c r="P250">
        <v>1</v>
      </c>
      <c r="Q250" t="s">
        <v>1660</v>
      </c>
    </row>
    <row r="251" spans="1:18" x14ac:dyDescent="0.35">
      <c r="A251" s="5" t="s">
        <v>536</v>
      </c>
      <c r="B251" s="6">
        <v>45980</v>
      </c>
      <c r="C251" s="5" t="s">
        <v>532</v>
      </c>
      <c r="D251" s="5" t="s">
        <v>79</v>
      </c>
      <c r="E251" s="5" t="s">
        <v>202</v>
      </c>
      <c r="F251" s="5" t="s">
        <v>24</v>
      </c>
      <c r="G251">
        <v>0.39583333333333331</v>
      </c>
      <c r="H251">
        <v>0.42291666666666672</v>
      </c>
      <c r="I251">
        <v>42</v>
      </c>
      <c r="J251" s="5" t="s">
        <v>477</v>
      </c>
      <c r="K251" s="5" t="s">
        <v>19</v>
      </c>
      <c r="L251">
        <v>596</v>
      </c>
      <c r="M251" s="5">
        <v>39</v>
      </c>
      <c r="N251" s="5" t="s">
        <v>1672</v>
      </c>
      <c r="O251" s="5" t="s">
        <v>1662</v>
      </c>
      <c r="P251">
        <v>0</v>
      </c>
      <c r="Q251" t="s">
        <v>1660</v>
      </c>
      <c r="R251" t="s">
        <v>1670</v>
      </c>
    </row>
    <row r="252" spans="1:18" x14ac:dyDescent="0.35">
      <c r="A252" s="5" t="s">
        <v>537</v>
      </c>
      <c r="B252" s="6">
        <v>45980</v>
      </c>
      <c r="C252" s="5" t="s">
        <v>363</v>
      </c>
      <c r="D252" s="5" t="s">
        <v>413</v>
      </c>
      <c r="E252" s="5" t="s">
        <v>588</v>
      </c>
      <c r="F252" s="5" t="s">
        <v>28</v>
      </c>
      <c r="G252">
        <v>0.4861111111111111</v>
      </c>
      <c r="H252">
        <v>0.48472222222222222</v>
      </c>
      <c r="I252">
        <v>-1</v>
      </c>
      <c r="J252" s="5" t="s">
        <v>18</v>
      </c>
      <c r="K252" s="5" t="s">
        <v>19</v>
      </c>
      <c r="L252">
        <v>1232</v>
      </c>
      <c r="M252" s="5">
        <v>-2</v>
      </c>
      <c r="N252" s="5" t="s">
        <v>1672</v>
      </c>
      <c r="O252" s="5" t="s">
        <v>1662</v>
      </c>
      <c r="P252">
        <v>1</v>
      </c>
      <c r="Q252" t="s">
        <v>1660</v>
      </c>
    </row>
    <row r="253" spans="1:18" x14ac:dyDescent="0.35">
      <c r="A253" s="5" t="s">
        <v>538</v>
      </c>
      <c r="B253" s="6">
        <v>45980</v>
      </c>
      <c r="C253" s="5" t="s">
        <v>539</v>
      </c>
      <c r="D253" s="5" t="s">
        <v>79</v>
      </c>
      <c r="E253" s="5" t="s">
        <v>1549</v>
      </c>
      <c r="F253" s="5" t="s">
        <v>28</v>
      </c>
      <c r="G253">
        <v>0.74652777777777779</v>
      </c>
      <c r="H253">
        <v>0.75208333333333333</v>
      </c>
      <c r="I253">
        <v>16</v>
      </c>
      <c r="J253" s="5" t="s">
        <v>18</v>
      </c>
      <c r="K253" s="5" t="s">
        <v>19</v>
      </c>
      <c r="L253">
        <v>945</v>
      </c>
      <c r="M253" s="5">
        <v>8</v>
      </c>
      <c r="N253" s="5" t="s">
        <v>1672</v>
      </c>
      <c r="O253" s="5" t="s">
        <v>1662</v>
      </c>
      <c r="P253">
        <v>0</v>
      </c>
      <c r="Q253" t="s">
        <v>1665</v>
      </c>
    </row>
    <row r="254" spans="1:18" x14ac:dyDescent="0.35">
      <c r="A254" s="5" t="s">
        <v>540</v>
      </c>
      <c r="B254" s="6">
        <v>45980</v>
      </c>
      <c r="C254" s="5" t="s">
        <v>541</v>
      </c>
      <c r="D254" s="5" t="s">
        <v>588</v>
      </c>
      <c r="E254" s="5" t="s">
        <v>197</v>
      </c>
      <c r="F254" s="5" t="s">
        <v>24</v>
      </c>
      <c r="G254">
        <v>0.78125</v>
      </c>
      <c r="H254">
        <v>0.79236111111111107</v>
      </c>
      <c r="I254">
        <v>11</v>
      </c>
      <c r="J254" s="5" t="s">
        <v>129</v>
      </c>
      <c r="K254" s="5" t="s">
        <v>19</v>
      </c>
      <c r="L254">
        <v>1389</v>
      </c>
      <c r="M254" s="5">
        <v>16</v>
      </c>
      <c r="N254" s="5" t="s">
        <v>1672</v>
      </c>
      <c r="O254" s="5" t="s">
        <v>1662</v>
      </c>
      <c r="P254">
        <v>1</v>
      </c>
      <c r="Q254" t="s">
        <v>1665</v>
      </c>
      <c r="R254" t="s">
        <v>1670</v>
      </c>
    </row>
    <row r="255" spans="1:18" x14ac:dyDescent="0.35">
      <c r="A255" s="5" t="s">
        <v>542</v>
      </c>
      <c r="B255" s="6">
        <v>45981</v>
      </c>
      <c r="C255" s="5" t="s">
        <v>543</v>
      </c>
      <c r="D255" s="5" t="s">
        <v>197</v>
      </c>
      <c r="E255" s="5" t="s">
        <v>1295</v>
      </c>
      <c r="F255" s="5" t="s">
        <v>24</v>
      </c>
      <c r="G255">
        <v>0.33333333333333331</v>
      </c>
      <c r="H255">
        <v>0.36666666666666659</v>
      </c>
      <c r="I255">
        <v>37</v>
      </c>
      <c r="J255" s="5" t="s">
        <v>129</v>
      </c>
      <c r="K255" s="5" t="s">
        <v>19</v>
      </c>
      <c r="L255">
        <v>2580</v>
      </c>
      <c r="M255" s="5">
        <v>48</v>
      </c>
      <c r="N255" s="5" t="s">
        <v>1672</v>
      </c>
      <c r="O255" s="5" t="s">
        <v>1664</v>
      </c>
      <c r="P255">
        <v>0</v>
      </c>
      <c r="Q255" t="s">
        <v>1660</v>
      </c>
      <c r="R255" t="s">
        <v>1670</v>
      </c>
    </row>
    <row r="256" spans="1:18" x14ac:dyDescent="0.35">
      <c r="A256" s="5" t="s">
        <v>544</v>
      </c>
      <c r="B256" s="6">
        <v>45981</v>
      </c>
      <c r="C256" s="5" t="s">
        <v>307</v>
      </c>
      <c r="D256" s="5" t="s">
        <v>84</v>
      </c>
      <c r="E256" s="5" t="s">
        <v>71</v>
      </c>
      <c r="F256" s="5" t="s">
        <v>17</v>
      </c>
      <c r="G256">
        <v>0.36805555555555558</v>
      </c>
      <c r="H256">
        <v>0.39861111111111108</v>
      </c>
      <c r="I256">
        <v>38</v>
      </c>
      <c r="J256" s="5" t="s">
        <v>319</v>
      </c>
      <c r="K256" s="5" t="s">
        <v>19</v>
      </c>
      <c r="L256">
        <v>1717</v>
      </c>
      <c r="M256" s="5">
        <v>44</v>
      </c>
      <c r="N256" s="5" t="s">
        <v>1672</v>
      </c>
      <c r="O256" s="5" t="s">
        <v>1664</v>
      </c>
      <c r="P256">
        <v>0</v>
      </c>
      <c r="Q256" t="s">
        <v>1660</v>
      </c>
      <c r="R256" t="s">
        <v>1670</v>
      </c>
    </row>
    <row r="257" spans="1:18" x14ac:dyDescent="0.35">
      <c r="A257" s="5" t="s">
        <v>545</v>
      </c>
      <c r="B257" s="6">
        <v>45981</v>
      </c>
      <c r="C257" s="5" t="s">
        <v>70</v>
      </c>
      <c r="D257" s="5" t="s">
        <v>1549</v>
      </c>
      <c r="E257" s="5" t="s">
        <v>546</v>
      </c>
      <c r="F257" s="5" t="s">
        <v>17</v>
      </c>
      <c r="G257">
        <v>0.6875</v>
      </c>
      <c r="H257">
        <v>0.68194444444444446</v>
      </c>
      <c r="I257">
        <v>-18</v>
      </c>
      <c r="J257" s="5" t="s">
        <v>18</v>
      </c>
      <c r="K257" s="5" t="s">
        <v>19</v>
      </c>
      <c r="L257">
        <v>2375</v>
      </c>
      <c r="M257" s="5">
        <v>-8</v>
      </c>
      <c r="N257" s="5" t="s">
        <v>1672</v>
      </c>
      <c r="O257" s="5" t="s">
        <v>1664</v>
      </c>
      <c r="P257">
        <v>1</v>
      </c>
      <c r="Q257" t="s">
        <v>1663</v>
      </c>
    </row>
    <row r="258" spans="1:18" x14ac:dyDescent="0.35">
      <c r="A258" s="5" t="s">
        <v>547</v>
      </c>
      <c r="B258" s="6">
        <v>45981</v>
      </c>
      <c r="C258" s="5" t="s">
        <v>548</v>
      </c>
      <c r="D258" s="5" t="s">
        <v>588</v>
      </c>
      <c r="E258" s="5" t="s">
        <v>413</v>
      </c>
      <c r="F258" s="5" t="s">
        <v>38</v>
      </c>
      <c r="G258">
        <v>0.90277777777777779</v>
      </c>
      <c r="H258">
        <v>0.90763888888888888</v>
      </c>
      <c r="I258">
        <v>11</v>
      </c>
      <c r="J258" s="5" t="s">
        <v>18</v>
      </c>
      <c r="K258" s="5" t="s">
        <v>19</v>
      </c>
      <c r="L258">
        <v>1232</v>
      </c>
      <c r="M258" s="5">
        <v>7</v>
      </c>
      <c r="N258" s="5" t="s">
        <v>1672</v>
      </c>
      <c r="O258" s="5" t="s">
        <v>1664</v>
      </c>
      <c r="P258">
        <v>1</v>
      </c>
      <c r="Q258" t="s">
        <v>1669</v>
      </c>
    </row>
    <row r="259" spans="1:18" x14ac:dyDescent="0.35">
      <c r="A259" s="5" t="s">
        <v>549</v>
      </c>
      <c r="B259" s="6">
        <v>45982</v>
      </c>
      <c r="C259" s="5" t="s">
        <v>56</v>
      </c>
      <c r="D259" s="5" t="s">
        <v>197</v>
      </c>
      <c r="E259" s="5" t="s">
        <v>71</v>
      </c>
      <c r="F259" s="5" t="s">
        <v>17</v>
      </c>
      <c r="G259">
        <v>0.40972222222222221</v>
      </c>
      <c r="H259">
        <v>0.40902777777777782</v>
      </c>
      <c r="I259">
        <v>3</v>
      </c>
      <c r="J259" s="5" t="s">
        <v>18</v>
      </c>
      <c r="K259" s="5" t="s">
        <v>19</v>
      </c>
      <c r="L259">
        <v>738</v>
      </c>
      <c r="M259" s="5">
        <v>-1</v>
      </c>
      <c r="N259" s="5" t="s">
        <v>1672</v>
      </c>
      <c r="O259" s="5" t="s">
        <v>1666</v>
      </c>
      <c r="P259">
        <v>1</v>
      </c>
      <c r="Q259" t="s">
        <v>1660</v>
      </c>
    </row>
    <row r="260" spans="1:18" x14ac:dyDescent="0.35">
      <c r="A260" s="5" t="s">
        <v>550</v>
      </c>
      <c r="B260" s="6">
        <v>45982</v>
      </c>
      <c r="C260" s="5" t="s">
        <v>286</v>
      </c>
      <c r="D260" s="5" t="s">
        <v>79</v>
      </c>
      <c r="E260" s="5" t="s">
        <v>588</v>
      </c>
      <c r="F260" s="5" t="s">
        <v>24</v>
      </c>
      <c r="G260">
        <v>0.73263888888888884</v>
      </c>
      <c r="H260">
        <v>0.73124999999999996</v>
      </c>
      <c r="I260">
        <v>-5</v>
      </c>
      <c r="J260" s="5" t="s">
        <v>18</v>
      </c>
      <c r="K260" s="5" t="s">
        <v>19</v>
      </c>
      <c r="L260">
        <v>730</v>
      </c>
      <c r="M260" s="5">
        <v>-2</v>
      </c>
      <c r="N260" s="5" t="s">
        <v>1672</v>
      </c>
      <c r="O260" s="5" t="s">
        <v>1666</v>
      </c>
      <c r="P260">
        <v>1</v>
      </c>
      <c r="Q260" t="s">
        <v>1665</v>
      </c>
    </row>
    <row r="261" spans="1:18" x14ac:dyDescent="0.35">
      <c r="A261" s="5" t="s">
        <v>551</v>
      </c>
      <c r="B261" s="6">
        <v>45983</v>
      </c>
      <c r="C261" s="5" t="s">
        <v>552</v>
      </c>
      <c r="D261" s="5" t="s">
        <v>1549</v>
      </c>
      <c r="E261" s="5" t="s">
        <v>226</v>
      </c>
      <c r="F261" s="5" t="s">
        <v>24</v>
      </c>
      <c r="G261">
        <v>0.46875</v>
      </c>
      <c r="H261">
        <v>0.47152777777777782</v>
      </c>
      <c r="I261">
        <v>-1</v>
      </c>
      <c r="J261" s="5" t="s">
        <v>18</v>
      </c>
      <c r="K261" s="5" t="s">
        <v>19</v>
      </c>
      <c r="L261">
        <v>1749</v>
      </c>
      <c r="M261" s="5">
        <v>4</v>
      </c>
      <c r="N261" s="5" t="s">
        <v>1672</v>
      </c>
      <c r="O261" s="5" t="s">
        <v>1667</v>
      </c>
      <c r="P261">
        <v>1</v>
      </c>
      <c r="Q261" t="s">
        <v>1660</v>
      </c>
    </row>
    <row r="262" spans="1:18" x14ac:dyDescent="0.35">
      <c r="A262" s="5" t="s">
        <v>553</v>
      </c>
      <c r="B262" s="6">
        <v>45983</v>
      </c>
      <c r="C262" s="5" t="s">
        <v>554</v>
      </c>
      <c r="D262" s="5" t="s">
        <v>79</v>
      </c>
      <c r="E262" s="5" t="s">
        <v>71</v>
      </c>
      <c r="F262" s="5" t="s">
        <v>24</v>
      </c>
      <c r="G262">
        <v>0.72916666666666663</v>
      </c>
      <c r="H262">
        <v>0.7270833333333333</v>
      </c>
      <c r="I262">
        <v>-9</v>
      </c>
      <c r="J262" s="5" t="s">
        <v>18</v>
      </c>
      <c r="K262" s="5" t="s">
        <v>19</v>
      </c>
      <c r="L262">
        <v>606</v>
      </c>
      <c r="M262" s="5">
        <v>-3</v>
      </c>
      <c r="N262" s="5" t="s">
        <v>1672</v>
      </c>
      <c r="O262" s="5" t="s">
        <v>1667</v>
      </c>
      <c r="P262">
        <v>1</v>
      </c>
      <c r="Q262" t="s">
        <v>1665</v>
      </c>
    </row>
    <row r="263" spans="1:18" x14ac:dyDescent="0.35">
      <c r="A263" s="5" t="s">
        <v>556</v>
      </c>
      <c r="B263" s="6">
        <v>45984</v>
      </c>
      <c r="C263" s="5" t="s">
        <v>557</v>
      </c>
      <c r="D263" s="5" t="s">
        <v>546</v>
      </c>
      <c r="E263" s="5" t="s">
        <v>197</v>
      </c>
      <c r="F263" s="5" t="s">
        <v>24</v>
      </c>
      <c r="G263">
        <v>0.84375</v>
      </c>
      <c r="H263">
        <v>0.84236111111111112</v>
      </c>
      <c r="I263">
        <v>-7</v>
      </c>
      <c r="J263" s="5" t="s">
        <v>18</v>
      </c>
      <c r="K263" s="5" t="s">
        <v>19</v>
      </c>
      <c r="L263">
        <v>2243</v>
      </c>
      <c r="M263" s="5">
        <v>-2</v>
      </c>
      <c r="N263" s="5" t="s">
        <v>1672</v>
      </c>
      <c r="O263" s="5" t="s">
        <v>1668</v>
      </c>
      <c r="P263">
        <v>1</v>
      </c>
      <c r="Q263" t="s">
        <v>1665</v>
      </c>
    </row>
    <row r="264" spans="1:18" x14ac:dyDescent="0.35">
      <c r="A264" s="5" t="s">
        <v>558</v>
      </c>
      <c r="B264" s="6">
        <v>45985</v>
      </c>
      <c r="C264" s="5" t="s">
        <v>559</v>
      </c>
      <c r="D264" s="5" t="s">
        <v>226</v>
      </c>
      <c r="E264" s="5" t="s">
        <v>588</v>
      </c>
      <c r="F264" s="5" t="s">
        <v>24</v>
      </c>
      <c r="G264">
        <v>0.64236111111111116</v>
      </c>
      <c r="H264">
        <v>0.64027777777777772</v>
      </c>
      <c r="I264">
        <v>5</v>
      </c>
      <c r="J264" s="5" t="s">
        <v>18</v>
      </c>
      <c r="K264" s="5" t="s">
        <v>19</v>
      </c>
      <c r="L264">
        <v>641</v>
      </c>
      <c r="M264" s="5">
        <v>-3</v>
      </c>
      <c r="N264" s="5" t="s">
        <v>1672</v>
      </c>
      <c r="O264" s="5" t="s">
        <v>1659</v>
      </c>
      <c r="P264">
        <v>1</v>
      </c>
      <c r="Q264" t="s">
        <v>1663</v>
      </c>
    </row>
    <row r="265" spans="1:18" x14ac:dyDescent="0.35">
      <c r="A265" s="5" t="s">
        <v>560</v>
      </c>
      <c r="B265" s="6">
        <v>45985</v>
      </c>
      <c r="C265" s="5" t="s">
        <v>506</v>
      </c>
      <c r="D265" s="5" t="s">
        <v>71</v>
      </c>
      <c r="E265" s="5" t="s">
        <v>79</v>
      </c>
      <c r="F265" s="5" t="s">
        <v>24</v>
      </c>
      <c r="G265">
        <v>0.70138888888888884</v>
      </c>
      <c r="H265">
        <v>0.70763888888888893</v>
      </c>
      <c r="I265">
        <v>12</v>
      </c>
      <c r="J265" s="5" t="s">
        <v>18</v>
      </c>
      <c r="K265" s="5" t="s">
        <v>19</v>
      </c>
      <c r="L265">
        <v>606</v>
      </c>
      <c r="M265" s="5">
        <v>9</v>
      </c>
      <c r="N265" s="5" t="s">
        <v>1672</v>
      </c>
      <c r="O265" s="5" t="s">
        <v>1659</v>
      </c>
      <c r="P265">
        <v>1</v>
      </c>
      <c r="Q265" t="s">
        <v>1663</v>
      </c>
    </row>
    <row r="266" spans="1:18" x14ac:dyDescent="0.35">
      <c r="A266" s="5" t="s">
        <v>561</v>
      </c>
      <c r="B266" s="6">
        <v>45986</v>
      </c>
      <c r="C266" s="5" t="s">
        <v>562</v>
      </c>
      <c r="D266" s="5" t="s">
        <v>202</v>
      </c>
      <c r="E266" s="5" t="s">
        <v>1549</v>
      </c>
      <c r="F266" s="5" t="s">
        <v>17</v>
      </c>
      <c r="G266">
        <v>0.25</v>
      </c>
      <c r="H266">
        <v>0.25347222222222221</v>
      </c>
      <c r="I266">
        <v>3</v>
      </c>
      <c r="J266" s="5" t="s">
        <v>18</v>
      </c>
      <c r="K266" s="5" t="s">
        <v>19</v>
      </c>
      <c r="L266">
        <v>1260</v>
      </c>
      <c r="M266" s="5">
        <v>5</v>
      </c>
      <c r="N266" s="5" t="s">
        <v>1672</v>
      </c>
      <c r="O266" s="5" t="s">
        <v>1661</v>
      </c>
      <c r="P266">
        <v>1</v>
      </c>
      <c r="Q266" t="s">
        <v>1660</v>
      </c>
    </row>
    <row r="267" spans="1:18" x14ac:dyDescent="0.35">
      <c r="A267" s="5" t="s">
        <v>563</v>
      </c>
      <c r="B267" s="6">
        <v>45986</v>
      </c>
      <c r="C267" s="5" t="s">
        <v>167</v>
      </c>
      <c r="D267" s="5" t="s">
        <v>79</v>
      </c>
      <c r="E267" s="5" t="s">
        <v>588</v>
      </c>
      <c r="F267" s="5" t="s">
        <v>17</v>
      </c>
      <c r="G267">
        <v>0.28819444444444442</v>
      </c>
      <c r="H267">
        <v>0.29375000000000001</v>
      </c>
      <c r="I267">
        <v>18</v>
      </c>
      <c r="J267" s="5" t="s">
        <v>18</v>
      </c>
      <c r="K267" s="5" t="s">
        <v>19</v>
      </c>
      <c r="L267">
        <v>730</v>
      </c>
      <c r="M267" s="5">
        <v>8</v>
      </c>
      <c r="N267" s="5" t="s">
        <v>1672</v>
      </c>
      <c r="O267" s="5" t="s">
        <v>1661</v>
      </c>
      <c r="P267">
        <v>0</v>
      </c>
      <c r="Q267" t="s">
        <v>1660</v>
      </c>
    </row>
    <row r="268" spans="1:18" x14ac:dyDescent="0.35">
      <c r="A268" s="5" t="s">
        <v>564</v>
      </c>
      <c r="B268" s="6">
        <v>45986</v>
      </c>
      <c r="C268" s="5" t="s">
        <v>565</v>
      </c>
      <c r="D268" s="5" t="s">
        <v>1295</v>
      </c>
      <c r="E268" s="5" t="s">
        <v>71</v>
      </c>
      <c r="F268" s="5" t="s">
        <v>17</v>
      </c>
      <c r="G268">
        <v>0.37847222222222221</v>
      </c>
      <c r="H268">
        <v>0.38263888888888892</v>
      </c>
      <c r="I268">
        <v>9</v>
      </c>
      <c r="J268" s="5" t="s">
        <v>18</v>
      </c>
      <c r="K268" s="5" t="s">
        <v>19</v>
      </c>
      <c r="L268">
        <v>1842</v>
      </c>
      <c r="M268" s="5">
        <v>6</v>
      </c>
      <c r="N268" s="5" t="s">
        <v>1672</v>
      </c>
      <c r="O268" s="5" t="s">
        <v>1661</v>
      </c>
      <c r="P268">
        <v>1</v>
      </c>
      <c r="Q268" t="s">
        <v>1660</v>
      </c>
    </row>
    <row r="269" spans="1:18" x14ac:dyDescent="0.35">
      <c r="A269" s="5" t="s">
        <v>566</v>
      </c>
      <c r="B269" s="6">
        <v>45986</v>
      </c>
      <c r="C269" s="5" t="s">
        <v>567</v>
      </c>
      <c r="D269" s="5" t="s">
        <v>197</v>
      </c>
      <c r="E269" s="5" t="s">
        <v>84</v>
      </c>
      <c r="F269" s="5" t="s">
        <v>28</v>
      </c>
      <c r="G269">
        <v>0.4861111111111111</v>
      </c>
      <c r="H269">
        <v>0.48819444444444438</v>
      </c>
      <c r="I269">
        <v>-1</v>
      </c>
      <c r="J269" s="5" t="s">
        <v>18</v>
      </c>
      <c r="K269" s="5" t="s">
        <v>19</v>
      </c>
      <c r="L269">
        <v>2415</v>
      </c>
      <c r="M269" s="5">
        <v>3</v>
      </c>
      <c r="N269" s="5" t="s">
        <v>1672</v>
      </c>
      <c r="O269" s="5" t="s">
        <v>1661</v>
      </c>
      <c r="P269">
        <v>1</v>
      </c>
      <c r="Q269" t="s">
        <v>1660</v>
      </c>
    </row>
    <row r="270" spans="1:18" x14ac:dyDescent="0.35">
      <c r="A270" s="5" t="s">
        <v>568</v>
      </c>
      <c r="B270" s="6">
        <v>45987</v>
      </c>
      <c r="C270" s="5" t="s">
        <v>334</v>
      </c>
      <c r="D270" s="5" t="s">
        <v>79</v>
      </c>
      <c r="E270" s="5" t="s">
        <v>588</v>
      </c>
      <c r="F270" s="5" t="s">
        <v>38</v>
      </c>
      <c r="G270">
        <v>0.25347222222222221</v>
      </c>
      <c r="H270">
        <v>0.2479166666666667</v>
      </c>
      <c r="I270">
        <v>-13</v>
      </c>
      <c r="J270" s="5" t="s">
        <v>18</v>
      </c>
      <c r="K270" s="5" t="s">
        <v>19</v>
      </c>
      <c r="L270">
        <v>730</v>
      </c>
      <c r="M270" s="5">
        <v>-8</v>
      </c>
      <c r="N270" s="5" t="s">
        <v>1672</v>
      </c>
      <c r="O270" s="5" t="s">
        <v>1662</v>
      </c>
      <c r="P270">
        <v>1</v>
      </c>
      <c r="Q270" t="s">
        <v>1660</v>
      </c>
    </row>
    <row r="271" spans="1:18" x14ac:dyDescent="0.35">
      <c r="A271" s="5" t="s">
        <v>569</v>
      </c>
      <c r="B271" s="6">
        <v>45987</v>
      </c>
      <c r="C271" s="5" t="s">
        <v>570</v>
      </c>
      <c r="D271" s="5" t="s">
        <v>79</v>
      </c>
      <c r="E271" s="5" t="s">
        <v>413</v>
      </c>
      <c r="F271" s="5" t="s">
        <v>38</v>
      </c>
      <c r="G271">
        <v>0.54166666666666663</v>
      </c>
      <c r="H271">
        <v>0.55902777777777779</v>
      </c>
      <c r="I271">
        <v>23</v>
      </c>
      <c r="J271" s="5" t="s">
        <v>54</v>
      </c>
      <c r="K271" s="5" t="s">
        <v>19</v>
      </c>
      <c r="L271">
        <v>1942</v>
      </c>
      <c r="M271" s="5">
        <v>25</v>
      </c>
      <c r="N271" s="5" t="s">
        <v>1672</v>
      </c>
      <c r="O271" s="5" t="s">
        <v>1662</v>
      </c>
      <c r="P271">
        <v>0</v>
      </c>
      <c r="Q271" t="s">
        <v>1663</v>
      </c>
      <c r="R271" t="s">
        <v>1657</v>
      </c>
    </row>
    <row r="272" spans="1:18" x14ac:dyDescent="0.35">
      <c r="A272" s="5" t="s">
        <v>571</v>
      </c>
      <c r="B272" s="6">
        <v>45988</v>
      </c>
      <c r="C272" s="5" t="s">
        <v>186</v>
      </c>
      <c r="D272" s="5" t="s">
        <v>226</v>
      </c>
      <c r="E272" s="5" t="s">
        <v>197</v>
      </c>
      <c r="F272" s="5" t="s">
        <v>28</v>
      </c>
      <c r="G272">
        <v>0.54861111111111116</v>
      </c>
      <c r="H272">
        <v>0.5541666666666667</v>
      </c>
      <c r="I272">
        <v>15</v>
      </c>
      <c r="J272" s="5" t="s">
        <v>18</v>
      </c>
      <c r="K272" s="5" t="s">
        <v>19</v>
      </c>
      <c r="L272">
        <v>1622</v>
      </c>
      <c r="M272" s="5">
        <v>8</v>
      </c>
      <c r="N272" s="5" t="s">
        <v>1672</v>
      </c>
      <c r="O272" s="5" t="s">
        <v>1664</v>
      </c>
      <c r="P272">
        <v>1</v>
      </c>
      <c r="Q272" t="s">
        <v>1663</v>
      </c>
    </row>
    <row r="273" spans="1:18" x14ac:dyDescent="0.35">
      <c r="A273" s="5" t="s">
        <v>572</v>
      </c>
      <c r="B273" s="6">
        <v>45988</v>
      </c>
      <c r="C273" s="5" t="s">
        <v>573</v>
      </c>
      <c r="D273" s="5" t="s">
        <v>79</v>
      </c>
      <c r="E273" s="5" t="s">
        <v>197</v>
      </c>
      <c r="F273" s="5" t="s">
        <v>17</v>
      </c>
      <c r="G273">
        <v>0.5625</v>
      </c>
      <c r="H273">
        <v>0.56944444444444442</v>
      </c>
      <c r="I273">
        <v>19</v>
      </c>
      <c r="J273" s="5" t="s">
        <v>18</v>
      </c>
      <c r="K273" s="5" t="s">
        <v>19</v>
      </c>
      <c r="L273">
        <v>759</v>
      </c>
      <c r="M273" s="5">
        <v>10</v>
      </c>
      <c r="N273" s="5" t="s">
        <v>1672</v>
      </c>
      <c r="O273" s="5" t="s">
        <v>1664</v>
      </c>
      <c r="P273">
        <v>0</v>
      </c>
      <c r="Q273" t="s">
        <v>1663</v>
      </c>
    </row>
    <row r="274" spans="1:18" x14ac:dyDescent="0.35">
      <c r="A274" s="5" t="s">
        <v>574</v>
      </c>
      <c r="B274" s="6">
        <v>45989</v>
      </c>
      <c r="C274" s="5" t="s">
        <v>575</v>
      </c>
      <c r="D274" s="5" t="s">
        <v>197</v>
      </c>
      <c r="E274" s="5" t="s">
        <v>588</v>
      </c>
      <c r="F274" s="5" t="s">
        <v>38</v>
      </c>
      <c r="G274">
        <v>0.33333333333333331</v>
      </c>
      <c r="H274">
        <v>0.33124999999999999</v>
      </c>
      <c r="I274">
        <v>-12</v>
      </c>
      <c r="J274" s="5" t="s">
        <v>18</v>
      </c>
      <c r="K274" s="5" t="s">
        <v>19</v>
      </c>
      <c r="L274">
        <v>1389</v>
      </c>
      <c r="M274" s="5">
        <v>-3</v>
      </c>
      <c r="N274" s="5" t="s">
        <v>1672</v>
      </c>
      <c r="O274" s="5" t="s">
        <v>1666</v>
      </c>
      <c r="P274">
        <v>1</v>
      </c>
      <c r="Q274" t="s">
        <v>1660</v>
      </c>
    </row>
    <row r="275" spans="1:18" x14ac:dyDescent="0.35">
      <c r="A275" s="5" t="s">
        <v>576</v>
      </c>
      <c r="B275" s="6">
        <v>45989</v>
      </c>
      <c r="C275" s="5" t="s">
        <v>577</v>
      </c>
      <c r="D275" s="5" t="s">
        <v>588</v>
      </c>
      <c r="E275" s="5" t="s">
        <v>71</v>
      </c>
      <c r="F275" s="5" t="s">
        <v>28</v>
      </c>
      <c r="G275">
        <v>0.70833333333333337</v>
      </c>
      <c r="H275">
        <v>0.71527777777777779</v>
      </c>
      <c r="I275">
        <v>3</v>
      </c>
      <c r="J275" s="5" t="s">
        <v>18</v>
      </c>
      <c r="K275" s="5" t="s">
        <v>19</v>
      </c>
      <c r="L275">
        <v>802</v>
      </c>
      <c r="M275" s="5">
        <v>10</v>
      </c>
      <c r="N275" s="5" t="s">
        <v>1672</v>
      </c>
      <c r="O275" s="5" t="s">
        <v>1666</v>
      </c>
      <c r="P275">
        <v>1</v>
      </c>
      <c r="Q275" t="s">
        <v>1665</v>
      </c>
    </row>
    <row r="276" spans="1:18" x14ac:dyDescent="0.35">
      <c r="A276" s="5" t="s">
        <v>578</v>
      </c>
      <c r="B276" s="6">
        <v>45990</v>
      </c>
      <c r="C276" s="5" t="s">
        <v>579</v>
      </c>
      <c r="D276" s="5" t="s">
        <v>79</v>
      </c>
      <c r="E276" s="5" t="s">
        <v>1549</v>
      </c>
      <c r="F276" s="5" t="s">
        <v>28</v>
      </c>
      <c r="G276">
        <v>0.31944444444444442</v>
      </c>
      <c r="H276">
        <v>0.31527777777777782</v>
      </c>
      <c r="I276">
        <v>3</v>
      </c>
      <c r="J276" s="5" t="s">
        <v>18</v>
      </c>
      <c r="K276" s="5" t="s">
        <v>19</v>
      </c>
      <c r="L276">
        <v>945</v>
      </c>
      <c r="M276" s="5">
        <v>-6</v>
      </c>
      <c r="N276" s="5" t="s">
        <v>1672</v>
      </c>
      <c r="O276" s="5" t="s">
        <v>1667</v>
      </c>
      <c r="P276">
        <v>1</v>
      </c>
      <c r="Q276" t="s">
        <v>1660</v>
      </c>
    </row>
    <row r="277" spans="1:18" x14ac:dyDescent="0.35">
      <c r="A277" s="5" t="s">
        <v>580</v>
      </c>
      <c r="B277" s="6">
        <v>45990</v>
      </c>
      <c r="C277" s="5" t="s">
        <v>581</v>
      </c>
      <c r="D277" s="5" t="s">
        <v>202</v>
      </c>
      <c r="E277" s="5" t="s">
        <v>71</v>
      </c>
      <c r="F277" s="5" t="s">
        <v>24</v>
      </c>
      <c r="G277">
        <v>0.63194444444444442</v>
      </c>
      <c r="H277">
        <v>0.62777777777777777</v>
      </c>
      <c r="I277">
        <v>-10</v>
      </c>
      <c r="J277" s="5" t="s">
        <v>18</v>
      </c>
      <c r="K277" s="5" t="s">
        <v>19</v>
      </c>
      <c r="L277">
        <v>1199</v>
      </c>
      <c r="M277" s="5">
        <v>-6</v>
      </c>
      <c r="N277" s="5" t="s">
        <v>1672</v>
      </c>
      <c r="O277" s="5" t="s">
        <v>1667</v>
      </c>
      <c r="P277">
        <v>1</v>
      </c>
      <c r="Q277" t="s">
        <v>1663</v>
      </c>
    </row>
    <row r="278" spans="1:18" x14ac:dyDescent="0.35">
      <c r="A278" s="5" t="s">
        <v>582</v>
      </c>
      <c r="B278" s="6">
        <v>45991</v>
      </c>
      <c r="C278" s="5" t="s">
        <v>583</v>
      </c>
      <c r="D278" s="5" t="s">
        <v>1295</v>
      </c>
      <c r="E278" s="5" t="s">
        <v>71</v>
      </c>
      <c r="F278" s="5" t="s">
        <v>17</v>
      </c>
      <c r="G278">
        <v>0.4861111111111111</v>
      </c>
      <c r="H278">
        <v>0.48888888888888887</v>
      </c>
      <c r="I278">
        <v>-6</v>
      </c>
      <c r="J278" s="5" t="s">
        <v>18</v>
      </c>
      <c r="K278" s="5" t="s">
        <v>19</v>
      </c>
      <c r="L278">
        <v>1842</v>
      </c>
      <c r="M278" s="5">
        <v>4</v>
      </c>
      <c r="N278" s="5" t="s">
        <v>1672</v>
      </c>
      <c r="O278" s="5" t="s">
        <v>1668</v>
      </c>
      <c r="P278">
        <v>1</v>
      </c>
      <c r="Q278" t="s">
        <v>1660</v>
      </c>
    </row>
    <row r="279" spans="1:18" x14ac:dyDescent="0.35">
      <c r="A279" s="5" t="s">
        <v>584</v>
      </c>
      <c r="B279" s="6">
        <v>45991</v>
      </c>
      <c r="C279" s="5" t="s">
        <v>585</v>
      </c>
      <c r="D279" s="5" t="s">
        <v>79</v>
      </c>
      <c r="E279" s="5" t="s">
        <v>413</v>
      </c>
      <c r="F279" s="5" t="s">
        <v>24</v>
      </c>
      <c r="G279">
        <v>0.61458333333333337</v>
      </c>
      <c r="H279">
        <v>0.61111111111111116</v>
      </c>
      <c r="I279">
        <v>4</v>
      </c>
      <c r="J279" s="5" t="s">
        <v>18</v>
      </c>
      <c r="K279" s="5" t="s">
        <v>19</v>
      </c>
      <c r="L279">
        <v>1942</v>
      </c>
      <c r="M279" s="5">
        <v>-5</v>
      </c>
      <c r="N279" s="5" t="s">
        <v>1672</v>
      </c>
      <c r="O279" s="5" t="s">
        <v>1668</v>
      </c>
      <c r="P279">
        <v>1</v>
      </c>
      <c r="Q279" t="s">
        <v>1663</v>
      </c>
    </row>
    <row r="280" spans="1:18" x14ac:dyDescent="0.35">
      <c r="A280" s="5" t="s">
        <v>586</v>
      </c>
      <c r="B280" s="6">
        <v>45991</v>
      </c>
      <c r="C280" s="5" t="s">
        <v>587</v>
      </c>
      <c r="D280" s="5" t="s">
        <v>588</v>
      </c>
      <c r="E280" s="5" t="s">
        <v>546</v>
      </c>
      <c r="F280" s="5" t="s">
        <v>24</v>
      </c>
      <c r="G280">
        <v>0.8125</v>
      </c>
      <c r="H280">
        <v>0.81527777777777777</v>
      </c>
      <c r="I280">
        <v>6</v>
      </c>
      <c r="J280" s="5" t="s">
        <v>18</v>
      </c>
      <c r="K280" s="5" t="s">
        <v>19</v>
      </c>
      <c r="L280">
        <v>1053</v>
      </c>
      <c r="M280" s="5">
        <v>4</v>
      </c>
      <c r="N280" s="5" t="s">
        <v>1672</v>
      </c>
      <c r="O280" s="5" t="s">
        <v>1668</v>
      </c>
      <c r="P280">
        <v>1</v>
      </c>
      <c r="Q280" t="s">
        <v>1665</v>
      </c>
    </row>
    <row r="281" spans="1:18" x14ac:dyDescent="0.35">
      <c r="A281" s="5" t="s">
        <v>589</v>
      </c>
      <c r="B281" s="6">
        <v>45992</v>
      </c>
      <c r="C281" s="5" t="s">
        <v>501</v>
      </c>
      <c r="D281" s="5" t="s">
        <v>79</v>
      </c>
      <c r="E281" s="5" t="s">
        <v>71</v>
      </c>
      <c r="F281" s="5" t="s">
        <v>38</v>
      </c>
      <c r="G281">
        <v>0.30555555555555558</v>
      </c>
      <c r="H281">
        <v>0.31805555555555548</v>
      </c>
      <c r="I281">
        <v>14</v>
      </c>
      <c r="J281" s="5" t="s">
        <v>129</v>
      </c>
      <c r="K281" s="5" t="s">
        <v>19</v>
      </c>
      <c r="L281">
        <v>606</v>
      </c>
      <c r="M281" s="5">
        <v>18</v>
      </c>
      <c r="N281" s="5" t="s">
        <v>1673</v>
      </c>
      <c r="O281" s="5" t="s">
        <v>1659</v>
      </c>
      <c r="P281">
        <v>1</v>
      </c>
      <c r="Q281" t="s">
        <v>1660</v>
      </c>
      <c r="R281" t="s">
        <v>1670</v>
      </c>
    </row>
    <row r="282" spans="1:18" x14ac:dyDescent="0.35">
      <c r="A282" s="5" t="s">
        <v>590</v>
      </c>
      <c r="B282" s="6">
        <v>45992</v>
      </c>
      <c r="C282" s="5" t="s">
        <v>180</v>
      </c>
      <c r="D282" s="5" t="s">
        <v>588</v>
      </c>
      <c r="E282" s="5" t="s">
        <v>79</v>
      </c>
      <c r="F282" s="5" t="s">
        <v>28</v>
      </c>
      <c r="G282">
        <v>0.36805555555555558</v>
      </c>
      <c r="H282">
        <v>0.38611111111111113</v>
      </c>
      <c r="I282">
        <v>29</v>
      </c>
      <c r="J282" s="5" t="s">
        <v>129</v>
      </c>
      <c r="K282" s="5" t="s">
        <v>19</v>
      </c>
      <c r="L282">
        <v>730</v>
      </c>
      <c r="M282" s="5">
        <v>26</v>
      </c>
      <c r="N282" s="5" t="s">
        <v>1673</v>
      </c>
      <c r="O282" s="5" t="s">
        <v>1659</v>
      </c>
      <c r="P282">
        <v>0</v>
      </c>
      <c r="Q282" t="s">
        <v>1660</v>
      </c>
      <c r="R282" t="s">
        <v>1670</v>
      </c>
    </row>
    <row r="283" spans="1:18" x14ac:dyDescent="0.35">
      <c r="A283" s="5" t="s">
        <v>592</v>
      </c>
      <c r="B283" s="6">
        <v>45993</v>
      </c>
      <c r="C283" s="5" t="s">
        <v>169</v>
      </c>
      <c r="D283" s="5" t="s">
        <v>79</v>
      </c>
      <c r="E283" s="5" t="s">
        <v>413</v>
      </c>
      <c r="F283" s="5" t="s">
        <v>24</v>
      </c>
      <c r="G283">
        <v>0.34375</v>
      </c>
      <c r="H283">
        <v>0.34722222222222221</v>
      </c>
      <c r="I283">
        <v>11</v>
      </c>
      <c r="J283" s="5" t="s">
        <v>18</v>
      </c>
      <c r="K283" s="5" t="s">
        <v>19</v>
      </c>
      <c r="L283">
        <v>1942</v>
      </c>
      <c r="M283" s="5">
        <v>5</v>
      </c>
      <c r="N283" s="5" t="s">
        <v>1673</v>
      </c>
      <c r="O283" s="5" t="s">
        <v>1661</v>
      </c>
      <c r="P283">
        <v>1</v>
      </c>
      <c r="Q283" t="s">
        <v>1660</v>
      </c>
    </row>
    <row r="284" spans="1:18" x14ac:dyDescent="0.35">
      <c r="A284" s="5" t="s">
        <v>593</v>
      </c>
      <c r="B284" s="6">
        <v>45993</v>
      </c>
      <c r="C284" s="5" t="s">
        <v>594</v>
      </c>
      <c r="D284" s="5" t="s">
        <v>71</v>
      </c>
      <c r="E284" s="5" t="s">
        <v>79</v>
      </c>
      <c r="F284" s="5" t="s">
        <v>17</v>
      </c>
      <c r="G284">
        <v>0.59375</v>
      </c>
      <c r="H284">
        <v>0.59722222222222221</v>
      </c>
      <c r="I284">
        <v>-6</v>
      </c>
      <c r="J284" s="5" t="s">
        <v>18</v>
      </c>
      <c r="K284" s="5" t="s">
        <v>19</v>
      </c>
      <c r="L284">
        <v>606</v>
      </c>
      <c r="M284" s="5">
        <v>5</v>
      </c>
      <c r="N284" s="5" t="s">
        <v>1673</v>
      </c>
      <c r="O284" s="5" t="s">
        <v>1661</v>
      </c>
      <c r="P284">
        <v>1</v>
      </c>
      <c r="Q284" t="s">
        <v>1663</v>
      </c>
    </row>
    <row r="285" spans="1:18" x14ac:dyDescent="0.35">
      <c r="A285" s="5" t="s">
        <v>595</v>
      </c>
      <c r="B285" s="6">
        <v>45993</v>
      </c>
      <c r="C285" s="5" t="s">
        <v>596</v>
      </c>
      <c r="D285" s="5" t="s">
        <v>1295</v>
      </c>
      <c r="E285" s="5" t="s">
        <v>79</v>
      </c>
      <c r="F285" s="5" t="s">
        <v>24</v>
      </c>
      <c r="G285">
        <v>0.66319444444444442</v>
      </c>
      <c r="H285">
        <v>0.67083333333333328</v>
      </c>
      <c r="I285">
        <v>12</v>
      </c>
      <c r="J285" s="5" t="s">
        <v>18</v>
      </c>
      <c r="K285" s="5" t="s">
        <v>19</v>
      </c>
      <c r="L285">
        <v>2134</v>
      </c>
      <c r="M285" s="5">
        <v>11</v>
      </c>
      <c r="N285" s="5" t="s">
        <v>1673</v>
      </c>
      <c r="O285" s="5" t="s">
        <v>1661</v>
      </c>
      <c r="P285">
        <v>1</v>
      </c>
      <c r="Q285" t="s">
        <v>1663</v>
      </c>
    </row>
    <row r="286" spans="1:18" x14ac:dyDescent="0.35">
      <c r="A286" s="5" t="s">
        <v>597</v>
      </c>
      <c r="B286" s="6">
        <v>45993</v>
      </c>
      <c r="C286" s="5" t="s">
        <v>598</v>
      </c>
      <c r="D286" s="5" t="s">
        <v>79</v>
      </c>
      <c r="E286" s="5" t="s">
        <v>546</v>
      </c>
      <c r="F286" s="5" t="s">
        <v>17</v>
      </c>
      <c r="G286">
        <v>0.77430555555555558</v>
      </c>
      <c r="H286">
        <v>0.77083333333333337</v>
      </c>
      <c r="I286">
        <v>-12</v>
      </c>
      <c r="J286" s="5" t="s">
        <v>18</v>
      </c>
      <c r="K286" s="5" t="s">
        <v>19</v>
      </c>
      <c r="L286">
        <v>1743</v>
      </c>
      <c r="M286" s="5">
        <v>-5</v>
      </c>
      <c r="N286" s="5" t="s">
        <v>1673</v>
      </c>
      <c r="O286" s="5" t="s">
        <v>1661</v>
      </c>
      <c r="P286">
        <v>1</v>
      </c>
      <c r="Q286" t="s">
        <v>1665</v>
      </c>
    </row>
    <row r="287" spans="1:18" x14ac:dyDescent="0.35">
      <c r="A287" s="5" t="s">
        <v>599</v>
      </c>
      <c r="B287" s="6">
        <v>45993</v>
      </c>
      <c r="C287" s="5" t="s">
        <v>600</v>
      </c>
      <c r="D287" s="5" t="s">
        <v>588</v>
      </c>
      <c r="E287" s="5" t="s">
        <v>71</v>
      </c>
      <c r="F287" s="5" t="s">
        <v>24</v>
      </c>
      <c r="G287">
        <v>0.875</v>
      </c>
      <c r="H287">
        <v>0.9375</v>
      </c>
      <c r="I287">
        <v>95</v>
      </c>
      <c r="J287" s="5" t="s">
        <v>54</v>
      </c>
      <c r="K287" s="5" t="s">
        <v>19</v>
      </c>
      <c r="L287">
        <v>802</v>
      </c>
      <c r="M287" s="5">
        <v>90</v>
      </c>
      <c r="N287" s="5" t="s">
        <v>1673</v>
      </c>
      <c r="O287" s="5" t="s">
        <v>1661</v>
      </c>
      <c r="P287">
        <v>0</v>
      </c>
      <c r="Q287" t="s">
        <v>1669</v>
      </c>
      <c r="R287" t="s">
        <v>1657</v>
      </c>
    </row>
    <row r="288" spans="1:18" x14ac:dyDescent="0.35">
      <c r="A288" s="5" t="s">
        <v>601</v>
      </c>
      <c r="B288" s="6">
        <v>45994</v>
      </c>
      <c r="C288" s="5" t="s">
        <v>265</v>
      </c>
      <c r="D288" s="5" t="s">
        <v>71</v>
      </c>
      <c r="E288" s="5" t="s">
        <v>202</v>
      </c>
      <c r="F288" s="5" t="s">
        <v>28</v>
      </c>
      <c r="G288">
        <v>0.39930555555555558</v>
      </c>
      <c r="H288">
        <v>0.39444444444444438</v>
      </c>
      <c r="I288">
        <v>-2</v>
      </c>
      <c r="J288" s="5" t="s">
        <v>18</v>
      </c>
      <c r="K288" s="5" t="s">
        <v>19</v>
      </c>
      <c r="L288">
        <v>1199</v>
      </c>
      <c r="M288" s="5">
        <v>-7</v>
      </c>
      <c r="N288" s="5" t="s">
        <v>1673</v>
      </c>
      <c r="O288" s="5" t="s">
        <v>1662</v>
      </c>
      <c r="P288">
        <v>1</v>
      </c>
      <c r="Q288" t="s">
        <v>1660</v>
      </c>
    </row>
    <row r="289" spans="1:18" x14ac:dyDescent="0.35">
      <c r="A289" s="5" t="s">
        <v>602</v>
      </c>
      <c r="B289" s="6">
        <v>45994</v>
      </c>
      <c r="C289" s="5" t="s">
        <v>603</v>
      </c>
      <c r="D289" s="5" t="s">
        <v>79</v>
      </c>
      <c r="E289" s="5" t="s">
        <v>71</v>
      </c>
      <c r="F289" s="5" t="s">
        <v>38</v>
      </c>
      <c r="G289">
        <v>0.90277777777777779</v>
      </c>
      <c r="H289">
        <v>0.89722222222222225</v>
      </c>
      <c r="I289">
        <v>1</v>
      </c>
      <c r="J289" s="5" t="s">
        <v>18</v>
      </c>
      <c r="K289" s="5" t="s">
        <v>19</v>
      </c>
      <c r="L289">
        <v>606</v>
      </c>
      <c r="M289" s="5">
        <v>-8</v>
      </c>
      <c r="N289" s="5" t="s">
        <v>1673</v>
      </c>
      <c r="O289" s="5" t="s">
        <v>1662</v>
      </c>
      <c r="P289">
        <v>1</v>
      </c>
      <c r="Q289" t="s">
        <v>1669</v>
      </c>
    </row>
    <row r="290" spans="1:18" x14ac:dyDescent="0.35">
      <c r="A290" s="5" t="s">
        <v>604</v>
      </c>
      <c r="B290" s="6">
        <v>45995</v>
      </c>
      <c r="C290" s="5" t="s">
        <v>605</v>
      </c>
      <c r="D290" s="5" t="s">
        <v>226</v>
      </c>
      <c r="E290" s="5" t="s">
        <v>588</v>
      </c>
      <c r="F290" s="5" t="s">
        <v>28</v>
      </c>
      <c r="G290">
        <v>0.85416666666666663</v>
      </c>
      <c r="I290">
        <v>-5</v>
      </c>
      <c r="J290" s="5" t="s">
        <v>18</v>
      </c>
      <c r="K290" s="5" t="s">
        <v>19</v>
      </c>
      <c r="L290">
        <v>641</v>
      </c>
      <c r="M290" s="5">
        <v>4</v>
      </c>
      <c r="N290" s="5" t="s">
        <v>1673</v>
      </c>
      <c r="O290" s="5" t="s">
        <v>1664</v>
      </c>
      <c r="P290">
        <v>1</v>
      </c>
      <c r="Q290" t="s">
        <v>1665</v>
      </c>
    </row>
    <row r="291" spans="1:18" x14ac:dyDescent="0.35">
      <c r="A291" s="5" t="s">
        <v>606</v>
      </c>
      <c r="B291" s="6">
        <v>45996</v>
      </c>
      <c r="C291" s="5" t="s">
        <v>607</v>
      </c>
      <c r="D291" s="5" t="s">
        <v>84</v>
      </c>
      <c r="E291" s="5" t="s">
        <v>413</v>
      </c>
      <c r="F291" s="5" t="s">
        <v>17</v>
      </c>
      <c r="G291">
        <v>0.25347222222222221</v>
      </c>
      <c r="H291">
        <v>0.31666666666666671</v>
      </c>
      <c r="I291">
        <v>82</v>
      </c>
      <c r="J291" s="5" t="s">
        <v>129</v>
      </c>
      <c r="K291" s="5" t="s">
        <v>19</v>
      </c>
      <c r="L291">
        <v>955</v>
      </c>
      <c r="M291" s="5">
        <v>91</v>
      </c>
      <c r="N291" s="5" t="s">
        <v>1673</v>
      </c>
      <c r="O291" s="5" t="s">
        <v>1666</v>
      </c>
      <c r="P291">
        <v>0</v>
      </c>
      <c r="Q291" t="s">
        <v>1660</v>
      </c>
      <c r="R291" t="s">
        <v>1670</v>
      </c>
    </row>
    <row r="292" spans="1:18" x14ac:dyDescent="0.35">
      <c r="A292" s="5" t="s">
        <v>608</v>
      </c>
      <c r="B292" s="6">
        <v>45996</v>
      </c>
      <c r="C292" s="5" t="s">
        <v>609</v>
      </c>
      <c r="D292" s="5" t="s">
        <v>588</v>
      </c>
      <c r="E292" s="5" t="s">
        <v>1549</v>
      </c>
      <c r="F292" s="5" t="s">
        <v>17</v>
      </c>
      <c r="G292">
        <v>0.58680555555555558</v>
      </c>
      <c r="H292">
        <v>0.5854166666666667</v>
      </c>
      <c r="I292">
        <v>3</v>
      </c>
      <c r="J292" s="5" t="s">
        <v>18</v>
      </c>
      <c r="K292" s="5" t="s">
        <v>19</v>
      </c>
      <c r="L292">
        <v>1559</v>
      </c>
      <c r="M292" s="5">
        <v>-2</v>
      </c>
      <c r="N292" s="5" t="s">
        <v>1673</v>
      </c>
      <c r="O292" s="5" t="s">
        <v>1666</v>
      </c>
      <c r="P292">
        <v>1</v>
      </c>
      <c r="Q292" t="s">
        <v>1663</v>
      </c>
    </row>
    <row r="293" spans="1:18" x14ac:dyDescent="0.35">
      <c r="A293" s="5" t="s">
        <v>610</v>
      </c>
      <c r="B293" s="6">
        <v>45996</v>
      </c>
      <c r="C293" s="5" t="s">
        <v>611</v>
      </c>
      <c r="D293" s="5" t="s">
        <v>202</v>
      </c>
      <c r="E293" s="5" t="s">
        <v>71</v>
      </c>
      <c r="F293" s="5" t="s">
        <v>17</v>
      </c>
      <c r="G293">
        <v>0.74652777777777779</v>
      </c>
      <c r="H293">
        <v>0.80208333333333337</v>
      </c>
      <c r="I293">
        <v>78</v>
      </c>
      <c r="J293" s="5" t="s">
        <v>129</v>
      </c>
      <c r="K293" s="5" t="s">
        <v>19</v>
      </c>
      <c r="L293">
        <v>1199</v>
      </c>
      <c r="M293" s="5">
        <v>80</v>
      </c>
      <c r="N293" s="5" t="s">
        <v>1673</v>
      </c>
      <c r="O293" s="5" t="s">
        <v>1666</v>
      </c>
      <c r="P293">
        <v>0</v>
      </c>
      <c r="Q293" t="s">
        <v>1665</v>
      </c>
      <c r="R293" t="s">
        <v>1670</v>
      </c>
    </row>
    <row r="294" spans="1:18" x14ac:dyDescent="0.35">
      <c r="A294" s="5" t="s">
        <v>612</v>
      </c>
      <c r="B294" s="6">
        <v>45997</v>
      </c>
      <c r="C294" s="5" t="s">
        <v>613</v>
      </c>
      <c r="D294" s="5" t="s">
        <v>71</v>
      </c>
      <c r="E294" s="5" t="s">
        <v>588</v>
      </c>
      <c r="F294" s="5" t="s">
        <v>17</v>
      </c>
      <c r="G294">
        <v>0.51736111111111116</v>
      </c>
      <c r="H294">
        <v>0.51527777777777772</v>
      </c>
      <c r="I294">
        <v>-2</v>
      </c>
      <c r="J294" s="5" t="s">
        <v>18</v>
      </c>
      <c r="K294" s="5" t="s">
        <v>19</v>
      </c>
      <c r="L294">
        <v>802</v>
      </c>
      <c r="M294" s="5">
        <v>-3</v>
      </c>
      <c r="N294" s="5" t="s">
        <v>1673</v>
      </c>
      <c r="O294" s="5" t="s">
        <v>1667</v>
      </c>
      <c r="P294">
        <v>1</v>
      </c>
      <c r="Q294" t="s">
        <v>1663</v>
      </c>
    </row>
    <row r="295" spans="1:18" x14ac:dyDescent="0.35">
      <c r="A295" s="5" t="s">
        <v>614</v>
      </c>
      <c r="B295" s="6">
        <v>45998</v>
      </c>
      <c r="C295" s="5" t="s">
        <v>353</v>
      </c>
      <c r="D295" s="5" t="s">
        <v>588</v>
      </c>
      <c r="E295" s="5" t="s">
        <v>71</v>
      </c>
      <c r="F295" s="5" t="s">
        <v>24</v>
      </c>
      <c r="G295">
        <v>0.2673611111111111</v>
      </c>
      <c r="H295">
        <v>0.27291666666666659</v>
      </c>
      <c r="I295">
        <v>-3</v>
      </c>
      <c r="J295" s="5" t="s">
        <v>18</v>
      </c>
      <c r="K295" s="5" t="s">
        <v>19</v>
      </c>
      <c r="L295">
        <v>802</v>
      </c>
      <c r="M295" s="5">
        <v>8</v>
      </c>
      <c r="N295" s="5" t="s">
        <v>1673</v>
      </c>
      <c r="O295" s="5" t="s">
        <v>1668</v>
      </c>
      <c r="P295">
        <v>1</v>
      </c>
      <c r="Q295" t="s">
        <v>1660</v>
      </c>
    </row>
    <row r="296" spans="1:18" x14ac:dyDescent="0.35">
      <c r="A296" s="5" t="s">
        <v>615</v>
      </c>
      <c r="B296" s="6">
        <v>45998</v>
      </c>
      <c r="C296" s="5" t="s">
        <v>616</v>
      </c>
      <c r="D296" s="5" t="s">
        <v>79</v>
      </c>
      <c r="E296" s="5" t="s">
        <v>1295</v>
      </c>
      <c r="F296" s="5" t="s">
        <v>38</v>
      </c>
      <c r="G296">
        <v>0.60069444444444442</v>
      </c>
      <c r="H296">
        <v>0.65416666666666667</v>
      </c>
      <c r="I296">
        <v>75</v>
      </c>
      <c r="J296" s="5" t="s">
        <v>60</v>
      </c>
      <c r="K296" s="5" t="s">
        <v>19</v>
      </c>
      <c r="L296">
        <v>2134</v>
      </c>
      <c r="M296" s="5">
        <v>77</v>
      </c>
      <c r="N296" s="5" t="s">
        <v>1673</v>
      </c>
      <c r="O296" s="5" t="s">
        <v>1668</v>
      </c>
      <c r="P296">
        <v>0</v>
      </c>
      <c r="Q296" t="s">
        <v>1663</v>
      </c>
      <c r="R296" t="s">
        <v>1657</v>
      </c>
    </row>
    <row r="297" spans="1:18" x14ac:dyDescent="0.35">
      <c r="A297" s="5" t="s">
        <v>618</v>
      </c>
      <c r="B297" s="6">
        <v>45999</v>
      </c>
      <c r="C297" s="5" t="s">
        <v>619</v>
      </c>
      <c r="D297" s="5" t="s">
        <v>226</v>
      </c>
      <c r="E297" s="5" t="s">
        <v>588</v>
      </c>
      <c r="F297" s="5" t="s">
        <v>17</v>
      </c>
      <c r="G297">
        <v>0.40972222222222221</v>
      </c>
      <c r="H297">
        <v>0.4152777777777778</v>
      </c>
      <c r="I297">
        <v>-2</v>
      </c>
      <c r="J297" s="5" t="s">
        <v>18</v>
      </c>
      <c r="K297" s="5" t="s">
        <v>19</v>
      </c>
      <c r="L297">
        <v>641</v>
      </c>
      <c r="M297" s="5">
        <v>8</v>
      </c>
      <c r="N297" s="5" t="s">
        <v>1673</v>
      </c>
      <c r="O297" s="5" t="s">
        <v>1659</v>
      </c>
      <c r="P297">
        <v>1</v>
      </c>
      <c r="Q297" t="s">
        <v>1660</v>
      </c>
    </row>
    <row r="298" spans="1:18" x14ac:dyDescent="0.35">
      <c r="A298" s="5" t="s">
        <v>620</v>
      </c>
      <c r="B298" s="6">
        <v>45999</v>
      </c>
      <c r="C298" s="5" t="s">
        <v>621</v>
      </c>
      <c r="D298" s="5" t="s">
        <v>413</v>
      </c>
      <c r="E298" s="5" t="s">
        <v>84</v>
      </c>
      <c r="F298" s="5" t="s">
        <v>38</v>
      </c>
      <c r="G298">
        <v>0.50694444444444442</v>
      </c>
      <c r="H298">
        <v>0.5131944444444444</v>
      </c>
      <c r="I298">
        <v>14</v>
      </c>
      <c r="J298" s="5" t="s">
        <v>18</v>
      </c>
      <c r="K298" s="5" t="s">
        <v>19</v>
      </c>
      <c r="L298">
        <v>955</v>
      </c>
      <c r="M298" s="5">
        <v>9</v>
      </c>
      <c r="N298" s="5" t="s">
        <v>1673</v>
      </c>
      <c r="O298" s="5" t="s">
        <v>1659</v>
      </c>
      <c r="P298">
        <v>1</v>
      </c>
      <c r="Q298" t="s">
        <v>1663</v>
      </c>
    </row>
    <row r="299" spans="1:18" x14ac:dyDescent="0.35">
      <c r="A299" s="5" t="s">
        <v>622</v>
      </c>
      <c r="B299" s="6">
        <v>45999</v>
      </c>
      <c r="C299" s="5" t="s">
        <v>468</v>
      </c>
      <c r="D299" s="5" t="s">
        <v>1295</v>
      </c>
      <c r="E299" s="5" t="s">
        <v>546</v>
      </c>
      <c r="F299" s="5" t="s">
        <v>17</v>
      </c>
      <c r="G299">
        <v>0.51041666666666663</v>
      </c>
      <c r="H299">
        <v>0.51180555555555551</v>
      </c>
      <c r="I299">
        <v>3</v>
      </c>
      <c r="J299" s="5" t="s">
        <v>18</v>
      </c>
      <c r="K299" s="5" t="s">
        <v>19</v>
      </c>
      <c r="L299">
        <v>414</v>
      </c>
      <c r="M299" s="5">
        <v>2</v>
      </c>
      <c r="N299" s="5" t="s">
        <v>1673</v>
      </c>
      <c r="O299" s="5" t="s">
        <v>1659</v>
      </c>
      <c r="P299">
        <v>1</v>
      </c>
      <c r="Q299" t="s">
        <v>1663</v>
      </c>
    </row>
    <row r="300" spans="1:18" x14ac:dyDescent="0.35">
      <c r="A300" s="5" t="s">
        <v>623</v>
      </c>
      <c r="B300" s="6">
        <v>45999</v>
      </c>
      <c r="C300" s="5" t="s">
        <v>442</v>
      </c>
      <c r="D300" s="5" t="s">
        <v>79</v>
      </c>
      <c r="E300" s="5" t="s">
        <v>226</v>
      </c>
      <c r="F300" s="5" t="s">
        <v>17</v>
      </c>
      <c r="G300">
        <v>0.61805555555555558</v>
      </c>
      <c r="H300">
        <v>0.62291666666666667</v>
      </c>
      <c r="I300">
        <v>12</v>
      </c>
      <c r="J300" s="5" t="s">
        <v>18</v>
      </c>
      <c r="K300" s="5" t="s">
        <v>19</v>
      </c>
      <c r="L300">
        <v>1197</v>
      </c>
      <c r="M300" s="5">
        <v>7</v>
      </c>
      <c r="N300" s="5" t="s">
        <v>1673</v>
      </c>
      <c r="O300" s="5" t="s">
        <v>1659</v>
      </c>
      <c r="P300">
        <v>1</v>
      </c>
      <c r="Q300" t="s">
        <v>1663</v>
      </c>
    </row>
    <row r="301" spans="1:18" x14ac:dyDescent="0.35">
      <c r="A301" s="5" t="s">
        <v>624</v>
      </c>
      <c r="B301" s="6">
        <v>45999</v>
      </c>
      <c r="C301" s="5" t="s">
        <v>559</v>
      </c>
      <c r="D301" s="5" t="s">
        <v>588</v>
      </c>
      <c r="E301" s="5" t="s">
        <v>1295</v>
      </c>
      <c r="F301" s="5" t="s">
        <v>38</v>
      </c>
      <c r="G301">
        <v>0.73958333333333337</v>
      </c>
      <c r="H301">
        <v>0.7416666666666667</v>
      </c>
      <c r="I301">
        <v>7</v>
      </c>
      <c r="J301" s="5" t="s">
        <v>18</v>
      </c>
      <c r="K301" s="5" t="s">
        <v>19</v>
      </c>
      <c r="L301">
        <v>1462</v>
      </c>
      <c r="M301" s="5">
        <v>3</v>
      </c>
      <c r="N301" s="5" t="s">
        <v>1673</v>
      </c>
      <c r="O301" s="5" t="s">
        <v>1659</v>
      </c>
      <c r="P301">
        <v>1</v>
      </c>
      <c r="Q301" t="s">
        <v>1665</v>
      </c>
    </row>
    <row r="302" spans="1:18" x14ac:dyDescent="0.35">
      <c r="A302" s="5" t="s">
        <v>625</v>
      </c>
      <c r="B302" s="6">
        <v>45999</v>
      </c>
      <c r="C302" s="5" t="s">
        <v>626</v>
      </c>
      <c r="D302" s="5" t="s">
        <v>413</v>
      </c>
      <c r="E302" s="5" t="s">
        <v>79</v>
      </c>
      <c r="F302" s="5" t="s">
        <v>28</v>
      </c>
      <c r="G302">
        <v>0.94097222222222221</v>
      </c>
      <c r="H302">
        <v>0.94930555555555551</v>
      </c>
      <c r="I302">
        <v>16</v>
      </c>
      <c r="J302" s="5" t="s">
        <v>18</v>
      </c>
      <c r="K302" s="5" t="s">
        <v>19</v>
      </c>
      <c r="L302">
        <v>1942</v>
      </c>
      <c r="M302" s="5">
        <v>12</v>
      </c>
      <c r="N302" s="5" t="s">
        <v>1673</v>
      </c>
      <c r="O302" s="5" t="s">
        <v>1659</v>
      </c>
      <c r="P302">
        <v>0</v>
      </c>
      <c r="Q302" t="s">
        <v>1669</v>
      </c>
    </row>
    <row r="303" spans="1:18" x14ac:dyDescent="0.35">
      <c r="A303" s="5" t="s">
        <v>627</v>
      </c>
      <c r="B303" s="6">
        <v>46000</v>
      </c>
      <c r="C303" s="5" t="s">
        <v>628</v>
      </c>
      <c r="D303" s="5" t="s">
        <v>1295</v>
      </c>
      <c r="E303" s="5" t="s">
        <v>1171</v>
      </c>
      <c r="F303" s="5" t="s">
        <v>24</v>
      </c>
      <c r="G303">
        <v>0.37152777777777779</v>
      </c>
      <c r="H303">
        <v>0.37847222222222221</v>
      </c>
      <c r="I303">
        <v>10</v>
      </c>
      <c r="J303" s="5" t="s">
        <v>18</v>
      </c>
      <c r="K303" s="5" t="s">
        <v>19</v>
      </c>
      <c r="L303">
        <v>651</v>
      </c>
      <c r="M303" s="5">
        <v>10</v>
      </c>
      <c r="N303" s="5" t="s">
        <v>1673</v>
      </c>
      <c r="O303" s="5" t="s">
        <v>1661</v>
      </c>
      <c r="P303">
        <v>1</v>
      </c>
      <c r="Q303" t="s">
        <v>1660</v>
      </c>
    </row>
    <row r="304" spans="1:18" x14ac:dyDescent="0.35">
      <c r="A304" s="5" t="s">
        <v>630</v>
      </c>
      <c r="B304" s="6">
        <v>46000</v>
      </c>
      <c r="C304" s="5" t="s">
        <v>631</v>
      </c>
      <c r="D304" s="5" t="s">
        <v>71</v>
      </c>
      <c r="E304" s="5" t="s">
        <v>226</v>
      </c>
      <c r="F304" s="5" t="s">
        <v>17</v>
      </c>
      <c r="G304">
        <v>0.625</v>
      </c>
      <c r="H304">
        <v>0.67152777777777772</v>
      </c>
      <c r="I304">
        <v>60</v>
      </c>
      <c r="J304" s="5" t="s">
        <v>54</v>
      </c>
      <c r="K304" s="5" t="s">
        <v>19</v>
      </c>
      <c r="L304">
        <v>886</v>
      </c>
      <c r="M304" s="5">
        <v>67</v>
      </c>
      <c r="N304" s="5" t="s">
        <v>1673</v>
      </c>
      <c r="O304" s="5" t="s">
        <v>1661</v>
      </c>
      <c r="P304">
        <v>0</v>
      </c>
      <c r="Q304" t="s">
        <v>1663</v>
      </c>
      <c r="R304" t="s">
        <v>1657</v>
      </c>
    </row>
    <row r="305" spans="1:18" x14ac:dyDescent="0.35">
      <c r="A305" s="5" t="s">
        <v>632</v>
      </c>
      <c r="B305" s="6">
        <v>46000</v>
      </c>
      <c r="C305" s="5" t="s">
        <v>633</v>
      </c>
      <c r="D305" s="5" t="s">
        <v>202</v>
      </c>
      <c r="E305" s="5" t="s">
        <v>84</v>
      </c>
      <c r="F305" s="5" t="s">
        <v>28</v>
      </c>
      <c r="G305">
        <v>0.68055555555555558</v>
      </c>
      <c r="H305">
        <v>0.67777777777777781</v>
      </c>
      <c r="I305">
        <v>-13</v>
      </c>
      <c r="J305" s="5" t="s">
        <v>18</v>
      </c>
      <c r="K305" s="5" t="s">
        <v>19</v>
      </c>
      <c r="L305">
        <v>2722</v>
      </c>
      <c r="M305" s="5">
        <v>-4</v>
      </c>
      <c r="N305" s="5" t="s">
        <v>1673</v>
      </c>
      <c r="O305" s="5" t="s">
        <v>1661</v>
      </c>
      <c r="P305">
        <v>1</v>
      </c>
      <c r="Q305" t="s">
        <v>1663</v>
      </c>
    </row>
    <row r="306" spans="1:18" x14ac:dyDescent="0.35">
      <c r="A306" s="5" t="s">
        <v>634</v>
      </c>
      <c r="B306" s="6">
        <v>46001</v>
      </c>
      <c r="C306" s="5" t="s">
        <v>452</v>
      </c>
      <c r="D306" s="5" t="s">
        <v>413</v>
      </c>
      <c r="E306" s="5" t="s">
        <v>71</v>
      </c>
      <c r="F306" s="5" t="s">
        <v>24</v>
      </c>
      <c r="G306">
        <v>0.34722222222222221</v>
      </c>
      <c r="H306">
        <v>0.35208333333333341</v>
      </c>
      <c r="I306">
        <v>16</v>
      </c>
      <c r="J306" s="5" t="s">
        <v>18</v>
      </c>
      <c r="K306" s="5" t="s">
        <v>19</v>
      </c>
      <c r="L306">
        <v>1742</v>
      </c>
      <c r="M306" s="5">
        <v>7</v>
      </c>
      <c r="N306" s="5" t="s">
        <v>1673</v>
      </c>
      <c r="O306" s="5" t="s">
        <v>1662</v>
      </c>
      <c r="P306">
        <v>0</v>
      </c>
      <c r="Q306" t="s">
        <v>1660</v>
      </c>
    </row>
    <row r="307" spans="1:18" x14ac:dyDescent="0.35">
      <c r="A307" s="5" t="s">
        <v>635</v>
      </c>
      <c r="B307" s="6">
        <v>46001</v>
      </c>
      <c r="C307" s="5" t="s">
        <v>468</v>
      </c>
      <c r="D307" s="5" t="s">
        <v>588</v>
      </c>
      <c r="E307" s="5" t="s">
        <v>79</v>
      </c>
      <c r="F307" s="5" t="s">
        <v>17</v>
      </c>
      <c r="G307">
        <v>0.92361111111111116</v>
      </c>
      <c r="H307">
        <v>0.92986111111111114</v>
      </c>
      <c r="I307">
        <v>18</v>
      </c>
      <c r="J307" s="5" t="s">
        <v>18</v>
      </c>
      <c r="K307" s="5" t="s">
        <v>19</v>
      </c>
      <c r="L307">
        <v>730</v>
      </c>
      <c r="M307" s="5">
        <v>9</v>
      </c>
      <c r="N307" s="5" t="s">
        <v>1673</v>
      </c>
      <c r="O307" s="5" t="s">
        <v>1662</v>
      </c>
      <c r="P307">
        <v>0</v>
      </c>
      <c r="Q307" t="s">
        <v>1669</v>
      </c>
    </row>
    <row r="308" spans="1:18" x14ac:dyDescent="0.35">
      <c r="A308" s="5" t="s">
        <v>636</v>
      </c>
      <c r="B308" s="6">
        <v>46002</v>
      </c>
      <c r="C308" s="5" t="s">
        <v>637</v>
      </c>
      <c r="D308" s="5" t="s">
        <v>413</v>
      </c>
      <c r="E308" s="5" t="s">
        <v>1295</v>
      </c>
      <c r="F308" s="5" t="s">
        <v>17</v>
      </c>
      <c r="G308">
        <v>0.2638888888888889</v>
      </c>
      <c r="H308">
        <v>0.37777777777777782</v>
      </c>
      <c r="I308">
        <v>149</v>
      </c>
      <c r="J308" s="5" t="s">
        <v>477</v>
      </c>
      <c r="K308" s="5" t="s">
        <v>19</v>
      </c>
      <c r="L308">
        <v>338</v>
      </c>
      <c r="M308" s="5">
        <v>164</v>
      </c>
      <c r="N308" s="5" t="s">
        <v>1673</v>
      </c>
      <c r="O308" s="5" t="s">
        <v>1664</v>
      </c>
      <c r="P308">
        <v>0</v>
      </c>
      <c r="Q308" t="s">
        <v>1660</v>
      </c>
      <c r="R308" t="s">
        <v>1670</v>
      </c>
    </row>
    <row r="309" spans="1:18" x14ac:dyDescent="0.35">
      <c r="A309" s="5" t="s">
        <v>638</v>
      </c>
      <c r="B309" s="6">
        <v>46003</v>
      </c>
      <c r="C309" s="5" t="s">
        <v>603</v>
      </c>
      <c r="D309" s="5" t="s">
        <v>546</v>
      </c>
      <c r="E309" s="5" t="s">
        <v>588</v>
      </c>
      <c r="F309" s="5" t="s">
        <v>17</v>
      </c>
      <c r="G309">
        <v>0.44097222222222221</v>
      </c>
      <c r="H309">
        <v>0.45833333333333331</v>
      </c>
      <c r="I309">
        <v>26</v>
      </c>
      <c r="J309" s="5" t="s">
        <v>54</v>
      </c>
      <c r="K309" s="5" t="s">
        <v>19</v>
      </c>
      <c r="L309">
        <v>1053</v>
      </c>
      <c r="M309" s="5">
        <v>25</v>
      </c>
      <c r="N309" s="5" t="s">
        <v>1673</v>
      </c>
      <c r="O309" s="5" t="s">
        <v>1666</v>
      </c>
      <c r="P309">
        <v>0</v>
      </c>
      <c r="Q309" t="s">
        <v>1660</v>
      </c>
      <c r="R309" t="s">
        <v>1657</v>
      </c>
    </row>
    <row r="310" spans="1:18" x14ac:dyDescent="0.35">
      <c r="A310" s="5" t="s">
        <v>639</v>
      </c>
      <c r="B310" s="6">
        <v>46003</v>
      </c>
      <c r="C310" s="5" t="s">
        <v>628</v>
      </c>
      <c r="D310" s="5" t="s">
        <v>71</v>
      </c>
      <c r="E310" s="5" t="s">
        <v>202</v>
      </c>
      <c r="F310" s="5" t="s">
        <v>17</v>
      </c>
      <c r="G310">
        <v>0.47569444444444442</v>
      </c>
      <c r="H310">
        <v>0.47083333333333333</v>
      </c>
      <c r="I310">
        <v>-11</v>
      </c>
      <c r="J310" s="5" t="s">
        <v>18</v>
      </c>
      <c r="K310" s="5" t="s">
        <v>19</v>
      </c>
      <c r="L310">
        <v>1199</v>
      </c>
      <c r="M310" s="5">
        <v>-7</v>
      </c>
      <c r="N310" s="5" t="s">
        <v>1673</v>
      </c>
      <c r="O310" s="5" t="s">
        <v>1666</v>
      </c>
      <c r="P310">
        <v>1</v>
      </c>
      <c r="Q310" t="s">
        <v>1660</v>
      </c>
    </row>
    <row r="311" spans="1:18" x14ac:dyDescent="0.35">
      <c r="A311" s="5" t="s">
        <v>640</v>
      </c>
      <c r="B311" s="6">
        <v>46003</v>
      </c>
      <c r="C311" s="5" t="s">
        <v>641</v>
      </c>
      <c r="D311" s="5" t="s">
        <v>202</v>
      </c>
      <c r="E311" s="5" t="s">
        <v>413</v>
      </c>
      <c r="F311" s="5" t="s">
        <v>24</v>
      </c>
      <c r="G311">
        <v>0.78125</v>
      </c>
      <c r="H311">
        <v>0.80625000000000002</v>
      </c>
      <c r="I311">
        <v>33</v>
      </c>
      <c r="J311" s="5" t="s">
        <v>60</v>
      </c>
      <c r="K311" s="5" t="s">
        <v>19</v>
      </c>
      <c r="L311">
        <v>2338</v>
      </c>
      <c r="M311" s="5">
        <v>36</v>
      </c>
      <c r="N311" s="5" t="s">
        <v>1673</v>
      </c>
      <c r="O311" s="5" t="s">
        <v>1666</v>
      </c>
      <c r="P311">
        <v>0</v>
      </c>
      <c r="Q311" t="s">
        <v>1665</v>
      </c>
      <c r="R311" t="s">
        <v>1657</v>
      </c>
    </row>
    <row r="312" spans="1:18" x14ac:dyDescent="0.35">
      <c r="A312" s="5" t="s">
        <v>642</v>
      </c>
      <c r="B312" s="6">
        <v>46004</v>
      </c>
      <c r="C312" s="5" t="s">
        <v>643</v>
      </c>
      <c r="D312" s="5" t="s">
        <v>71</v>
      </c>
      <c r="E312" s="5" t="s">
        <v>79</v>
      </c>
      <c r="F312" s="5" t="s">
        <v>38</v>
      </c>
      <c r="G312">
        <v>0.2673611111111111</v>
      </c>
      <c r="H312">
        <v>0.26944444444444438</v>
      </c>
      <c r="I312">
        <v>7</v>
      </c>
      <c r="J312" s="5" t="s">
        <v>18</v>
      </c>
      <c r="K312" s="5" t="s">
        <v>19</v>
      </c>
      <c r="L312">
        <v>606</v>
      </c>
      <c r="M312" s="5">
        <v>3</v>
      </c>
      <c r="N312" s="5" t="s">
        <v>1673</v>
      </c>
      <c r="O312" s="5" t="s">
        <v>1667</v>
      </c>
      <c r="P312">
        <v>1</v>
      </c>
      <c r="Q312" t="s">
        <v>1660</v>
      </c>
    </row>
    <row r="313" spans="1:18" x14ac:dyDescent="0.35">
      <c r="A313" s="5" t="s">
        <v>644</v>
      </c>
      <c r="B313" s="6">
        <v>46004</v>
      </c>
      <c r="C313" s="5" t="s">
        <v>645</v>
      </c>
      <c r="D313" s="5" t="s">
        <v>197</v>
      </c>
      <c r="E313" s="5" t="s">
        <v>79</v>
      </c>
      <c r="F313" s="5" t="s">
        <v>17</v>
      </c>
      <c r="G313">
        <v>0.31944444444444442</v>
      </c>
      <c r="H313">
        <v>0.32361111111111113</v>
      </c>
      <c r="I313">
        <v>4</v>
      </c>
      <c r="J313" s="5" t="s">
        <v>18</v>
      </c>
      <c r="K313" s="5" t="s">
        <v>19</v>
      </c>
      <c r="L313">
        <v>759</v>
      </c>
      <c r="M313" s="5">
        <v>6</v>
      </c>
      <c r="N313" s="5" t="s">
        <v>1673</v>
      </c>
      <c r="O313" s="5" t="s">
        <v>1667</v>
      </c>
      <c r="P313">
        <v>1</v>
      </c>
      <c r="Q313" t="s">
        <v>1660</v>
      </c>
    </row>
    <row r="314" spans="1:18" x14ac:dyDescent="0.35">
      <c r="A314" s="5" t="s">
        <v>646</v>
      </c>
      <c r="B314" s="6">
        <v>46004</v>
      </c>
      <c r="C314" s="5" t="s">
        <v>647</v>
      </c>
      <c r="D314" s="5" t="s">
        <v>79</v>
      </c>
      <c r="E314" s="5" t="s">
        <v>1549</v>
      </c>
      <c r="F314" s="5" t="s">
        <v>24</v>
      </c>
      <c r="G314">
        <v>0.33333333333333331</v>
      </c>
      <c r="H314">
        <v>0.34444444444444439</v>
      </c>
      <c r="I314">
        <v>15</v>
      </c>
      <c r="J314" s="5" t="s">
        <v>129</v>
      </c>
      <c r="K314" s="5" t="s">
        <v>19</v>
      </c>
      <c r="L314">
        <v>945</v>
      </c>
      <c r="M314" s="5">
        <v>16</v>
      </c>
      <c r="N314" s="5" t="s">
        <v>1673</v>
      </c>
      <c r="O314" s="5" t="s">
        <v>1667</v>
      </c>
      <c r="P314">
        <v>1</v>
      </c>
      <c r="Q314" t="s">
        <v>1660</v>
      </c>
      <c r="R314" t="s">
        <v>1670</v>
      </c>
    </row>
    <row r="315" spans="1:18" x14ac:dyDescent="0.35">
      <c r="A315" s="5" t="s">
        <v>648</v>
      </c>
      <c r="B315" s="6">
        <v>46004</v>
      </c>
      <c r="C315" s="5" t="s">
        <v>649</v>
      </c>
      <c r="D315" s="5" t="s">
        <v>197</v>
      </c>
      <c r="E315" s="5" t="s">
        <v>588</v>
      </c>
      <c r="F315" s="5" t="s">
        <v>17</v>
      </c>
      <c r="G315">
        <v>0.69791666666666663</v>
      </c>
      <c r="H315">
        <v>0.69513888888888886</v>
      </c>
      <c r="I315">
        <v>-14</v>
      </c>
      <c r="J315" s="5" t="s">
        <v>18</v>
      </c>
      <c r="K315" s="5" t="s">
        <v>19</v>
      </c>
      <c r="L315">
        <v>1389</v>
      </c>
      <c r="M315" s="5">
        <v>-4</v>
      </c>
      <c r="N315" s="5" t="s">
        <v>1673</v>
      </c>
      <c r="O315" s="5" t="s">
        <v>1667</v>
      </c>
      <c r="P315">
        <v>1</v>
      </c>
      <c r="Q315" t="s">
        <v>1663</v>
      </c>
    </row>
    <row r="316" spans="1:18" x14ac:dyDescent="0.35">
      <c r="A316" s="5" t="s">
        <v>650</v>
      </c>
      <c r="B316" s="6">
        <v>46006</v>
      </c>
      <c r="C316" s="5" t="s">
        <v>651</v>
      </c>
      <c r="D316" s="5" t="s">
        <v>1171</v>
      </c>
      <c r="E316" s="5" t="s">
        <v>226</v>
      </c>
      <c r="F316" s="5" t="s">
        <v>17</v>
      </c>
      <c r="G316">
        <v>0.25347222222222221</v>
      </c>
      <c r="H316">
        <v>0.25624999999999998</v>
      </c>
      <c r="I316">
        <v>0</v>
      </c>
      <c r="J316" s="5" t="s">
        <v>18</v>
      </c>
      <c r="K316" s="5" t="s">
        <v>19</v>
      </c>
      <c r="L316">
        <v>602</v>
      </c>
      <c r="M316" s="5">
        <v>4</v>
      </c>
      <c r="N316" s="5" t="s">
        <v>1673</v>
      </c>
      <c r="O316" s="5" t="s">
        <v>1659</v>
      </c>
      <c r="P316">
        <v>1</v>
      </c>
      <c r="Q316" t="s">
        <v>1660</v>
      </c>
    </row>
    <row r="317" spans="1:18" x14ac:dyDescent="0.35">
      <c r="A317" s="5" t="s">
        <v>652</v>
      </c>
      <c r="B317" s="6">
        <v>46006</v>
      </c>
      <c r="C317" s="5" t="s">
        <v>596</v>
      </c>
      <c r="D317" s="5" t="s">
        <v>71</v>
      </c>
      <c r="E317" s="5" t="s">
        <v>202</v>
      </c>
      <c r="F317" s="5" t="s">
        <v>24</v>
      </c>
      <c r="G317">
        <v>0.70833333333333337</v>
      </c>
      <c r="H317">
        <v>0.75416666666666665</v>
      </c>
      <c r="I317">
        <v>64</v>
      </c>
      <c r="J317" s="5" t="s">
        <v>54</v>
      </c>
      <c r="K317" s="5" t="s">
        <v>19</v>
      </c>
      <c r="L317">
        <v>1199</v>
      </c>
      <c r="M317" s="5">
        <v>66</v>
      </c>
      <c r="N317" s="5" t="s">
        <v>1673</v>
      </c>
      <c r="O317" s="5" t="s">
        <v>1659</v>
      </c>
      <c r="P317">
        <v>0</v>
      </c>
      <c r="Q317" t="s">
        <v>1665</v>
      </c>
      <c r="R317" t="s">
        <v>1657</v>
      </c>
    </row>
    <row r="318" spans="1:18" x14ac:dyDescent="0.35">
      <c r="A318" s="5" t="s">
        <v>653</v>
      </c>
      <c r="B318" s="6">
        <v>46008</v>
      </c>
      <c r="C318" s="5" t="s">
        <v>654</v>
      </c>
      <c r="D318" s="5" t="s">
        <v>588</v>
      </c>
      <c r="E318" s="5" t="s">
        <v>413</v>
      </c>
      <c r="F318" s="5" t="s">
        <v>38</v>
      </c>
      <c r="G318">
        <v>0.35416666666666669</v>
      </c>
      <c r="H318">
        <v>0.35902777777777778</v>
      </c>
      <c r="I318">
        <v>3</v>
      </c>
      <c r="J318" s="5" t="s">
        <v>18</v>
      </c>
      <c r="K318" s="5" t="s">
        <v>19</v>
      </c>
      <c r="L318">
        <v>1232</v>
      </c>
      <c r="M318" s="5">
        <v>7</v>
      </c>
      <c r="N318" s="5" t="s">
        <v>1673</v>
      </c>
      <c r="O318" s="5" t="s">
        <v>1662</v>
      </c>
      <c r="P318">
        <v>1</v>
      </c>
      <c r="Q318" t="s">
        <v>1660</v>
      </c>
    </row>
    <row r="319" spans="1:18" x14ac:dyDescent="0.35">
      <c r="A319" s="5" t="s">
        <v>655</v>
      </c>
      <c r="B319" s="6">
        <v>46008</v>
      </c>
      <c r="C319" s="5" t="s">
        <v>656</v>
      </c>
      <c r="D319" s="5" t="s">
        <v>79</v>
      </c>
      <c r="E319" s="5" t="s">
        <v>1549</v>
      </c>
      <c r="F319" s="5" t="s">
        <v>17</v>
      </c>
      <c r="G319">
        <v>0.48958333333333331</v>
      </c>
      <c r="H319">
        <v>0.4861111111111111</v>
      </c>
      <c r="I319">
        <v>-9</v>
      </c>
      <c r="J319" s="5" t="s">
        <v>18</v>
      </c>
      <c r="K319" s="5" t="s">
        <v>19</v>
      </c>
      <c r="L319">
        <v>945</v>
      </c>
      <c r="M319" s="5">
        <v>-5</v>
      </c>
      <c r="N319" s="5" t="s">
        <v>1673</v>
      </c>
      <c r="O319" s="5" t="s">
        <v>1662</v>
      </c>
      <c r="P319">
        <v>1</v>
      </c>
      <c r="Q319" t="s">
        <v>1660</v>
      </c>
    </row>
    <row r="320" spans="1:18" x14ac:dyDescent="0.35">
      <c r="A320" s="5" t="s">
        <v>657</v>
      </c>
      <c r="B320" s="6">
        <v>46008</v>
      </c>
      <c r="C320" s="5" t="s">
        <v>658</v>
      </c>
      <c r="D320" s="5" t="s">
        <v>588</v>
      </c>
      <c r="E320" s="5" t="s">
        <v>226</v>
      </c>
      <c r="F320" s="5" t="s">
        <v>28</v>
      </c>
      <c r="G320">
        <v>0.61111111111111116</v>
      </c>
      <c r="H320">
        <v>0.61736111111111114</v>
      </c>
      <c r="I320">
        <v>9</v>
      </c>
      <c r="J320" s="5" t="s">
        <v>18</v>
      </c>
      <c r="K320" s="5" t="s">
        <v>19</v>
      </c>
      <c r="L320">
        <v>641</v>
      </c>
      <c r="M320" s="5">
        <v>9</v>
      </c>
      <c r="N320" s="5" t="s">
        <v>1673</v>
      </c>
      <c r="O320" s="5" t="s">
        <v>1662</v>
      </c>
      <c r="P320">
        <v>1</v>
      </c>
      <c r="Q320" t="s">
        <v>1663</v>
      </c>
    </row>
    <row r="321" spans="1:18" x14ac:dyDescent="0.35">
      <c r="A321" s="5" t="s">
        <v>659</v>
      </c>
      <c r="B321" s="6">
        <v>46009</v>
      </c>
      <c r="C321" s="5" t="s">
        <v>342</v>
      </c>
      <c r="D321" s="5" t="s">
        <v>588</v>
      </c>
      <c r="E321" s="5" t="s">
        <v>84</v>
      </c>
      <c r="F321" s="5" t="s">
        <v>24</v>
      </c>
      <c r="G321">
        <v>0.35069444444444442</v>
      </c>
      <c r="I321">
        <v>0</v>
      </c>
      <c r="J321" s="5" t="s">
        <v>18</v>
      </c>
      <c r="K321" s="5" t="s">
        <v>19</v>
      </c>
      <c r="L321">
        <v>1658</v>
      </c>
      <c r="M321" s="5">
        <v>0</v>
      </c>
      <c r="N321" s="5" t="s">
        <v>1673</v>
      </c>
      <c r="O321" s="5" t="s">
        <v>1664</v>
      </c>
      <c r="P321">
        <v>1</v>
      </c>
      <c r="Q321" t="s">
        <v>1660</v>
      </c>
    </row>
    <row r="322" spans="1:18" x14ac:dyDescent="0.35">
      <c r="A322" s="5" t="s">
        <v>660</v>
      </c>
      <c r="B322" s="6">
        <v>46009</v>
      </c>
      <c r="C322" s="5" t="s">
        <v>641</v>
      </c>
      <c r="D322" s="5" t="s">
        <v>202</v>
      </c>
      <c r="E322" s="5" t="s">
        <v>197</v>
      </c>
      <c r="F322" s="5" t="s">
        <v>17</v>
      </c>
      <c r="G322">
        <v>0.48958333333333331</v>
      </c>
      <c r="H322">
        <v>0.49027777777777781</v>
      </c>
      <c r="I322">
        <v>-8</v>
      </c>
      <c r="J322" s="5" t="s">
        <v>18</v>
      </c>
      <c r="K322" s="5" t="s">
        <v>19</v>
      </c>
      <c r="L322">
        <v>1092</v>
      </c>
      <c r="M322" s="5">
        <v>1</v>
      </c>
      <c r="N322" s="5" t="s">
        <v>1673</v>
      </c>
      <c r="O322" s="5" t="s">
        <v>1664</v>
      </c>
      <c r="P322">
        <v>1</v>
      </c>
      <c r="Q322" t="s">
        <v>1660</v>
      </c>
    </row>
    <row r="323" spans="1:18" x14ac:dyDescent="0.35">
      <c r="A323" s="5" t="s">
        <v>661</v>
      </c>
      <c r="B323" s="6">
        <v>46009</v>
      </c>
      <c r="C323" s="5" t="s">
        <v>575</v>
      </c>
      <c r="D323" s="5" t="s">
        <v>1171</v>
      </c>
      <c r="E323" s="5" t="s">
        <v>71</v>
      </c>
      <c r="F323" s="5" t="s">
        <v>17</v>
      </c>
      <c r="G323">
        <v>0.59027777777777779</v>
      </c>
      <c r="H323">
        <v>0.58888888888888891</v>
      </c>
      <c r="I323">
        <v>-3</v>
      </c>
      <c r="J323" s="5" t="s">
        <v>18</v>
      </c>
      <c r="K323" s="5" t="s">
        <v>19</v>
      </c>
      <c r="L323">
        <v>1438</v>
      </c>
      <c r="M323" s="5">
        <v>-2</v>
      </c>
      <c r="N323" s="5" t="s">
        <v>1673</v>
      </c>
      <c r="O323" s="5" t="s">
        <v>1664</v>
      </c>
      <c r="P323">
        <v>1</v>
      </c>
      <c r="Q323" t="s">
        <v>1663</v>
      </c>
    </row>
    <row r="324" spans="1:18" x14ac:dyDescent="0.35">
      <c r="A324" s="5" t="s">
        <v>662</v>
      </c>
      <c r="B324" s="6">
        <v>46009</v>
      </c>
      <c r="C324" s="5" t="s">
        <v>663</v>
      </c>
      <c r="D324" s="5" t="s">
        <v>588</v>
      </c>
      <c r="E324" s="5" t="s">
        <v>79</v>
      </c>
      <c r="F324" s="5" t="s">
        <v>38</v>
      </c>
      <c r="G324">
        <v>0.72222222222222221</v>
      </c>
      <c r="H324">
        <v>0.72777777777777775</v>
      </c>
      <c r="I324">
        <v>7</v>
      </c>
      <c r="J324" s="5" t="s">
        <v>18</v>
      </c>
      <c r="K324" s="5" t="s">
        <v>19</v>
      </c>
      <c r="L324">
        <v>730</v>
      </c>
      <c r="M324" s="5">
        <v>8</v>
      </c>
      <c r="N324" s="5" t="s">
        <v>1673</v>
      </c>
      <c r="O324" s="5" t="s">
        <v>1664</v>
      </c>
      <c r="P324">
        <v>1</v>
      </c>
      <c r="Q324" t="s">
        <v>1665</v>
      </c>
    </row>
    <row r="325" spans="1:18" x14ac:dyDescent="0.35">
      <c r="A325" s="5" t="s">
        <v>664</v>
      </c>
      <c r="B325" s="6">
        <v>46009</v>
      </c>
      <c r="C325" s="5" t="s">
        <v>665</v>
      </c>
      <c r="D325" s="5" t="s">
        <v>1549</v>
      </c>
      <c r="E325" s="5" t="s">
        <v>84</v>
      </c>
      <c r="F325" s="5" t="s">
        <v>24</v>
      </c>
      <c r="G325">
        <v>0.80208333333333337</v>
      </c>
      <c r="H325">
        <v>0.80208333333333337</v>
      </c>
      <c r="I325">
        <v>10</v>
      </c>
      <c r="J325" s="5" t="s">
        <v>18</v>
      </c>
      <c r="K325" s="5" t="s">
        <v>19</v>
      </c>
      <c r="L325">
        <v>2489</v>
      </c>
      <c r="M325" s="5">
        <v>0</v>
      </c>
      <c r="N325" s="5" t="s">
        <v>1673</v>
      </c>
      <c r="O325" s="5" t="s">
        <v>1664</v>
      </c>
      <c r="P325">
        <v>1</v>
      </c>
      <c r="Q325" t="s">
        <v>1665</v>
      </c>
    </row>
    <row r="326" spans="1:18" x14ac:dyDescent="0.35">
      <c r="A326" s="5" t="s">
        <v>667</v>
      </c>
      <c r="B326" s="6">
        <v>46010</v>
      </c>
      <c r="C326" s="5" t="s">
        <v>668</v>
      </c>
      <c r="D326" s="5" t="s">
        <v>226</v>
      </c>
      <c r="E326" s="5" t="s">
        <v>197</v>
      </c>
      <c r="F326" s="5" t="s">
        <v>24</v>
      </c>
      <c r="G326">
        <v>0.53472222222222221</v>
      </c>
      <c r="H326">
        <v>0.53472222222222221</v>
      </c>
      <c r="I326">
        <v>3</v>
      </c>
      <c r="J326" s="5" t="s">
        <v>18</v>
      </c>
      <c r="K326" s="5" t="s">
        <v>19</v>
      </c>
      <c r="L326">
        <v>1622</v>
      </c>
      <c r="M326" s="5">
        <v>0</v>
      </c>
      <c r="N326" s="5" t="s">
        <v>1673</v>
      </c>
      <c r="O326" s="5" t="s">
        <v>1666</v>
      </c>
      <c r="P326">
        <v>1</v>
      </c>
      <c r="Q326" t="s">
        <v>1663</v>
      </c>
    </row>
    <row r="327" spans="1:18" x14ac:dyDescent="0.35">
      <c r="A327" s="5" t="s">
        <v>669</v>
      </c>
      <c r="B327" s="6">
        <v>46010</v>
      </c>
      <c r="C327" s="5" t="s">
        <v>670</v>
      </c>
      <c r="D327" s="5" t="s">
        <v>79</v>
      </c>
      <c r="E327" s="5" t="s">
        <v>202</v>
      </c>
      <c r="F327" s="5" t="s">
        <v>38</v>
      </c>
      <c r="G327">
        <v>0.61805555555555558</v>
      </c>
      <c r="H327">
        <v>0.61875000000000002</v>
      </c>
      <c r="I327">
        <v>-2</v>
      </c>
      <c r="J327" s="5" t="s">
        <v>18</v>
      </c>
      <c r="K327" s="5" t="s">
        <v>19</v>
      </c>
      <c r="L327">
        <v>596</v>
      </c>
      <c r="M327" s="5">
        <v>1</v>
      </c>
      <c r="N327" s="5" t="s">
        <v>1673</v>
      </c>
      <c r="O327" s="5" t="s">
        <v>1666</v>
      </c>
      <c r="P327">
        <v>1</v>
      </c>
      <c r="Q327" t="s">
        <v>1663</v>
      </c>
    </row>
    <row r="328" spans="1:18" x14ac:dyDescent="0.35">
      <c r="A328" s="5" t="s">
        <v>671</v>
      </c>
      <c r="B328" s="6">
        <v>46010</v>
      </c>
      <c r="C328" s="5" t="s">
        <v>672</v>
      </c>
      <c r="D328" s="5" t="s">
        <v>226</v>
      </c>
      <c r="E328" s="5" t="s">
        <v>71</v>
      </c>
      <c r="F328" s="5" t="s">
        <v>24</v>
      </c>
      <c r="G328">
        <v>0.75</v>
      </c>
      <c r="H328">
        <v>0.74513888888888891</v>
      </c>
      <c r="I328">
        <v>-14</v>
      </c>
      <c r="J328" s="5" t="s">
        <v>18</v>
      </c>
      <c r="K328" s="5" t="s">
        <v>19</v>
      </c>
      <c r="L328">
        <v>886</v>
      </c>
      <c r="M328" s="5">
        <v>-7</v>
      </c>
      <c r="N328" s="5" t="s">
        <v>1673</v>
      </c>
      <c r="O328" s="5" t="s">
        <v>1666</v>
      </c>
      <c r="P328">
        <v>1</v>
      </c>
      <c r="Q328" t="s">
        <v>1665</v>
      </c>
    </row>
    <row r="329" spans="1:18" x14ac:dyDescent="0.35">
      <c r="A329" s="5" t="s">
        <v>673</v>
      </c>
      <c r="B329" s="6">
        <v>46010</v>
      </c>
      <c r="C329" s="5" t="s">
        <v>196</v>
      </c>
      <c r="D329" s="5" t="s">
        <v>588</v>
      </c>
      <c r="E329" s="5" t="s">
        <v>226</v>
      </c>
      <c r="F329" s="5" t="s">
        <v>17</v>
      </c>
      <c r="G329">
        <v>0.83333333333333337</v>
      </c>
      <c r="H329">
        <v>0.83888888888888891</v>
      </c>
      <c r="I329">
        <v>10</v>
      </c>
      <c r="J329" s="5" t="s">
        <v>18</v>
      </c>
      <c r="K329" s="5" t="s">
        <v>19</v>
      </c>
      <c r="M329" s="5">
        <v>8</v>
      </c>
      <c r="N329" s="5" t="s">
        <v>1673</v>
      </c>
      <c r="O329" s="5" t="s">
        <v>1666</v>
      </c>
      <c r="P329">
        <v>1</v>
      </c>
      <c r="Q329" t="s">
        <v>1665</v>
      </c>
    </row>
    <row r="330" spans="1:18" x14ac:dyDescent="0.35">
      <c r="A330" s="5" t="s">
        <v>674</v>
      </c>
      <c r="B330" s="6">
        <v>46011</v>
      </c>
      <c r="C330" s="5" t="s">
        <v>675</v>
      </c>
      <c r="D330" s="5" t="s">
        <v>202</v>
      </c>
      <c r="E330" s="5" t="s">
        <v>197</v>
      </c>
      <c r="F330" s="5" t="s">
        <v>17</v>
      </c>
      <c r="G330">
        <v>0.63541666666666663</v>
      </c>
      <c r="H330">
        <v>0.63263888888888886</v>
      </c>
      <c r="I330">
        <v>6</v>
      </c>
      <c r="J330" s="5" t="s">
        <v>18</v>
      </c>
      <c r="K330" s="5" t="s">
        <v>19</v>
      </c>
      <c r="L330">
        <v>1092</v>
      </c>
      <c r="M330" s="5">
        <v>-4</v>
      </c>
      <c r="N330" s="5" t="s">
        <v>1673</v>
      </c>
      <c r="O330" s="5" t="s">
        <v>1667</v>
      </c>
      <c r="P330">
        <v>1</v>
      </c>
      <c r="Q330" t="s">
        <v>1663</v>
      </c>
    </row>
    <row r="331" spans="1:18" x14ac:dyDescent="0.35">
      <c r="A331" s="5" t="s">
        <v>676</v>
      </c>
      <c r="B331" s="6">
        <v>46011</v>
      </c>
      <c r="C331" s="5" t="s">
        <v>677</v>
      </c>
      <c r="D331" s="5" t="s">
        <v>71</v>
      </c>
      <c r="E331" s="5" t="s">
        <v>1171</v>
      </c>
      <c r="F331" s="5" t="s">
        <v>24</v>
      </c>
      <c r="G331">
        <v>0.63541666666666663</v>
      </c>
      <c r="H331">
        <v>0.64236111111111116</v>
      </c>
      <c r="I331">
        <v>-1</v>
      </c>
      <c r="J331" s="5" t="s">
        <v>18</v>
      </c>
      <c r="K331" s="5" t="s">
        <v>19</v>
      </c>
      <c r="L331">
        <v>1438</v>
      </c>
      <c r="M331" s="5">
        <v>10</v>
      </c>
      <c r="N331" s="5" t="s">
        <v>1673</v>
      </c>
      <c r="O331" s="5" t="s">
        <v>1667</v>
      </c>
      <c r="P331">
        <v>1</v>
      </c>
      <c r="Q331" t="s">
        <v>1663</v>
      </c>
    </row>
    <row r="332" spans="1:18" x14ac:dyDescent="0.35">
      <c r="A332" s="5" t="s">
        <v>678</v>
      </c>
      <c r="B332" s="6">
        <v>46012</v>
      </c>
      <c r="C332" s="5" t="s">
        <v>369</v>
      </c>
      <c r="D332" s="5" t="s">
        <v>1171</v>
      </c>
      <c r="E332" s="5" t="s">
        <v>202</v>
      </c>
      <c r="F332" s="5" t="s">
        <v>24</v>
      </c>
      <c r="G332">
        <v>0.52083333333333337</v>
      </c>
      <c r="H332">
        <v>0.54305555555555551</v>
      </c>
      <c r="I332">
        <v>21</v>
      </c>
      <c r="J332" s="5" t="s">
        <v>54</v>
      </c>
      <c r="K332" s="5" t="s">
        <v>19</v>
      </c>
      <c r="L332">
        <v>1969</v>
      </c>
      <c r="M332" s="5">
        <v>32</v>
      </c>
      <c r="N332" s="5" t="s">
        <v>1673</v>
      </c>
      <c r="O332" s="5" t="s">
        <v>1668</v>
      </c>
      <c r="P332">
        <v>0</v>
      </c>
      <c r="Q332" t="s">
        <v>1663</v>
      </c>
      <c r="R332" t="s">
        <v>1657</v>
      </c>
    </row>
    <row r="333" spans="1:18" x14ac:dyDescent="0.35">
      <c r="A333" s="5" t="s">
        <v>679</v>
      </c>
      <c r="B333" s="6">
        <v>46012</v>
      </c>
      <c r="C333" s="5" t="s">
        <v>637</v>
      </c>
      <c r="D333" s="5" t="s">
        <v>71</v>
      </c>
      <c r="E333" s="5" t="s">
        <v>202</v>
      </c>
      <c r="F333" s="5" t="s">
        <v>24</v>
      </c>
      <c r="G333">
        <v>0.76736111111111116</v>
      </c>
      <c r="H333">
        <v>0.77222222222222225</v>
      </c>
      <c r="J333" s="5" t="s">
        <v>18</v>
      </c>
      <c r="K333" s="5" t="s">
        <v>19</v>
      </c>
      <c r="L333">
        <v>1199</v>
      </c>
      <c r="M333" s="5">
        <v>7</v>
      </c>
      <c r="N333" s="5" t="s">
        <v>1673</v>
      </c>
      <c r="O333" s="5" t="s">
        <v>1668</v>
      </c>
      <c r="Q333" t="s">
        <v>1665</v>
      </c>
    </row>
    <row r="334" spans="1:18" x14ac:dyDescent="0.35">
      <c r="A334" s="5" t="s">
        <v>680</v>
      </c>
      <c r="B334" s="6">
        <v>46012</v>
      </c>
      <c r="C334" s="5" t="s">
        <v>415</v>
      </c>
      <c r="D334" s="5" t="s">
        <v>71</v>
      </c>
      <c r="E334" s="5" t="s">
        <v>226</v>
      </c>
      <c r="F334" s="5" t="s">
        <v>38</v>
      </c>
      <c r="G334">
        <v>0.77083333333333337</v>
      </c>
      <c r="H334">
        <v>0.76944444444444449</v>
      </c>
      <c r="I334">
        <v>-1</v>
      </c>
      <c r="J334" s="5" t="s">
        <v>18</v>
      </c>
      <c r="K334" s="5" t="s">
        <v>19</v>
      </c>
      <c r="L334">
        <v>886</v>
      </c>
      <c r="M334" s="5">
        <v>-2</v>
      </c>
      <c r="N334" s="5" t="s">
        <v>1673</v>
      </c>
      <c r="O334" s="5" t="s">
        <v>1668</v>
      </c>
      <c r="P334">
        <v>1</v>
      </c>
      <c r="Q334" t="s">
        <v>1665</v>
      </c>
    </row>
    <row r="335" spans="1:18" x14ac:dyDescent="0.35">
      <c r="A335" s="5" t="s">
        <v>681</v>
      </c>
      <c r="B335" s="6">
        <v>46013</v>
      </c>
      <c r="C335" s="5" t="s">
        <v>682</v>
      </c>
      <c r="D335" s="5" t="s">
        <v>197</v>
      </c>
      <c r="E335" s="5" t="s">
        <v>79</v>
      </c>
      <c r="F335" s="5" t="s">
        <v>24</v>
      </c>
      <c r="G335">
        <v>0.5625</v>
      </c>
      <c r="H335">
        <v>0.57499999999999996</v>
      </c>
      <c r="I335">
        <v>10</v>
      </c>
      <c r="J335" s="5" t="s">
        <v>477</v>
      </c>
      <c r="K335" s="5" t="s">
        <v>19</v>
      </c>
      <c r="L335">
        <v>759</v>
      </c>
      <c r="M335" s="5">
        <v>18</v>
      </c>
      <c r="N335" s="5" t="s">
        <v>1673</v>
      </c>
      <c r="O335" s="5" t="s">
        <v>1659</v>
      </c>
      <c r="P335">
        <v>1</v>
      </c>
      <c r="Q335" t="s">
        <v>1663</v>
      </c>
      <c r="R335" t="s">
        <v>1670</v>
      </c>
    </row>
    <row r="336" spans="1:18" x14ac:dyDescent="0.35">
      <c r="A336" s="5" t="s">
        <v>683</v>
      </c>
      <c r="B336" s="6">
        <v>46013</v>
      </c>
      <c r="C336" s="5" t="s">
        <v>684</v>
      </c>
      <c r="D336" s="5" t="s">
        <v>84</v>
      </c>
      <c r="E336" s="5" t="s">
        <v>588</v>
      </c>
      <c r="F336" s="5" t="s">
        <v>17</v>
      </c>
      <c r="G336">
        <v>0.61805555555555558</v>
      </c>
      <c r="H336">
        <v>0.65902777777777777</v>
      </c>
      <c r="I336">
        <v>49</v>
      </c>
      <c r="J336" s="5" t="s">
        <v>129</v>
      </c>
      <c r="K336" s="5" t="s">
        <v>19</v>
      </c>
      <c r="L336">
        <v>1658</v>
      </c>
      <c r="M336" s="5">
        <v>59</v>
      </c>
      <c r="N336" s="5" t="s">
        <v>1673</v>
      </c>
      <c r="O336" s="5" t="s">
        <v>1659</v>
      </c>
      <c r="P336">
        <v>0</v>
      </c>
      <c r="Q336" t="s">
        <v>1663</v>
      </c>
      <c r="R336" t="s">
        <v>1670</v>
      </c>
    </row>
    <row r="337" spans="1:18" x14ac:dyDescent="0.35">
      <c r="A337" s="5" t="s">
        <v>685</v>
      </c>
      <c r="B337" s="6">
        <v>46013</v>
      </c>
      <c r="C337" s="5" t="s">
        <v>686</v>
      </c>
      <c r="D337" s="5" t="s">
        <v>71</v>
      </c>
      <c r="E337" s="5" t="s">
        <v>226</v>
      </c>
      <c r="F337" s="5" t="s">
        <v>24</v>
      </c>
      <c r="G337">
        <v>0.68402777777777779</v>
      </c>
      <c r="H337">
        <v>0.68333333333333335</v>
      </c>
      <c r="I337">
        <v>-11</v>
      </c>
      <c r="J337" s="5" t="s">
        <v>18</v>
      </c>
      <c r="K337" s="5" t="s">
        <v>19</v>
      </c>
      <c r="L337">
        <v>886</v>
      </c>
      <c r="M337" s="5">
        <v>-1</v>
      </c>
      <c r="N337" s="5" t="s">
        <v>1673</v>
      </c>
      <c r="O337" s="5" t="s">
        <v>1659</v>
      </c>
      <c r="P337">
        <v>1</v>
      </c>
      <c r="Q337" t="s">
        <v>1663</v>
      </c>
    </row>
    <row r="338" spans="1:18" x14ac:dyDescent="0.35">
      <c r="A338" s="5" t="s">
        <v>687</v>
      </c>
      <c r="B338" s="6">
        <v>46013</v>
      </c>
      <c r="C338" s="5" t="s">
        <v>688</v>
      </c>
      <c r="D338" s="5" t="s">
        <v>79</v>
      </c>
      <c r="E338" s="5" t="s">
        <v>588</v>
      </c>
      <c r="F338" s="5" t="s">
        <v>17</v>
      </c>
      <c r="G338">
        <v>0.69444444444444442</v>
      </c>
      <c r="H338">
        <v>0.68888888888888888</v>
      </c>
      <c r="I338">
        <v>-4</v>
      </c>
      <c r="J338" s="5" t="s">
        <v>18</v>
      </c>
      <c r="K338" s="5" t="s">
        <v>19</v>
      </c>
      <c r="L338">
        <v>730</v>
      </c>
      <c r="M338" s="5">
        <v>-8</v>
      </c>
      <c r="N338" s="5" t="s">
        <v>1673</v>
      </c>
      <c r="O338" s="5" t="s">
        <v>1659</v>
      </c>
      <c r="P338">
        <v>1</v>
      </c>
      <c r="Q338" t="s">
        <v>1663</v>
      </c>
    </row>
    <row r="339" spans="1:18" x14ac:dyDescent="0.35">
      <c r="A339" s="5" t="s">
        <v>689</v>
      </c>
      <c r="B339" s="6">
        <v>46014</v>
      </c>
      <c r="C339" s="5" t="s">
        <v>559</v>
      </c>
      <c r="D339" s="5" t="s">
        <v>79</v>
      </c>
      <c r="E339" s="5" t="s">
        <v>413</v>
      </c>
      <c r="F339" s="5" t="s">
        <v>17</v>
      </c>
      <c r="G339">
        <v>0.27777777777777779</v>
      </c>
      <c r="H339">
        <v>0.28402777777777782</v>
      </c>
      <c r="I339">
        <v>4</v>
      </c>
      <c r="J339" s="5" t="s">
        <v>18</v>
      </c>
      <c r="K339" s="5" t="s">
        <v>19</v>
      </c>
      <c r="L339">
        <v>1942</v>
      </c>
      <c r="M339" s="5">
        <v>9</v>
      </c>
      <c r="N339" s="5" t="s">
        <v>1673</v>
      </c>
      <c r="O339" s="5" t="s">
        <v>1661</v>
      </c>
      <c r="P339">
        <v>1</v>
      </c>
      <c r="Q339" t="s">
        <v>1660</v>
      </c>
    </row>
    <row r="340" spans="1:18" x14ac:dyDescent="0.35">
      <c r="A340" s="5" t="s">
        <v>690</v>
      </c>
      <c r="B340" s="6">
        <v>46014</v>
      </c>
      <c r="C340" s="5" t="s">
        <v>476</v>
      </c>
      <c r="D340" s="5" t="s">
        <v>71</v>
      </c>
      <c r="E340" s="5" t="s">
        <v>197</v>
      </c>
      <c r="F340" s="5" t="s">
        <v>24</v>
      </c>
      <c r="G340">
        <v>0.44444444444444442</v>
      </c>
      <c r="H340">
        <v>0.47222222222222221</v>
      </c>
      <c r="I340">
        <v>29</v>
      </c>
      <c r="J340" s="5" t="s">
        <v>60</v>
      </c>
      <c r="K340" s="5" t="s">
        <v>19</v>
      </c>
      <c r="L340">
        <v>738</v>
      </c>
      <c r="M340" s="5">
        <v>40</v>
      </c>
      <c r="N340" s="5" t="s">
        <v>1673</v>
      </c>
      <c r="O340" s="5" t="s">
        <v>1661</v>
      </c>
      <c r="P340">
        <v>0</v>
      </c>
      <c r="Q340" t="s">
        <v>1660</v>
      </c>
      <c r="R340" t="s">
        <v>1657</v>
      </c>
    </row>
    <row r="341" spans="1:18" x14ac:dyDescent="0.35">
      <c r="A341" s="5" t="s">
        <v>691</v>
      </c>
      <c r="B341" s="6">
        <v>46014</v>
      </c>
      <c r="C341" s="5" t="s">
        <v>692</v>
      </c>
      <c r="D341" s="5" t="s">
        <v>226</v>
      </c>
      <c r="E341" s="5" t="s">
        <v>1549</v>
      </c>
      <c r="F341" s="5" t="s">
        <v>24</v>
      </c>
      <c r="G341">
        <v>0.79861111111111116</v>
      </c>
      <c r="H341">
        <v>0.82152777777777775</v>
      </c>
      <c r="I341">
        <v>19</v>
      </c>
      <c r="J341" s="5" t="s">
        <v>319</v>
      </c>
      <c r="K341" s="5" t="s">
        <v>19</v>
      </c>
      <c r="L341">
        <v>1749</v>
      </c>
      <c r="M341" s="5">
        <v>33</v>
      </c>
      <c r="N341" s="5" t="s">
        <v>1673</v>
      </c>
      <c r="O341" s="5" t="s">
        <v>1661</v>
      </c>
      <c r="P341">
        <v>0</v>
      </c>
      <c r="Q341" t="s">
        <v>1665</v>
      </c>
      <c r="R341" t="s">
        <v>1670</v>
      </c>
    </row>
    <row r="342" spans="1:18" x14ac:dyDescent="0.35">
      <c r="A342" s="5" t="s">
        <v>693</v>
      </c>
      <c r="B342" s="6">
        <v>46015</v>
      </c>
      <c r="C342" s="5" t="s">
        <v>694</v>
      </c>
      <c r="D342" s="5" t="s">
        <v>84</v>
      </c>
      <c r="E342" s="5" t="s">
        <v>202</v>
      </c>
      <c r="F342" s="5" t="s">
        <v>17</v>
      </c>
      <c r="G342">
        <v>0.75</v>
      </c>
      <c r="H342">
        <v>0.75138888888888888</v>
      </c>
      <c r="I342">
        <v>1</v>
      </c>
      <c r="J342" s="5" t="s">
        <v>18</v>
      </c>
      <c r="K342" s="5" t="s">
        <v>19</v>
      </c>
      <c r="L342">
        <v>2722</v>
      </c>
      <c r="M342" s="5">
        <v>2</v>
      </c>
      <c r="N342" s="5" t="s">
        <v>1673</v>
      </c>
      <c r="O342" s="5" t="s">
        <v>1662</v>
      </c>
      <c r="P342">
        <v>1</v>
      </c>
      <c r="Q342" t="s">
        <v>1665</v>
      </c>
    </row>
    <row r="343" spans="1:18" x14ac:dyDescent="0.35">
      <c r="A343" s="5" t="s">
        <v>696</v>
      </c>
      <c r="B343" s="6">
        <v>46016</v>
      </c>
      <c r="C343" s="5" t="s">
        <v>697</v>
      </c>
      <c r="D343" s="5" t="s">
        <v>588</v>
      </c>
      <c r="E343" s="5" t="s">
        <v>71</v>
      </c>
      <c r="F343" s="5" t="s">
        <v>17</v>
      </c>
      <c r="G343">
        <v>0.76388888888888884</v>
      </c>
      <c r="H343">
        <v>0.75902777777777775</v>
      </c>
      <c r="J343" s="5" t="s">
        <v>18</v>
      </c>
      <c r="K343" s="5" t="s">
        <v>19</v>
      </c>
      <c r="L343">
        <v>802</v>
      </c>
      <c r="M343" s="5">
        <v>-7</v>
      </c>
      <c r="N343" s="5" t="s">
        <v>1673</v>
      </c>
      <c r="O343" s="5" t="s">
        <v>1664</v>
      </c>
      <c r="Q343" t="s">
        <v>1665</v>
      </c>
    </row>
    <row r="344" spans="1:18" x14ac:dyDescent="0.35">
      <c r="A344" s="5" t="s">
        <v>698</v>
      </c>
      <c r="B344" s="6">
        <v>46016</v>
      </c>
      <c r="C344" s="5" t="s">
        <v>699</v>
      </c>
      <c r="D344" s="5" t="s">
        <v>84</v>
      </c>
      <c r="E344" s="5" t="s">
        <v>202</v>
      </c>
      <c r="F344" s="5" t="s">
        <v>38</v>
      </c>
      <c r="G344">
        <v>0.79513888888888884</v>
      </c>
      <c r="H344">
        <v>0.7993055555555556</v>
      </c>
      <c r="I344">
        <v>-4</v>
      </c>
      <c r="J344" s="5" t="s">
        <v>18</v>
      </c>
      <c r="K344" s="5" t="s">
        <v>19</v>
      </c>
      <c r="L344">
        <v>2722</v>
      </c>
      <c r="M344" s="5">
        <v>6</v>
      </c>
      <c r="N344" s="5" t="s">
        <v>1673</v>
      </c>
      <c r="O344" s="5" t="s">
        <v>1664</v>
      </c>
      <c r="P344">
        <v>1</v>
      </c>
      <c r="Q344" t="s">
        <v>1665</v>
      </c>
    </row>
    <row r="345" spans="1:18" x14ac:dyDescent="0.35">
      <c r="A345" s="5" t="s">
        <v>700</v>
      </c>
      <c r="B345" s="6">
        <v>46017</v>
      </c>
      <c r="C345" s="5" t="s">
        <v>454</v>
      </c>
      <c r="D345" s="5" t="s">
        <v>71</v>
      </c>
      <c r="E345" s="5" t="s">
        <v>1295</v>
      </c>
      <c r="F345" s="5" t="s">
        <v>28</v>
      </c>
      <c r="G345">
        <v>0.25</v>
      </c>
      <c r="H345">
        <v>0.25555555555555548</v>
      </c>
      <c r="I345">
        <v>6</v>
      </c>
      <c r="J345" s="5" t="s">
        <v>18</v>
      </c>
      <c r="K345" s="5" t="s">
        <v>19</v>
      </c>
      <c r="L345">
        <v>1842</v>
      </c>
      <c r="M345" s="5">
        <v>8</v>
      </c>
      <c r="N345" s="5" t="s">
        <v>1673</v>
      </c>
      <c r="O345" s="5" t="s">
        <v>1666</v>
      </c>
      <c r="P345">
        <v>1</v>
      </c>
      <c r="Q345" t="s">
        <v>1660</v>
      </c>
    </row>
    <row r="346" spans="1:18" x14ac:dyDescent="0.35">
      <c r="A346" s="5" t="s">
        <v>701</v>
      </c>
      <c r="B346" s="6">
        <v>46017</v>
      </c>
      <c r="C346" s="5" t="s">
        <v>702</v>
      </c>
      <c r="D346" s="5" t="s">
        <v>588</v>
      </c>
      <c r="E346" s="5" t="s">
        <v>202</v>
      </c>
      <c r="F346" s="5" t="s">
        <v>17</v>
      </c>
      <c r="G346">
        <v>0.50347222222222221</v>
      </c>
      <c r="H346">
        <v>0.50069444444444444</v>
      </c>
      <c r="I346">
        <v>0</v>
      </c>
      <c r="J346" s="5" t="s">
        <v>18</v>
      </c>
      <c r="K346" s="5" t="s">
        <v>19</v>
      </c>
      <c r="L346">
        <v>1120</v>
      </c>
      <c r="M346" s="5">
        <v>-4</v>
      </c>
      <c r="N346" s="5" t="s">
        <v>1673</v>
      </c>
      <c r="O346" s="5" t="s">
        <v>1666</v>
      </c>
      <c r="P346">
        <v>1</v>
      </c>
      <c r="Q346" t="s">
        <v>1663</v>
      </c>
    </row>
    <row r="347" spans="1:18" x14ac:dyDescent="0.35">
      <c r="A347" s="5" t="s">
        <v>703</v>
      </c>
      <c r="B347" s="6">
        <v>46017</v>
      </c>
      <c r="C347" s="5" t="s">
        <v>404</v>
      </c>
      <c r="D347" s="5" t="s">
        <v>413</v>
      </c>
      <c r="E347" s="5" t="s">
        <v>1549</v>
      </c>
      <c r="F347" s="5" t="s">
        <v>17</v>
      </c>
      <c r="G347">
        <v>0.55555555555555558</v>
      </c>
      <c r="H347">
        <v>0.5625</v>
      </c>
      <c r="I347">
        <v>4</v>
      </c>
      <c r="J347" s="5" t="s">
        <v>18</v>
      </c>
      <c r="K347" s="5" t="s">
        <v>19</v>
      </c>
      <c r="L347">
        <v>2606</v>
      </c>
      <c r="M347" s="5">
        <v>10</v>
      </c>
      <c r="N347" s="5" t="s">
        <v>1673</v>
      </c>
      <c r="O347" s="5" t="s">
        <v>1666</v>
      </c>
      <c r="P347">
        <v>1</v>
      </c>
      <c r="Q347" t="s">
        <v>1663</v>
      </c>
    </row>
    <row r="348" spans="1:18" x14ac:dyDescent="0.35">
      <c r="A348" s="5" t="s">
        <v>704</v>
      </c>
      <c r="B348" s="6">
        <v>46017</v>
      </c>
      <c r="C348" s="5" t="s">
        <v>705</v>
      </c>
      <c r="D348" s="5" t="s">
        <v>413</v>
      </c>
      <c r="E348" s="5" t="s">
        <v>588</v>
      </c>
      <c r="F348" s="5" t="s">
        <v>17</v>
      </c>
      <c r="G348">
        <v>0.60069444444444442</v>
      </c>
      <c r="I348">
        <v>-2</v>
      </c>
      <c r="J348" s="5" t="s">
        <v>18</v>
      </c>
      <c r="K348" s="5" t="s">
        <v>19</v>
      </c>
      <c r="L348">
        <v>1232</v>
      </c>
      <c r="M348" s="5">
        <v>5</v>
      </c>
      <c r="N348" s="5" t="s">
        <v>1673</v>
      </c>
      <c r="O348" s="5" t="s">
        <v>1666</v>
      </c>
      <c r="P348">
        <v>1</v>
      </c>
      <c r="Q348" t="s">
        <v>1663</v>
      </c>
    </row>
    <row r="349" spans="1:18" x14ac:dyDescent="0.35">
      <c r="A349" s="5" t="s">
        <v>706</v>
      </c>
      <c r="B349" s="6">
        <v>46018</v>
      </c>
      <c r="C349" s="5" t="s">
        <v>388</v>
      </c>
      <c r="D349" s="5" t="s">
        <v>413</v>
      </c>
      <c r="E349" s="5" t="s">
        <v>79</v>
      </c>
      <c r="F349" s="5" t="s">
        <v>24</v>
      </c>
      <c r="G349">
        <v>0.60416666666666663</v>
      </c>
      <c r="H349">
        <v>0.60277777777777775</v>
      </c>
      <c r="I349">
        <v>2</v>
      </c>
      <c r="J349" s="5" t="s">
        <v>18</v>
      </c>
      <c r="K349" s="5" t="s">
        <v>19</v>
      </c>
      <c r="L349">
        <v>1942</v>
      </c>
      <c r="M349" s="5">
        <v>-2</v>
      </c>
      <c r="N349" s="5" t="s">
        <v>1673</v>
      </c>
      <c r="O349" s="5" t="s">
        <v>1667</v>
      </c>
      <c r="P349">
        <v>1</v>
      </c>
      <c r="Q349" t="s">
        <v>1663</v>
      </c>
    </row>
    <row r="350" spans="1:18" x14ac:dyDescent="0.35">
      <c r="A350" s="5" t="s">
        <v>707</v>
      </c>
      <c r="B350" s="6">
        <v>46019</v>
      </c>
      <c r="C350" s="5" t="s">
        <v>155</v>
      </c>
      <c r="D350" s="5" t="s">
        <v>79</v>
      </c>
      <c r="E350" s="5" t="s">
        <v>588</v>
      </c>
      <c r="F350" s="5" t="s">
        <v>24</v>
      </c>
      <c r="G350">
        <v>0.44097222222222221</v>
      </c>
      <c r="H350">
        <v>0.44444444444444442</v>
      </c>
      <c r="I350">
        <v>15</v>
      </c>
      <c r="J350" s="5" t="s">
        <v>18</v>
      </c>
      <c r="K350" s="5" t="s">
        <v>19</v>
      </c>
      <c r="L350">
        <v>730</v>
      </c>
      <c r="M350" s="5">
        <v>5</v>
      </c>
      <c r="N350" s="5" t="s">
        <v>1673</v>
      </c>
      <c r="O350" s="5" t="s">
        <v>1668</v>
      </c>
      <c r="P350">
        <v>1</v>
      </c>
      <c r="Q350" t="s">
        <v>1660</v>
      </c>
    </row>
    <row r="351" spans="1:18" x14ac:dyDescent="0.35">
      <c r="A351" s="5" t="s">
        <v>708</v>
      </c>
      <c r="B351" s="6">
        <v>46020</v>
      </c>
      <c r="C351" s="5" t="s">
        <v>241</v>
      </c>
      <c r="D351" s="5" t="s">
        <v>202</v>
      </c>
      <c r="E351" s="5" t="s">
        <v>84</v>
      </c>
      <c r="F351" s="5" t="s">
        <v>28</v>
      </c>
      <c r="G351">
        <v>0.3888888888888889</v>
      </c>
      <c r="H351">
        <v>0.38333333333333341</v>
      </c>
      <c r="I351">
        <v>-9</v>
      </c>
      <c r="J351" s="5" t="s">
        <v>18</v>
      </c>
      <c r="K351" s="5" t="s">
        <v>19</v>
      </c>
      <c r="L351">
        <v>2722</v>
      </c>
      <c r="M351" s="5">
        <v>-8</v>
      </c>
      <c r="N351" s="5" t="s">
        <v>1673</v>
      </c>
      <c r="O351" s="5" t="s">
        <v>1659</v>
      </c>
      <c r="P351">
        <v>1</v>
      </c>
      <c r="Q351" t="s">
        <v>1660</v>
      </c>
    </row>
    <row r="352" spans="1:18" x14ac:dyDescent="0.35">
      <c r="A352" s="5" t="s">
        <v>709</v>
      </c>
      <c r="B352" s="6">
        <v>46020</v>
      </c>
      <c r="C352" s="5" t="s">
        <v>710</v>
      </c>
      <c r="D352" s="5" t="s">
        <v>202</v>
      </c>
      <c r="E352" s="5" t="s">
        <v>226</v>
      </c>
      <c r="F352" s="5" t="s">
        <v>38</v>
      </c>
      <c r="G352">
        <v>0.61458333333333337</v>
      </c>
      <c r="H352">
        <v>0.60902777777777772</v>
      </c>
      <c r="I352">
        <v>-11</v>
      </c>
      <c r="J352" s="5" t="s">
        <v>18</v>
      </c>
      <c r="K352" s="5" t="s">
        <v>19</v>
      </c>
      <c r="L352">
        <v>1708</v>
      </c>
      <c r="M352" s="5">
        <v>-8</v>
      </c>
      <c r="N352" s="5" t="s">
        <v>1673</v>
      </c>
      <c r="O352" s="5" t="s">
        <v>1659</v>
      </c>
      <c r="P352">
        <v>1</v>
      </c>
      <c r="Q352" t="s">
        <v>1663</v>
      </c>
    </row>
    <row r="353" spans="1:18" x14ac:dyDescent="0.35">
      <c r="A353" s="5" t="s">
        <v>711</v>
      </c>
      <c r="B353" s="6">
        <v>46020</v>
      </c>
      <c r="C353" s="5" t="s">
        <v>712</v>
      </c>
      <c r="D353" s="5" t="s">
        <v>413</v>
      </c>
      <c r="E353" s="5" t="s">
        <v>588</v>
      </c>
      <c r="F353" s="5" t="s">
        <v>28</v>
      </c>
      <c r="G353">
        <v>0.71875</v>
      </c>
      <c r="H353">
        <v>0.72083333333333333</v>
      </c>
      <c r="I353">
        <v>-3</v>
      </c>
      <c r="J353" s="5" t="s">
        <v>18</v>
      </c>
      <c r="K353" s="5" t="s">
        <v>19</v>
      </c>
      <c r="L353">
        <v>1232</v>
      </c>
      <c r="M353" s="5">
        <v>3</v>
      </c>
      <c r="N353" s="5" t="s">
        <v>1673</v>
      </c>
      <c r="O353" s="5" t="s">
        <v>1659</v>
      </c>
      <c r="P353">
        <v>1</v>
      </c>
      <c r="Q353" t="s">
        <v>1665</v>
      </c>
    </row>
    <row r="354" spans="1:18" x14ac:dyDescent="0.35">
      <c r="A354" s="5" t="s">
        <v>713</v>
      </c>
      <c r="B354" s="6">
        <v>46020</v>
      </c>
      <c r="C354" s="5" t="s">
        <v>714</v>
      </c>
      <c r="D354" s="5" t="s">
        <v>588</v>
      </c>
      <c r="E354" s="5" t="s">
        <v>1549</v>
      </c>
      <c r="F354" s="5" t="s">
        <v>28</v>
      </c>
      <c r="G354">
        <v>0.82638888888888884</v>
      </c>
      <c r="H354">
        <v>0.82986111111111116</v>
      </c>
      <c r="I354">
        <v>8</v>
      </c>
      <c r="J354" s="5" t="s">
        <v>18</v>
      </c>
      <c r="K354" s="5" t="s">
        <v>19</v>
      </c>
      <c r="L354">
        <v>1559</v>
      </c>
      <c r="M354" s="5">
        <v>5</v>
      </c>
      <c r="N354" s="5" t="s">
        <v>1673</v>
      </c>
      <c r="O354" s="5" t="s">
        <v>1659</v>
      </c>
      <c r="P354">
        <v>1</v>
      </c>
      <c r="Q354" t="s">
        <v>1665</v>
      </c>
    </row>
    <row r="355" spans="1:18" x14ac:dyDescent="0.35">
      <c r="A355" s="5" t="s">
        <v>715</v>
      </c>
      <c r="B355" s="6">
        <v>46021</v>
      </c>
      <c r="C355" s="5" t="s">
        <v>716</v>
      </c>
      <c r="D355" s="5" t="s">
        <v>197</v>
      </c>
      <c r="E355" s="5" t="s">
        <v>588</v>
      </c>
      <c r="F355" s="5" t="s">
        <v>28</v>
      </c>
      <c r="G355">
        <v>0.76736111111111116</v>
      </c>
      <c r="H355">
        <v>0.76180555555555551</v>
      </c>
      <c r="I355">
        <v>-1</v>
      </c>
      <c r="J355" s="5" t="s">
        <v>18</v>
      </c>
      <c r="K355" s="5" t="s">
        <v>19</v>
      </c>
      <c r="L355">
        <v>1389</v>
      </c>
      <c r="M355" s="5">
        <v>-8</v>
      </c>
      <c r="N355" s="5" t="s">
        <v>1673</v>
      </c>
      <c r="O355" s="5" t="s">
        <v>1661</v>
      </c>
      <c r="P355">
        <v>1</v>
      </c>
      <c r="Q355" t="s">
        <v>1665</v>
      </c>
    </row>
    <row r="356" spans="1:18" x14ac:dyDescent="0.35">
      <c r="A356" s="5" t="s">
        <v>717</v>
      </c>
      <c r="B356" s="6">
        <v>46021</v>
      </c>
      <c r="C356" s="5" t="s">
        <v>243</v>
      </c>
      <c r="D356" s="5" t="s">
        <v>588</v>
      </c>
      <c r="E356" s="5" t="s">
        <v>413</v>
      </c>
      <c r="F356" s="5" t="s">
        <v>17</v>
      </c>
      <c r="G356">
        <v>0.93402777777777779</v>
      </c>
      <c r="H356">
        <v>0.93888888888888888</v>
      </c>
      <c r="I356">
        <v>0</v>
      </c>
      <c r="J356" s="5" t="s">
        <v>18</v>
      </c>
      <c r="K356" s="5" t="s">
        <v>19</v>
      </c>
      <c r="L356">
        <v>1232</v>
      </c>
      <c r="M356" s="5">
        <v>7</v>
      </c>
      <c r="N356" s="5" t="s">
        <v>1673</v>
      </c>
      <c r="O356" s="5" t="s">
        <v>1661</v>
      </c>
      <c r="P356">
        <v>1</v>
      </c>
      <c r="Q356" t="s">
        <v>1669</v>
      </c>
    </row>
    <row r="357" spans="1:18" x14ac:dyDescent="0.35">
      <c r="A357" s="5" t="s">
        <v>718</v>
      </c>
      <c r="B357" s="6">
        <v>46022</v>
      </c>
      <c r="C357" s="5" t="s">
        <v>719</v>
      </c>
      <c r="D357" s="5" t="s">
        <v>1549</v>
      </c>
      <c r="E357" s="5" t="s">
        <v>71</v>
      </c>
      <c r="F357" s="5" t="s">
        <v>17</v>
      </c>
      <c r="G357">
        <v>0.39930555555555558</v>
      </c>
      <c r="H357">
        <v>0.40069444444444452</v>
      </c>
      <c r="I357">
        <v>-3</v>
      </c>
      <c r="J357" s="5" t="s">
        <v>18</v>
      </c>
      <c r="K357" s="5" t="s">
        <v>19</v>
      </c>
      <c r="L357">
        <v>864</v>
      </c>
      <c r="M357" s="5">
        <v>2</v>
      </c>
      <c r="N357" s="5" t="s">
        <v>1673</v>
      </c>
      <c r="O357" s="5" t="s">
        <v>1662</v>
      </c>
      <c r="P357">
        <v>1</v>
      </c>
      <c r="Q357" t="s">
        <v>1660</v>
      </c>
    </row>
    <row r="358" spans="1:18" x14ac:dyDescent="0.35">
      <c r="A358" s="5" t="s">
        <v>720</v>
      </c>
      <c r="B358" s="6">
        <v>46022</v>
      </c>
      <c r="C358" s="5" t="s">
        <v>721</v>
      </c>
      <c r="D358" s="5" t="s">
        <v>226</v>
      </c>
      <c r="E358" s="5" t="s">
        <v>588</v>
      </c>
      <c r="F358" s="5" t="s">
        <v>38</v>
      </c>
      <c r="G358">
        <v>0.53472222222222221</v>
      </c>
      <c r="H358">
        <v>0.54166666666666663</v>
      </c>
      <c r="I358">
        <v>2</v>
      </c>
      <c r="J358" s="5" t="s">
        <v>18</v>
      </c>
      <c r="K358" s="5" t="s">
        <v>19</v>
      </c>
      <c r="L358">
        <v>641</v>
      </c>
      <c r="M358" s="5">
        <v>10</v>
      </c>
      <c r="N358" s="5" t="s">
        <v>1673</v>
      </c>
      <c r="O358" s="5" t="s">
        <v>1662</v>
      </c>
      <c r="P358">
        <v>1</v>
      </c>
      <c r="Q358" t="s">
        <v>1663</v>
      </c>
    </row>
    <row r="359" spans="1:18" x14ac:dyDescent="0.35">
      <c r="A359" s="5" t="s">
        <v>722</v>
      </c>
      <c r="B359" s="6">
        <v>46023</v>
      </c>
      <c r="C359" s="5" t="s">
        <v>723</v>
      </c>
      <c r="D359" s="5" t="s">
        <v>588</v>
      </c>
      <c r="E359" s="5" t="s">
        <v>71</v>
      </c>
      <c r="F359" s="5" t="s">
        <v>17</v>
      </c>
      <c r="G359">
        <v>0.3923611111111111</v>
      </c>
      <c r="H359">
        <v>0.3888888888888889</v>
      </c>
      <c r="I359">
        <v>0</v>
      </c>
      <c r="J359" s="5" t="s">
        <v>18</v>
      </c>
      <c r="K359" s="5" t="s">
        <v>19</v>
      </c>
      <c r="L359">
        <v>802</v>
      </c>
      <c r="M359" s="5">
        <v>-5</v>
      </c>
      <c r="N359" s="5" t="s">
        <v>1674</v>
      </c>
      <c r="O359" s="5" t="s">
        <v>1664</v>
      </c>
      <c r="P359">
        <v>1</v>
      </c>
      <c r="Q359" t="s">
        <v>1660</v>
      </c>
    </row>
    <row r="360" spans="1:18" x14ac:dyDescent="0.35">
      <c r="A360" s="5" t="s">
        <v>724</v>
      </c>
      <c r="B360" s="6">
        <v>46023</v>
      </c>
      <c r="C360" s="5" t="s">
        <v>397</v>
      </c>
      <c r="D360" s="5" t="s">
        <v>84</v>
      </c>
      <c r="E360" s="5" t="s">
        <v>202</v>
      </c>
      <c r="F360" s="5" t="s">
        <v>38</v>
      </c>
      <c r="G360">
        <v>0.59375</v>
      </c>
      <c r="H360">
        <v>0.59166666666666667</v>
      </c>
      <c r="I360">
        <v>-6</v>
      </c>
      <c r="J360" s="5" t="s">
        <v>18</v>
      </c>
      <c r="K360" s="5" t="s">
        <v>19</v>
      </c>
      <c r="L360">
        <v>2722</v>
      </c>
      <c r="M360" s="5">
        <v>-3</v>
      </c>
      <c r="N360" s="5" t="s">
        <v>1674</v>
      </c>
      <c r="O360" s="5" t="s">
        <v>1664</v>
      </c>
      <c r="P360">
        <v>1</v>
      </c>
      <c r="Q360" t="s">
        <v>1663</v>
      </c>
    </row>
    <row r="361" spans="1:18" x14ac:dyDescent="0.35">
      <c r="A361" s="5" t="s">
        <v>725</v>
      </c>
      <c r="B361" s="6">
        <v>46024</v>
      </c>
      <c r="C361" s="5" t="s">
        <v>726</v>
      </c>
      <c r="D361" s="5" t="s">
        <v>413</v>
      </c>
      <c r="E361" s="5" t="s">
        <v>1171</v>
      </c>
      <c r="F361" s="5" t="s">
        <v>38</v>
      </c>
      <c r="G361">
        <v>0.46875</v>
      </c>
      <c r="H361">
        <v>0.47222222222222221</v>
      </c>
      <c r="I361">
        <v>-6</v>
      </c>
      <c r="J361" s="5" t="s">
        <v>18</v>
      </c>
      <c r="K361" s="5" t="s">
        <v>19</v>
      </c>
      <c r="L361">
        <v>370</v>
      </c>
      <c r="M361" s="5">
        <v>5</v>
      </c>
      <c r="N361" s="5" t="s">
        <v>1674</v>
      </c>
      <c r="O361" s="5" t="s">
        <v>1666</v>
      </c>
      <c r="P361">
        <v>1</v>
      </c>
      <c r="Q361" t="s">
        <v>1660</v>
      </c>
    </row>
    <row r="362" spans="1:18" x14ac:dyDescent="0.35">
      <c r="A362" s="5" t="s">
        <v>727</v>
      </c>
      <c r="B362" s="6">
        <v>46024</v>
      </c>
      <c r="C362" s="5" t="s">
        <v>728</v>
      </c>
      <c r="D362" s="5" t="s">
        <v>1549</v>
      </c>
      <c r="E362" s="5" t="s">
        <v>71</v>
      </c>
      <c r="F362" s="5" t="s">
        <v>17</v>
      </c>
      <c r="G362">
        <v>0.50694444444444442</v>
      </c>
      <c r="H362">
        <v>0.50972222222222219</v>
      </c>
      <c r="I362">
        <v>7</v>
      </c>
      <c r="J362" s="5" t="s">
        <v>18</v>
      </c>
      <c r="K362" s="5" t="s">
        <v>19</v>
      </c>
      <c r="L362">
        <v>864</v>
      </c>
      <c r="M362" s="5">
        <v>4</v>
      </c>
      <c r="N362" s="5" t="s">
        <v>1674</v>
      </c>
      <c r="O362" s="5" t="s">
        <v>1666</v>
      </c>
      <c r="P362">
        <v>1</v>
      </c>
      <c r="Q362" t="s">
        <v>1663</v>
      </c>
    </row>
    <row r="363" spans="1:18" x14ac:dyDescent="0.35">
      <c r="A363" s="5" t="s">
        <v>729</v>
      </c>
      <c r="B363" s="6">
        <v>46024</v>
      </c>
      <c r="C363" s="5" t="s">
        <v>616</v>
      </c>
      <c r="D363" s="5" t="s">
        <v>588</v>
      </c>
      <c r="E363" s="5" t="s">
        <v>1295</v>
      </c>
      <c r="F363" s="5" t="s">
        <v>38</v>
      </c>
      <c r="G363">
        <v>0.6875</v>
      </c>
      <c r="H363">
        <v>0.69027777777777777</v>
      </c>
      <c r="I363">
        <v>3</v>
      </c>
      <c r="J363" s="5" t="s">
        <v>18</v>
      </c>
      <c r="K363" s="5" t="s">
        <v>19</v>
      </c>
      <c r="L363">
        <v>1462</v>
      </c>
      <c r="M363" s="5">
        <v>4</v>
      </c>
      <c r="N363" s="5" t="s">
        <v>1674</v>
      </c>
      <c r="O363" s="5" t="s">
        <v>1666</v>
      </c>
      <c r="P363">
        <v>1</v>
      </c>
      <c r="Q363" t="s">
        <v>1663</v>
      </c>
    </row>
    <row r="364" spans="1:18" x14ac:dyDescent="0.35">
      <c r="A364" s="5" t="s">
        <v>730</v>
      </c>
      <c r="B364" s="6">
        <v>46024</v>
      </c>
      <c r="C364" s="5" t="s">
        <v>62</v>
      </c>
      <c r="D364" s="5" t="s">
        <v>413</v>
      </c>
      <c r="E364" s="5" t="s">
        <v>546</v>
      </c>
      <c r="F364" s="5" t="s">
        <v>38</v>
      </c>
      <c r="G364">
        <v>0.74305555555555558</v>
      </c>
      <c r="H364">
        <v>0.75</v>
      </c>
      <c r="I364">
        <v>10</v>
      </c>
      <c r="J364" s="5" t="s">
        <v>18</v>
      </c>
      <c r="K364" s="5" t="s">
        <v>19</v>
      </c>
      <c r="L364">
        <v>236</v>
      </c>
      <c r="M364" s="5">
        <v>10</v>
      </c>
      <c r="N364" s="5" t="s">
        <v>1674</v>
      </c>
      <c r="O364" s="5" t="s">
        <v>1666</v>
      </c>
      <c r="P364">
        <v>1</v>
      </c>
      <c r="Q364" t="s">
        <v>1665</v>
      </c>
    </row>
    <row r="365" spans="1:18" x14ac:dyDescent="0.35">
      <c r="A365" s="5" t="s">
        <v>731</v>
      </c>
      <c r="B365" s="6">
        <v>46024</v>
      </c>
      <c r="C365" s="5" t="s">
        <v>732</v>
      </c>
      <c r="D365" s="5" t="s">
        <v>197</v>
      </c>
      <c r="E365" s="5" t="s">
        <v>226</v>
      </c>
      <c r="F365" s="5" t="s">
        <v>28</v>
      </c>
      <c r="G365">
        <v>0.88541666666666663</v>
      </c>
      <c r="H365">
        <v>0.90208333333333335</v>
      </c>
      <c r="I365">
        <v>25</v>
      </c>
      <c r="J365" s="5" t="s">
        <v>54</v>
      </c>
      <c r="K365" s="5" t="s">
        <v>19</v>
      </c>
      <c r="L365">
        <v>1622</v>
      </c>
      <c r="M365" s="5">
        <v>24</v>
      </c>
      <c r="N365" s="5" t="s">
        <v>1674</v>
      </c>
      <c r="O365" s="5" t="s">
        <v>1666</v>
      </c>
      <c r="P365">
        <v>0</v>
      </c>
      <c r="Q365" t="s">
        <v>1669</v>
      </c>
      <c r="R365" t="s">
        <v>1657</v>
      </c>
    </row>
    <row r="366" spans="1:18" x14ac:dyDescent="0.35">
      <c r="A366" s="5" t="s">
        <v>733</v>
      </c>
      <c r="B366" s="6">
        <v>46025</v>
      </c>
      <c r="C366" s="5" t="s">
        <v>734</v>
      </c>
      <c r="D366" s="5" t="s">
        <v>413</v>
      </c>
      <c r="E366" s="5" t="s">
        <v>202</v>
      </c>
      <c r="F366" s="5" t="s">
        <v>28</v>
      </c>
      <c r="G366">
        <v>0.46875</v>
      </c>
      <c r="H366">
        <v>0.47291666666666671</v>
      </c>
      <c r="I366">
        <v>-1</v>
      </c>
      <c r="J366" s="5" t="s">
        <v>18</v>
      </c>
      <c r="K366" s="5" t="s">
        <v>19</v>
      </c>
      <c r="L366">
        <v>2338</v>
      </c>
      <c r="M366" s="5">
        <v>6</v>
      </c>
      <c r="N366" s="5" t="s">
        <v>1674</v>
      </c>
      <c r="O366" s="5" t="s">
        <v>1667</v>
      </c>
      <c r="P366">
        <v>1</v>
      </c>
      <c r="Q366" t="s">
        <v>1660</v>
      </c>
    </row>
    <row r="367" spans="1:18" x14ac:dyDescent="0.35">
      <c r="A367" s="5" t="s">
        <v>735</v>
      </c>
      <c r="B367" s="6">
        <v>46025</v>
      </c>
      <c r="C367" s="5" t="s">
        <v>275</v>
      </c>
      <c r="D367" s="5" t="s">
        <v>202</v>
      </c>
      <c r="E367" s="5" t="s">
        <v>71</v>
      </c>
      <c r="F367" s="5" t="s">
        <v>28</v>
      </c>
      <c r="G367">
        <v>0.65277777777777779</v>
      </c>
      <c r="H367">
        <v>0.66111111111111109</v>
      </c>
      <c r="I367">
        <v>20</v>
      </c>
      <c r="J367" s="5" t="s">
        <v>18</v>
      </c>
      <c r="K367" s="5" t="s">
        <v>19</v>
      </c>
      <c r="L367">
        <v>1199</v>
      </c>
      <c r="M367" s="5">
        <v>12</v>
      </c>
      <c r="N367" s="5" t="s">
        <v>1674</v>
      </c>
      <c r="O367" s="5" t="s">
        <v>1667</v>
      </c>
      <c r="P367">
        <v>0</v>
      </c>
      <c r="Q367" t="s">
        <v>1663</v>
      </c>
    </row>
    <row r="368" spans="1:18" x14ac:dyDescent="0.35">
      <c r="A368" s="5" t="s">
        <v>736</v>
      </c>
      <c r="B368" s="6">
        <v>46025</v>
      </c>
      <c r="C368" s="5" t="s">
        <v>737</v>
      </c>
      <c r="D368" s="5" t="s">
        <v>546</v>
      </c>
      <c r="E368" s="5" t="s">
        <v>79</v>
      </c>
      <c r="F368" s="5" t="s">
        <v>17</v>
      </c>
      <c r="G368">
        <v>0.86111111111111116</v>
      </c>
      <c r="H368">
        <v>0.86111111111111116</v>
      </c>
      <c r="I368">
        <v>-4</v>
      </c>
      <c r="J368" s="5" t="s">
        <v>18</v>
      </c>
      <c r="K368" s="5" t="s">
        <v>19</v>
      </c>
      <c r="L368">
        <v>1743</v>
      </c>
      <c r="M368" s="5">
        <v>0</v>
      </c>
      <c r="N368" s="5" t="s">
        <v>1674</v>
      </c>
      <c r="O368" s="5" t="s">
        <v>1667</v>
      </c>
      <c r="P368">
        <v>1</v>
      </c>
      <c r="Q368" t="s">
        <v>1665</v>
      </c>
    </row>
    <row r="369" spans="1:18" x14ac:dyDescent="0.35">
      <c r="A369" s="5" t="s">
        <v>738</v>
      </c>
      <c r="B369" s="6">
        <v>46026</v>
      </c>
      <c r="C369" s="5" t="s">
        <v>399</v>
      </c>
      <c r="D369" s="5" t="s">
        <v>202</v>
      </c>
      <c r="E369" s="5" t="s">
        <v>1295</v>
      </c>
      <c r="F369" s="5" t="s">
        <v>17</v>
      </c>
      <c r="G369">
        <v>0.2673611111111111</v>
      </c>
      <c r="H369">
        <v>0.26319444444444451</v>
      </c>
      <c r="I369">
        <v>-11</v>
      </c>
      <c r="J369" s="5" t="s">
        <v>18</v>
      </c>
      <c r="K369" s="5" t="s">
        <v>19</v>
      </c>
      <c r="L369">
        <v>2582</v>
      </c>
      <c r="M369" s="5">
        <v>-6</v>
      </c>
      <c r="N369" s="5" t="s">
        <v>1674</v>
      </c>
      <c r="O369" s="5" t="s">
        <v>1668</v>
      </c>
      <c r="P369">
        <v>1</v>
      </c>
      <c r="Q369" t="s">
        <v>1660</v>
      </c>
    </row>
    <row r="370" spans="1:18" x14ac:dyDescent="0.35">
      <c r="A370" s="5" t="s">
        <v>739</v>
      </c>
      <c r="B370" s="6">
        <v>46026</v>
      </c>
      <c r="C370" s="5" t="s">
        <v>740</v>
      </c>
      <c r="D370" s="5" t="s">
        <v>1295</v>
      </c>
      <c r="E370" s="5" t="s">
        <v>588</v>
      </c>
      <c r="F370" s="5" t="s">
        <v>28</v>
      </c>
      <c r="G370">
        <v>0.34375</v>
      </c>
      <c r="H370">
        <v>0.33888888888888891</v>
      </c>
      <c r="I370">
        <v>-1</v>
      </c>
      <c r="J370" s="5" t="s">
        <v>18</v>
      </c>
      <c r="K370" s="5" t="s">
        <v>19</v>
      </c>
      <c r="L370">
        <v>1462</v>
      </c>
      <c r="M370" s="5">
        <v>-7</v>
      </c>
      <c r="N370" s="5" t="s">
        <v>1674</v>
      </c>
      <c r="O370" s="5" t="s">
        <v>1668</v>
      </c>
      <c r="P370">
        <v>1</v>
      </c>
      <c r="Q370" t="s">
        <v>1660</v>
      </c>
    </row>
    <row r="371" spans="1:18" x14ac:dyDescent="0.35">
      <c r="A371" s="5" t="s">
        <v>741</v>
      </c>
      <c r="B371" s="6">
        <v>46026</v>
      </c>
      <c r="C371" s="5" t="s">
        <v>742</v>
      </c>
      <c r="D371" s="5" t="s">
        <v>413</v>
      </c>
      <c r="E371" s="5" t="s">
        <v>79</v>
      </c>
      <c r="F371" s="5" t="s">
        <v>28</v>
      </c>
      <c r="G371">
        <v>0.84375</v>
      </c>
      <c r="H371">
        <v>0.8520833333333333</v>
      </c>
      <c r="I371">
        <v>8</v>
      </c>
      <c r="J371" s="5" t="s">
        <v>18</v>
      </c>
      <c r="K371" s="5" t="s">
        <v>19</v>
      </c>
      <c r="L371">
        <v>1942</v>
      </c>
      <c r="M371" s="5">
        <v>12</v>
      </c>
      <c r="N371" s="5" t="s">
        <v>1674</v>
      </c>
      <c r="O371" s="5" t="s">
        <v>1668</v>
      </c>
      <c r="P371">
        <v>1</v>
      </c>
      <c r="Q371" t="s">
        <v>1665</v>
      </c>
    </row>
    <row r="372" spans="1:18" x14ac:dyDescent="0.35">
      <c r="A372" s="5" t="s">
        <v>743</v>
      </c>
      <c r="B372" s="6">
        <v>46027</v>
      </c>
      <c r="C372" s="5" t="s">
        <v>374</v>
      </c>
      <c r="D372" s="5" t="s">
        <v>202</v>
      </c>
      <c r="E372" s="5" t="s">
        <v>79</v>
      </c>
      <c r="F372" s="5" t="s">
        <v>24</v>
      </c>
      <c r="G372">
        <v>0.29166666666666669</v>
      </c>
      <c r="H372">
        <v>0.29583333333333328</v>
      </c>
      <c r="I372">
        <v>13</v>
      </c>
      <c r="J372" s="5" t="s">
        <v>18</v>
      </c>
      <c r="K372" s="5" t="s">
        <v>19</v>
      </c>
      <c r="L372">
        <v>596</v>
      </c>
      <c r="M372" s="5">
        <v>6</v>
      </c>
      <c r="N372" s="5" t="s">
        <v>1674</v>
      </c>
      <c r="O372" s="5" t="s">
        <v>1659</v>
      </c>
      <c r="P372">
        <v>1</v>
      </c>
      <c r="Q372" t="s">
        <v>1660</v>
      </c>
    </row>
    <row r="373" spans="1:18" x14ac:dyDescent="0.35">
      <c r="A373" s="5" t="s">
        <v>744</v>
      </c>
      <c r="B373" s="6">
        <v>46027</v>
      </c>
      <c r="C373" s="5" t="s">
        <v>619</v>
      </c>
      <c r="D373" s="5" t="s">
        <v>1171</v>
      </c>
      <c r="E373" s="5" t="s">
        <v>413</v>
      </c>
      <c r="F373" s="5" t="s">
        <v>17</v>
      </c>
      <c r="G373">
        <v>0.40972222222222221</v>
      </c>
      <c r="H373">
        <v>0.42638888888888887</v>
      </c>
      <c r="I373">
        <v>14</v>
      </c>
      <c r="J373" s="5" t="s">
        <v>54</v>
      </c>
      <c r="K373" s="5" t="s">
        <v>19</v>
      </c>
      <c r="L373">
        <v>370</v>
      </c>
      <c r="M373" s="5">
        <v>24</v>
      </c>
      <c r="N373" s="5" t="s">
        <v>1674</v>
      </c>
      <c r="O373" s="5" t="s">
        <v>1659</v>
      </c>
      <c r="P373">
        <v>1</v>
      </c>
      <c r="Q373" t="s">
        <v>1660</v>
      </c>
      <c r="R373" t="s">
        <v>1657</v>
      </c>
    </row>
    <row r="374" spans="1:18" x14ac:dyDescent="0.35">
      <c r="A374" s="5" t="s">
        <v>745</v>
      </c>
      <c r="B374" s="6">
        <v>46027</v>
      </c>
      <c r="C374" s="5" t="s">
        <v>746</v>
      </c>
      <c r="D374" s="5" t="s">
        <v>202</v>
      </c>
      <c r="E374" s="5" t="s">
        <v>197</v>
      </c>
      <c r="F374" s="5" t="s">
        <v>17</v>
      </c>
      <c r="G374">
        <v>0.44791666666666669</v>
      </c>
      <c r="H374">
        <v>0.47916666666666669</v>
      </c>
      <c r="I374">
        <v>53</v>
      </c>
      <c r="J374" s="5" t="s">
        <v>60</v>
      </c>
      <c r="K374" s="5" t="s">
        <v>19</v>
      </c>
      <c r="L374">
        <v>1092</v>
      </c>
      <c r="M374" s="5">
        <v>45</v>
      </c>
      <c r="N374" s="5" t="s">
        <v>1674</v>
      </c>
      <c r="O374" s="5" t="s">
        <v>1659</v>
      </c>
      <c r="P374">
        <v>0</v>
      </c>
      <c r="Q374" t="s">
        <v>1660</v>
      </c>
      <c r="R374" t="s">
        <v>1657</v>
      </c>
    </row>
    <row r="375" spans="1:18" x14ac:dyDescent="0.35">
      <c r="A375" s="5" t="s">
        <v>747</v>
      </c>
      <c r="B375" s="6">
        <v>46027</v>
      </c>
      <c r="C375" s="5" t="s">
        <v>748</v>
      </c>
      <c r="D375" s="5" t="s">
        <v>79</v>
      </c>
      <c r="E375" s="5" t="s">
        <v>546</v>
      </c>
      <c r="F375" s="5" t="s">
        <v>38</v>
      </c>
      <c r="G375">
        <v>0.63541666666666663</v>
      </c>
      <c r="H375">
        <v>0.63055555555555554</v>
      </c>
      <c r="I375">
        <v>-10</v>
      </c>
      <c r="J375" s="5" t="s">
        <v>18</v>
      </c>
      <c r="K375" s="5" t="s">
        <v>19</v>
      </c>
      <c r="L375">
        <v>1743</v>
      </c>
      <c r="M375" s="5">
        <v>-7</v>
      </c>
      <c r="N375" s="5" t="s">
        <v>1674</v>
      </c>
      <c r="O375" s="5" t="s">
        <v>1659</v>
      </c>
      <c r="P375">
        <v>1</v>
      </c>
      <c r="Q375" t="s">
        <v>1663</v>
      </c>
    </row>
    <row r="376" spans="1:18" x14ac:dyDescent="0.35">
      <c r="A376" s="5" t="s">
        <v>749</v>
      </c>
      <c r="B376" s="6">
        <v>46028</v>
      </c>
      <c r="C376" s="5" t="s">
        <v>750</v>
      </c>
      <c r="D376" s="5" t="s">
        <v>588</v>
      </c>
      <c r="E376" s="5" t="s">
        <v>226</v>
      </c>
      <c r="F376" s="5" t="s">
        <v>28</v>
      </c>
      <c r="G376">
        <v>0.36805555555555558</v>
      </c>
      <c r="J376" s="5" t="s">
        <v>129</v>
      </c>
      <c r="K376" s="5" t="s">
        <v>254</v>
      </c>
      <c r="L376">
        <v>641</v>
      </c>
      <c r="M376" s="5"/>
      <c r="N376" s="5" t="s">
        <v>1674</v>
      </c>
      <c r="O376" s="5" t="s">
        <v>1661</v>
      </c>
      <c r="Q376" t="s">
        <v>1660</v>
      </c>
      <c r="R376" t="s">
        <v>1670</v>
      </c>
    </row>
    <row r="377" spans="1:18" x14ac:dyDescent="0.35">
      <c r="A377" s="5" t="s">
        <v>751</v>
      </c>
      <c r="B377" s="6">
        <v>46028</v>
      </c>
      <c r="C377" s="5" t="s">
        <v>752</v>
      </c>
      <c r="D377" s="5" t="s">
        <v>71</v>
      </c>
      <c r="E377" s="5" t="s">
        <v>202</v>
      </c>
      <c r="F377" s="5" t="s">
        <v>17</v>
      </c>
      <c r="G377">
        <v>0.50347222222222221</v>
      </c>
      <c r="H377">
        <v>0.51527777777777772</v>
      </c>
      <c r="I377">
        <v>14</v>
      </c>
      <c r="J377" s="5" t="s">
        <v>129</v>
      </c>
      <c r="K377" s="5" t="s">
        <v>19</v>
      </c>
      <c r="L377">
        <v>1199</v>
      </c>
      <c r="M377" s="5">
        <v>17</v>
      </c>
      <c r="N377" s="5" t="s">
        <v>1674</v>
      </c>
      <c r="O377" s="5" t="s">
        <v>1661</v>
      </c>
      <c r="P377">
        <v>1</v>
      </c>
      <c r="Q377" t="s">
        <v>1663</v>
      </c>
      <c r="R377" t="s">
        <v>1670</v>
      </c>
    </row>
    <row r="378" spans="1:18" x14ac:dyDescent="0.35">
      <c r="A378" s="5" t="s">
        <v>753</v>
      </c>
      <c r="B378" s="6">
        <v>46028</v>
      </c>
      <c r="C378" s="5" t="s">
        <v>754</v>
      </c>
      <c r="D378" s="5" t="s">
        <v>197</v>
      </c>
      <c r="E378" s="5" t="s">
        <v>79</v>
      </c>
      <c r="F378" s="5" t="s">
        <v>17</v>
      </c>
      <c r="G378">
        <v>0.65277777777777779</v>
      </c>
      <c r="H378">
        <v>0.65763888888888888</v>
      </c>
      <c r="I378">
        <v>9</v>
      </c>
      <c r="J378" s="5" t="s">
        <v>18</v>
      </c>
      <c r="K378" s="5" t="s">
        <v>19</v>
      </c>
      <c r="L378">
        <v>759</v>
      </c>
      <c r="M378" s="5">
        <v>7</v>
      </c>
      <c r="N378" s="5" t="s">
        <v>1674</v>
      </c>
      <c r="O378" s="5" t="s">
        <v>1661</v>
      </c>
      <c r="P378">
        <v>1</v>
      </c>
      <c r="Q378" t="s">
        <v>1663</v>
      </c>
    </row>
    <row r="379" spans="1:18" x14ac:dyDescent="0.35">
      <c r="A379" s="5" t="s">
        <v>755</v>
      </c>
      <c r="B379" s="6">
        <v>46029</v>
      </c>
      <c r="C379" s="5" t="s">
        <v>756</v>
      </c>
      <c r="D379" s="5" t="s">
        <v>588</v>
      </c>
      <c r="E379" s="5" t="s">
        <v>1171</v>
      </c>
      <c r="F379" s="5" t="s">
        <v>24</v>
      </c>
      <c r="G379">
        <v>0.72916666666666663</v>
      </c>
      <c r="H379">
        <v>0.80555555555555558</v>
      </c>
      <c r="I379">
        <v>104</v>
      </c>
      <c r="J379" s="5" t="s">
        <v>129</v>
      </c>
      <c r="K379" s="5" t="s">
        <v>19</v>
      </c>
      <c r="L379">
        <v>866</v>
      </c>
      <c r="M379" s="5">
        <v>110</v>
      </c>
      <c r="N379" s="5" t="s">
        <v>1674</v>
      </c>
      <c r="O379" s="5" t="s">
        <v>1662</v>
      </c>
      <c r="P379">
        <v>0</v>
      </c>
      <c r="Q379" t="s">
        <v>1665</v>
      </c>
      <c r="R379" t="s">
        <v>1670</v>
      </c>
    </row>
    <row r="380" spans="1:18" x14ac:dyDescent="0.35">
      <c r="A380" s="5" t="s">
        <v>757</v>
      </c>
      <c r="B380" s="6">
        <v>46030</v>
      </c>
      <c r="C380" s="5" t="s">
        <v>758</v>
      </c>
      <c r="D380" s="5" t="s">
        <v>84</v>
      </c>
      <c r="E380" s="5" t="s">
        <v>226</v>
      </c>
      <c r="F380" s="5" t="s">
        <v>38</v>
      </c>
      <c r="G380">
        <v>0.85069444444444442</v>
      </c>
      <c r="H380">
        <v>0.85416666666666663</v>
      </c>
      <c r="I380">
        <v>9</v>
      </c>
      <c r="J380" s="5" t="s">
        <v>18</v>
      </c>
      <c r="K380" s="5" t="s">
        <v>19</v>
      </c>
      <c r="L380">
        <v>1023</v>
      </c>
      <c r="M380" s="5">
        <v>5</v>
      </c>
      <c r="N380" s="5" t="s">
        <v>1674</v>
      </c>
      <c r="O380" s="5" t="s">
        <v>1664</v>
      </c>
      <c r="P380">
        <v>1</v>
      </c>
      <c r="Q380" t="s">
        <v>1665</v>
      </c>
    </row>
    <row r="381" spans="1:18" x14ac:dyDescent="0.35">
      <c r="A381" s="5" t="s">
        <v>759</v>
      </c>
      <c r="B381" s="6">
        <v>46030</v>
      </c>
      <c r="C381" s="5" t="s">
        <v>760</v>
      </c>
      <c r="D381" s="5" t="s">
        <v>71</v>
      </c>
      <c r="E381" s="5" t="s">
        <v>202</v>
      </c>
      <c r="F381" s="5" t="s">
        <v>17</v>
      </c>
      <c r="G381">
        <v>0.95138888888888884</v>
      </c>
      <c r="H381">
        <v>0.95416666666666672</v>
      </c>
      <c r="I381">
        <v>0</v>
      </c>
      <c r="J381" s="5" t="s">
        <v>18</v>
      </c>
      <c r="K381" s="5" t="s">
        <v>19</v>
      </c>
      <c r="L381">
        <v>1199</v>
      </c>
      <c r="M381" s="5">
        <v>4</v>
      </c>
      <c r="N381" s="5" t="s">
        <v>1674</v>
      </c>
      <c r="O381" s="5" t="s">
        <v>1664</v>
      </c>
      <c r="P381">
        <v>1</v>
      </c>
      <c r="Q381" t="s">
        <v>1669</v>
      </c>
    </row>
    <row r="382" spans="1:18" x14ac:dyDescent="0.35">
      <c r="A382" s="5" t="s">
        <v>761</v>
      </c>
      <c r="B382" s="6">
        <v>46031</v>
      </c>
      <c r="C382" s="5" t="s">
        <v>548</v>
      </c>
      <c r="D382" s="5" t="s">
        <v>226</v>
      </c>
      <c r="E382" s="5" t="s">
        <v>84</v>
      </c>
      <c r="F382" s="5" t="s">
        <v>24</v>
      </c>
      <c r="G382">
        <v>0.34722222222222221</v>
      </c>
      <c r="J382" s="5" t="s">
        <v>129</v>
      </c>
      <c r="K382" s="5" t="s">
        <v>254</v>
      </c>
      <c r="L382">
        <v>1023</v>
      </c>
      <c r="M382" s="5"/>
      <c r="N382" s="5" t="s">
        <v>1674</v>
      </c>
      <c r="O382" s="5" t="s">
        <v>1666</v>
      </c>
      <c r="Q382" t="s">
        <v>1660</v>
      </c>
      <c r="R382" t="s">
        <v>1670</v>
      </c>
    </row>
    <row r="383" spans="1:18" x14ac:dyDescent="0.35">
      <c r="A383" s="5" t="s">
        <v>762</v>
      </c>
      <c r="B383" s="6">
        <v>46031</v>
      </c>
      <c r="C383" s="5" t="s">
        <v>249</v>
      </c>
      <c r="D383" s="5" t="s">
        <v>546</v>
      </c>
      <c r="E383" s="5" t="s">
        <v>79</v>
      </c>
      <c r="F383" s="5" t="s">
        <v>38</v>
      </c>
      <c r="G383">
        <v>0.41319444444444442</v>
      </c>
      <c r="H383">
        <v>0.41458333333333341</v>
      </c>
      <c r="I383">
        <v>-1</v>
      </c>
      <c r="J383" s="5" t="s">
        <v>18</v>
      </c>
      <c r="K383" s="5" t="s">
        <v>19</v>
      </c>
      <c r="L383">
        <v>1743</v>
      </c>
      <c r="M383" s="5">
        <v>2</v>
      </c>
      <c r="N383" s="5" t="s">
        <v>1674</v>
      </c>
      <c r="O383" s="5" t="s">
        <v>1666</v>
      </c>
      <c r="P383">
        <v>1</v>
      </c>
      <c r="Q383" t="s">
        <v>1660</v>
      </c>
    </row>
    <row r="384" spans="1:18" x14ac:dyDescent="0.35">
      <c r="A384" s="5" t="s">
        <v>763</v>
      </c>
      <c r="B384" s="6">
        <v>46031</v>
      </c>
      <c r="C384" s="5" t="s">
        <v>764</v>
      </c>
      <c r="D384" s="5" t="s">
        <v>79</v>
      </c>
      <c r="E384" s="5" t="s">
        <v>197</v>
      </c>
      <c r="F384" s="5" t="s">
        <v>28</v>
      </c>
      <c r="G384">
        <v>0.51736111111111116</v>
      </c>
      <c r="H384">
        <v>0.52430555555555558</v>
      </c>
      <c r="I384">
        <v>2</v>
      </c>
      <c r="J384" s="5" t="s">
        <v>18</v>
      </c>
      <c r="K384" s="5" t="s">
        <v>19</v>
      </c>
      <c r="L384">
        <v>759</v>
      </c>
      <c r="M384" s="5">
        <v>10</v>
      </c>
      <c r="N384" s="5" t="s">
        <v>1674</v>
      </c>
      <c r="O384" s="5" t="s">
        <v>1666</v>
      </c>
      <c r="P384">
        <v>1</v>
      </c>
      <c r="Q384" t="s">
        <v>1663</v>
      </c>
    </row>
    <row r="385" spans="1:18" x14ac:dyDescent="0.35">
      <c r="A385" s="5" t="s">
        <v>765</v>
      </c>
      <c r="B385" s="6">
        <v>46031</v>
      </c>
      <c r="C385" s="5" t="s">
        <v>766</v>
      </c>
      <c r="D385" s="5" t="s">
        <v>197</v>
      </c>
      <c r="E385" s="5" t="s">
        <v>588</v>
      </c>
      <c r="F385" s="5" t="s">
        <v>38</v>
      </c>
      <c r="G385">
        <v>0.78472222222222221</v>
      </c>
      <c r="H385">
        <v>0.78055555555555556</v>
      </c>
      <c r="I385">
        <v>4</v>
      </c>
      <c r="J385" s="5" t="s">
        <v>18</v>
      </c>
      <c r="K385" s="5" t="s">
        <v>19</v>
      </c>
      <c r="L385">
        <v>1389</v>
      </c>
      <c r="M385" s="5">
        <v>-6</v>
      </c>
      <c r="N385" s="5" t="s">
        <v>1674</v>
      </c>
      <c r="O385" s="5" t="s">
        <v>1666</v>
      </c>
      <c r="P385">
        <v>1</v>
      </c>
      <c r="Q385" t="s">
        <v>1665</v>
      </c>
    </row>
    <row r="386" spans="1:18" x14ac:dyDescent="0.35">
      <c r="A386" s="5" t="s">
        <v>767</v>
      </c>
      <c r="B386" s="6">
        <v>46031</v>
      </c>
      <c r="C386" s="5" t="s">
        <v>768</v>
      </c>
      <c r="D386" s="5" t="s">
        <v>71</v>
      </c>
      <c r="E386" s="5" t="s">
        <v>413</v>
      </c>
      <c r="F386" s="5" t="s">
        <v>28</v>
      </c>
      <c r="G386">
        <v>0.78819444444444442</v>
      </c>
      <c r="H386">
        <v>0.8208333333333333</v>
      </c>
      <c r="I386">
        <v>51</v>
      </c>
      <c r="J386" s="5" t="s">
        <v>319</v>
      </c>
      <c r="K386" s="5" t="s">
        <v>19</v>
      </c>
      <c r="L386">
        <v>1742</v>
      </c>
      <c r="M386" s="5">
        <v>47</v>
      </c>
      <c r="N386" s="5" t="s">
        <v>1674</v>
      </c>
      <c r="O386" s="5" t="s">
        <v>1666</v>
      </c>
      <c r="P386">
        <v>0</v>
      </c>
      <c r="Q386" t="s">
        <v>1665</v>
      </c>
      <c r="R386" t="s">
        <v>1670</v>
      </c>
    </row>
    <row r="387" spans="1:18" x14ac:dyDescent="0.35">
      <c r="A387" s="5" t="s">
        <v>769</v>
      </c>
      <c r="B387" s="6">
        <v>46033</v>
      </c>
      <c r="C387" s="5" t="s">
        <v>770</v>
      </c>
      <c r="D387" s="5" t="s">
        <v>413</v>
      </c>
      <c r="E387" s="5" t="s">
        <v>588</v>
      </c>
      <c r="F387" s="5" t="s">
        <v>24</v>
      </c>
      <c r="G387">
        <v>0.35069444444444442</v>
      </c>
      <c r="H387">
        <v>0.38680555555555562</v>
      </c>
      <c r="I387">
        <v>48</v>
      </c>
      <c r="J387" s="5" t="s">
        <v>60</v>
      </c>
      <c r="K387" s="5" t="s">
        <v>19</v>
      </c>
      <c r="L387">
        <v>1232</v>
      </c>
      <c r="M387" s="5">
        <v>52</v>
      </c>
      <c r="N387" s="5" t="s">
        <v>1674</v>
      </c>
      <c r="O387" s="5" t="s">
        <v>1668</v>
      </c>
      <c r="P387">
        <v>0</v>
      </c>
      <c r="Q387" t="s">
        <v>1660</v>
      </c>
      <c r="R387" t="s">
        <v>1657</v>
      </c>
    </row>
    <row r="388" spans="1:18" x14ac:dyDescent="0.35">
      <c r="A388" s="5" t="s">
        <v>771</v>
      </c>
      <c r="B388" s="6">
        <v>46033</v>
      </c>
      <c r="C388" s="5" t="s">
        <v>171</v>
      </c>
      <c r="D388" s="5" t="s">
        <v>1549</v>
      </c>
      <c r="E388" s="5" t="s">
        <v>202</v>
      </c>
      <c r="F388" s="5" t="s">
        <v>28</v>
      </c>
      <c r="G388">
        <v>0.65972222222222221</v>
      </c>
      <c r="H388">
        <v>0.65902777777777777</v>
      </c>
      <c r="I388">
        <v>9</v>
      </c>
      <c r="J388" s="5" t="s">
        <v>18</v>
      </c>
      <c r="K388" s="5" t="s">
        <v>19</v>
      </c>
      <c r="L388">
        <v>1260</v>
      </c>
      <c r="M388" s="5">
        <v>-1</v>
      </c>
      <c r="N388" s="5" t="s">
        <v>1674</v>
      </c>
      <c r="O388" s="5" t="s">
        <v>1668</v>
      </c>
      <c r="P388">
        <v>1</v>
      </c>
      <c r="Q388" t="s">
        <v>1663</v>
      </c>
    </row>
    <row r="389" spans="1:18" x14ac:dyDescent="0.35">
      <c r="A389" s="5" t="s">
        <v>772</v>
      </c>
      <c r="B389" s="6">
        <v>46033</v>
      </c>
      <c r="C389" s="5" t="s">
        <v>773</v>
      </c>
      <c r="D389" s="5" t="s">
        <v>71</v>
      </c>
      <c r="E389" s="5" t="s">
        <v>588</v>
      </c>
      <c r="F389" s="5" t="s">
        <v>38</v>
      </c>
      <c r="G389">
        <v>0.75347222222222221</v>
      </c>
      <c r="J389" s="5" t="s">
        <v>129</v>
      </c>
      <c r="K389" s="5" t="s">
        <v>254</v>
      </c>
      <c r="L389">
        <v>802</v>
      </c>
      <c r="M389" s="5"/>
      <c r="N389" s="5" t="s">
        <v>1674</v>
      </c>
      <c r="O389" s="5" t="s">
        <v>1668</v>
      </c>
      <c r="Q389" t="s">
        <v>1665</v>
      </c>
      <c r="R389" t="s">
        <v>1670</v>
      </c>
    </row>
    <row r="390" spans="1:18" x14ac:dyDescent="0.35">
      <c r="A390" s="5" t="s">
        <v>774</v>
      </c>
      <c r="B390" s="6">
        <v>46034</v>
      </c>
      <c r="C390" s="5" t="s">
        <v>133</v>
      </c>
      <c r="D390" s="5" t="s">
        <v>226</v>
      </c>
      <c r="E390" s="5" t="s">
        <v>197</v>
      </c>
      <c r="F390" s="5" t="s">
        <v>38</v>
      </c>
      <c r="G390">
        <v>0.40625</v>
      </c>
      <c r="H390">
        <v>0.41111111111111109</v>
      </c>
      <c r="I390">
        <v>16</v>
      </c>
      <c r="J390" s="5" t="s">
        <v>18</v>
      </c>
      <c r="K390" s="5" t="s">
        <v>19</v>
      </c>
      <c r="L390">
        <v>1622</v>
      </c>
      <c r="M390" s="5">
        <v>7</v>
      </c>
      <c r="N390" s="5" t="s">
        <v>1674</v>
      </c>
      <c r="O390" s="5" t="s">
        <v>1659</v>
      </c>
      <c r="P390">
        <v>0</v>
      </c>
      <c r="Q390" t="s">
        <v>1660</v>
      </c>
    </row>
    <row r="391" spans="1:18" x14ac:dyDescent="0.35">
      <c r="A391" s="5" t="s">
        <v>775</v>
      </c>
      <c r="B391" s="6">
        <v>46034</v>
      </c>
      <c r="C391" s="5" t="s">
        <v>776</v>
      </c>
      <c r="D391" s="5" t="s">
        <v>413</v>
      </c>
      <c r="E391" s="5" t="s">
        <v>588</v>
      </c>
      <c r="F391" s="5" t="s">
        <v>17</v>
      </c>
      <c r="G391">
        <v>0.41666666666666669</v>
      </c>
      <c r="H391">
        <v>0.42152777777777778</v>
      </c>
      <c r="I391">
        <v>8</v>
      </c>
      <c r="J391" s="5" t="s">
        <v>18</v>
      </c>
      <c r="K391" s="5" t="s">
        <v>19</v>
      </c>
      <c r="L391">
        <v>1232</v>
      </c>
      <c r="M391" s="5">
        <v>7</v>
      </c>
      <c r="N391" s="5" t="s">
        <v>1674</v>
      </c>
      <c r="O391" s="5" t="s">
        <v>1659</v>
      </c>
      <c r="P391">
        <v>1</v>
      </c>
      <c r="Q391" t="s">
        <v>1660</v>
      </c>
    </row>
    <row r="392" spans="1:18" x14ac:dyDescent="0.35">
      <c r="A392" s="5" t="s">
        <v>777</v>
      </c>
      <c r="B392" s="6">
        <v>46034</v>
      </c>
      <c r="C392" s="5" t="s">
        <v>778</v>
      </c>
      <c r="D392" s="5" t="s">
        <v>1171</v>
      </c>
      <c r="E392" s="5" t="s">
        <v>588</v>
      </c>
      <c r="F392" s="5" t="s">
        <v>17</v>
      </c>
      <c r="G392">
        <v>0.88888888888888884</v>
      </c>
      <c r="H392">
        <v>0.89652777777777781</v>
      </c>
      <c r="I392">
        <v>15</v>
      </c>
      <c r="J392" s="5" t="s">
        <v>18</v>
      </c>
      <c r="K392" s="5" t="s">
        <v>19</v>
      </c>
      <c r="L392">
        <v>866</v>
      </c>
      <c r="M392" s="5">
        <v>11</v>
      </c>
      <c r="N392" s="5" t="s">
        <v>1674</v>
      </c>
      <c r="O392" s="5" t="s">
        <v>1659</v>
      </c>
      <c r="P392">
        <v>1</v>
      </c>
      <c r="Q392" t="s">
        <v>1669</v>
      </c>
    </row>
    <row r="393" spans="1:18" x14ac:dyDescent="0.35">
      <c r="A393" s="5" t="s">
        <v>779</v>
      </c>
      <c r="B393" s="6">
        <v>46035</v>
      </c>
      <c r="C393" s="5" t="s">
        <v>780</v>
      </c>
      <c r="D393" s="5" t="s">
        <v>1171</v>
      </c>
      <c r="E393" s="5" t="s">
        <v>226</v>
      </c>
      <c r="F393" s="5" t="s">
        <v>38</v>
      </c>
      <c r="G393">
        <v>0.28472222222222221</v>
      </c>
      <c r="H393">
        <v>0.28263888888888888</v>
      </c>
      <c r="I393">
        <v>7</v>
      </c>
      <c r="J393" s="5" t="s">
        <v>18</v>
      </c>
      <c r="K393" s="5" t="s">
        <v>19</v>
      </c>
      <c r="L393">
        <v>602</v>
      </c>
      <c r="M393" s="5">
        <v>-3</v>
      </c>
      <c r="N393" s="5" t="s">
        <v>1674</v>
      </c>
      <c r="O393" s="5" t="s">
        <v>1661</v>
      </c>
      <c r="P393">
        <v>1</v>
      </c>
      <c r="Q393" t="s">
        <v>1660</v>
      </c>
    </row>
    <row r="394" spans="1:18" x14ac:dyDescent="0.35">
      <c r="A394" s="5" t="s">
        <v>781</v>
      </c>
      <c r="B394" s="6">
        <v>46035</v>
      </c>
      <c r="C394" s="5" t="s">
        <v>782</v>
      </c>
      <c r="D394" s="5" t="s">
        <v>226</v>
      </c>
      <c r="E394" s="5" t="s">
        <v>588</v>
      </c>
      <c r="F394" s="5" t="s">
        <v>24</v>
      </c>
      <c r="G394">
        <v>0.40277777777777779</v>
      </c>
      <c r="H394">
        <v>0.41041666666666671</v>
      </c>
      <c r="I394">
        <v>14</v>
      </c>
      <c r="J394" s="5" t="s">
        <v>18</v>
      </c>
      <c r="K394" s="5" t="s">
        <v>19</v>
      </c>
      <c r="L394">
        <v>641</v>
      </c>
      <c r="M394" s="5">
        <v>11</v>
      </c>
      <c r="N394" s="5" t="s">
        <v>1674</v>
      </c>
      <c r="O394" s="5" t="s">
        <v>1661</v>
      </c>
      <c r="P394">
        <v>1</v>
      </c>
      <c r="Q394" t="s">
        <v>1660</v>
      </c>
    </row>
    <row r="395" spans="1:18" x14ac:dyDescent="0.35">
      <c r="A395" s="5" t="s">
        <v>783</v>
      </c>
      <c r="B395" s="6">
        <v>46035</v>
      </c>
      <c r="C395" s="5" t="s">
        <v>77</v>
      </c>
      <c r="D395" s="5" t="s">
        <v>197</v>
      </c>
      <c r="E395" s="5" t="s">
        <v>1171</v>
      </c>
      <c r="F395" s="5" t="s">
        <v>24</v>
      </c>
      <c r="G395">
        <v>0.43055555555555558</v>
      </c>
      <c r="H395">
        <v>0.43402777777777779</v>
      </c>
      <c r="I395">
        <v>-2</v>
      </c>
      <c r="J395" s="5" t="s">
        <v>18</v>
      </c>
      <c r="K395" s="5" t="s">
        <v>19</v>
      </c>
      <c r="L395">
        <v>2149</v>
      </c>
      <c r="M395" s="5">
        <v>5</v>
      </c>
      <c r="N395" s="5" t="s">
        <v>1674</v>
      </c>
      <c r="O395" s="5" t="s">
        <v>1661</v>
      </c>
      <c r="P395">
        <v>1</v>
      </c>
      <c r="Q395" t="s">
        <v>1660</v>
      </c>
    </row>
    <row r="396" spans="1:18" x14ac:dyDescent="0.35">
      <c r="A396" s="5" t="s">
        <v>784</v>
      </c>
      <c r="B396" s="6">
        <v>46035</v>
      </c>
      <c r="C396" s="5" t="s">
        <v>785</v>
      </c>
      <c r="D396" s="5" t="s">
        <v>413</v>
      </c>
      <c r="E396" s="5" t="s">
        <v>202</v>
      </c>
      <c r="F396" s="5" t="s">
        <v>17</v>
      </c>
      <c r="G396">
        <v>0.4375</v>
      </c>
      <c r="H396">
        <v>0.4375</v>
      </c>
      <c r="I396">
        <v>-8</v>
      </c>
      <c r="J396" s="5" t="s">
        <v>18</v>
      </c>
      <c r="K396" s="5" t="s">
        <v>19</v>
      </c>
      <c r="L396">
        <v>2338</v>
      </c>
      <c r="M396" s="5">
        <v>0</v>
      </c>
      <c r="N396" s="5" t="s">
        <v>1674</v>
      </c>
      <c r="O396" s="5" t="s">
        <v>1661</v>
      </c>
      <c r="P396">
        <v>1</v>
      </c>
      <c r="Q396" t="s">
        <v>1660</v>
      </c>
    </row>
    <row r="397" spans="1:18" x14ac:dyDescent="0.35">
      <c r="A397" s="5" t="s">
        <v>786</v>
      </c>
      <c r="B397" s="6">
        <v>46035</v>
      </c>
      <c r="C397" s="5" t="s">
        <v>787</v>
      </c>
      <c r="D397" s="5" t="s">
        <v>1295</v>
      </c>
      <c r="E397" s="5" t="s">
        <v>546</v>
      </c>
      <c r="F397" s="5" t="s">
        <v>38</v>
      </c>
      <c r="G397">
        <v>0.56597222222222221</v>
      </c>
      <c r="H397">
        <v>0.56180555555555556</v>
      </c>
      <c r="I397">
        <v>-11</v>
      </c>
      <c r="J397" s="5" t="s">
        <v>18</v>
      </c>
      <c r="K397" s="5" t="s">
        <v>19</v>
      </c>
      <c r="L397">
        <v>414</v>
      </c>
      <c r="M397" s="5">
        <v>-6</v>
      </c>
      <c r="N397" s="5" t="s">
        <v>1674</v>
      </c>
      <c r="O397" s="5" t="s">
        <v>1661</v>
      </c>
      <c r="P397">
        <v>1</v>
      </c>
      <c r="Q397" t="s">
        <v>1663</v>
      </c>
    </row>
    <row r="398" spans="1:18" x14ac:dyDescent="0.35">
      <c r="A398" s="5" t="s">
        <v>788</v>
      </c>
      <c r="B398" s="6">
        <v>46037</v>
      </c>
      <c r="C398" s="5" t="s">
        <v>789</v>
      </c>
      <c r="D398" s="5" t="s">
        <v>226</v>
      </c>
      <c r="E398" s="5" t="s">
        <v>79</v>
      </c>
      <c r="F398" s="5" t="s">
        <v>24</v>
      </c>
      <c r="G398">
        <v>0.64236111111111116</v>
      </c>
      <c r="J398" s="5" t="s">
        <v>60</v>
      </c>
      <c r="K398" s="5" t="s">
        <v>254</v>
      </c>
      <c r="L398">
        <v>1197</v>
      </c>
      <c r="M398" s="5"/>
      <c r="N398" s="5" t="s">
        <v>1674</v>
      </c>
      <c r="O398" s="5" t="s">
        <v>1664</v>
      </c>
      <c r="Q398" t="s">
        <v>1663</v>
      </c>
      <c r="R398" t="s">
        <v>1657</v>
      </c>
    </row>
    <row r="399" spans="1:18" x14ac:dyDescent="0.35">
      <c r="A399" s="5" t="s">
        <v>790</v>
      </c>
      <c r="B399" s="6">
        <v>46037</v>
      </c>
      <c r="C399" s="5" t="s">
        <v>791</v>
      </c>
      <c r="D399" s="5" t="s">
        <v>1295</v>
      </c>
      <c r="E399" s="5" t="s">
        <v>588</v>
      </c>
      <c r="F399" s="5" t="s">
        <v>17</v>
      </c>
      <c r="G399">
        <v>0.69097222222222221</v>
      </c>
      <c r="H399">
        <v>0.69444444444444442</v>
      </c>
      <c r="I399">
        <v>2</v>
      </c>
      <c r="J399" s="5" t="s">
        <v>18</v>
      </c>
      <c r="K399" s="5" t="s">
        <v>19</v>
      </c>
      <c r="L399">
        <v>1462</v>
      </c>
      <c r="M399" s="5">
        <v>5</v>
      </c>
      <c r="N399" s="5" t="s">
        <v>1674</v>
      </c>
      <c r="O399" s="5" t="s">
        <v>1664</v>
      </c>
      <c r="P399">
        <v>1</v>
      </c>
      <c r="Q399" t="s">
        <v>1663</v>
      </c>
    </row>
    <row r="400" spans="1:18" x14ac:dyDescent="0.35">
      <c r="A400" s="5" t="s">
        <v>792</v>
      </c>
      <c r="B400" s="6">
        <v>46038</v>
      </c>
      <c r="C400" s="5" t="s">
        <v>314</v>
      </c>
      <c r="D400" s="5" t="s">
        <v>84</v>
      </c>
      <c r="E400" s="5" t="s">
        <v>71</v>
      </c>
      <c r="F400" s="5" t="s">
        <v>17</v>
      </c>
      <c r="G400">
        <v>0.86111111111111116</v>
      </c>
      <c r="H400">
        <v>0.85555555555555551</v>
      </c>
      <c r="I400">
        <v>-4</v>
      </c>
      <c r="J400" s="5" t="s">
        <v>18</v>
      </c>
      <c r="K400" s="5" t="s">
        <v>19</v>
      </c>
      <c r="L400">
        <v>1717</v>
      </c>
      <c r="M400" s="5">
        <v>-8</v>
      </c>
      <c r="N400" s="5" t="s">
        <v>1674</v>
      </c>
      <c r="O400" s="5" t="s">
        <v>1666</v>
      </c>
      <c r="P400">
        <v>1</v>
      </c>
      <c r="Q400" t="s">
        <v>1665</v>
      </c>
    </row>
    <row r="401" spans="1:18" x14ac:dyDescent="0.35">
      <c r="A401" s="5" t="s">
        <v>793</v>
      </c>
      <c r="B401" s="6">
        <v>46039</v>
      </c>
      <c r="C401" s="5" t="s">
        <v>794</v>
      </c>
      <c r="D401" s="5" t="s">
        <v>79</v>
      </c>
      <c r="E401" s="5" t="s">
        <v>588</v>
      </c>
      <c r="F401" s="5" t="s">
        <v>24</v>
      </c>
      <c r="G401">
        <v>0.2361111111111111</v>
      </c>
      <c r="H401">
        <v>0.24236111111111111</v>
      </c>
      <c r="I401">
        <v>1</v>
      </c>
      <c r="J401" s="5" t="s">
        <v>18</v>
      </c>
      <c r="K401" s="5" t="s">
        <v>19</v>
      </c>
      <c r="L401">
        <v>730</v>
      </c>
      <c r="M401" s="5">
        <v>9</v>
      </c>
      <c r="N401" s="5" t="s">
        <v>1674</v>
      </c>
      <c r="O401" s="5" t="s">
        <v>1667</v>
      </c>
      <c r="P401">
        <v>1</v>
      </c>
      <c r="Q401" t="s">
        <v>1660</v>
      </c>
    </row>
    <row r="402" spans="1:18" x14ac:dyDescent="0.35">
      <c r="A402" s="5" t="s">
        <v>795</v>
      </c>
      <c r="B402" s="6">
        <v>46039</v>
      </c>
      <c r="C402" s="5" t="s">
        <v>796</v>
      </c>
      <c r="D402" s="5" t="s">
        <v>197</v>
      </c>
      <c r="E402" s="5" t="s">
        <v>1295</v>
      </c>
      <c r="F402" s="5" t="s">
        <v>17</v>
      </c>
      <c r="G402">
        <v>0.59722222222222221</v>
      </c>
      <c r="H402">
        <v>0.61111111111111116</v>
      </c>
      <c r="I402">
        <v>11</v>
      </c>
      <c r="J402" s="5" t="s">
        <v>60</v>
      </c>
      <c r="K402" s="5" t="s">
        <v>19</v>
      </c>
      <c r="L402">
        <v>2580</v>
      </c>
      <c r="M402" s="5">
        <v>20</v>
      </c>
      <c r="N402" s="5" t="s">
        <v>1674</v>
      </c>
      <c r="O402" s="5" t="s">
        <v>1667</v>
      </c>
      <c r="P402">
        <v>1</v>
      </c>
      <c r="Q402" t="s">
        <v>1663</v>
      </c>
      <c r="R402" t="s">
        <v>1657</v>
      </c>
    </row>
    <row r="403" spans="1:18" x14ac:dyDescent="0.35">
      <c r="A403" s="5" t="s">
        <v>797</v>
      </c>
      <c r="B403" s="6">
        <v>46039</v>
      </c>
      <c r="C403" s="5" t="s">
        <v>452</v>
      </c>
      <c r="D403" s="5" t="s">
        <v>546</v>
      </c>
      <c r="E403" s="5" t="s">
        <v>1171</v>
      </c>
      <c r="F403" s="5" t="s">
        <v>17</v>
      </c>
      <c r="G403">
        <v>0.60763888888888884</v>
      </c>
      <c r="H403">
        <v>0.61388888888888893</v>
      </c>
      <c r="I403">
        <v>-2</v>
      </c>
      <c r="J403" s="5" t="s">
        <v>18</v>
      </c>
      <c r="K403" s="5" t="s">
        <v>19</v>
      </c>
      <c r="L403">
        <v>256</v>
      </c>
      <c r="M403" s="5">
        <v>9</v>
      </c>
      <c r="N403" s="5" t="s">
        <v>1674</v>
      </c>
      <c r="O403" s="5" t="s">
        <v>1667</v>
      </c>
      <c r="P403">
        <v>1</v>
      </c>
      <c r="Q403" t="s">
        <v>1663</v>
      </c>
    </row>
    <row r="404" spans="1:18" x14ac:dyDescent="0.35">
      <c r="A404" s="5" t="s">
        <v>798</v>
      </c>
      <c r="B404" s="6">
        <v>46039</v>
      </c>
      <c r="C404" s="5" t="s">
        <v>799</v>
      </c>
      <c r="D404" s="5" t="s">
        <v>546</v>
      </c>
      <c r="E404" s="5" t="s">
        <v>226</v>
      </c>
      <c r="F404" s="5" t="s">
        <v>24</v>
      </c>
      <c r="G404">
        <v>0.73263888888888884</v>
      </c>
      <c r="H404">
        <v>0.7270833333333333</v>
      </c>
      <c r="I404">
        <v>-10</v>
      </c>
      <c r="J404" s="5" t="s">
        <v>18</v>
      </c>
      <c r="K404" s="5" t="s">
        <v>19</v>
      </c>
      <c r="L404">
        <v>627</v>
      </c>
      <c r="M404" s="5">
        <v>-8</v>
      </c>
      <c r="N404" s="5" t="s">
        <v>1674</v>
      </c>
      <c r="O404" s="5" t="s">
        <v>1667</v>
      </c>
      <c r="P404">
        <v>1</v>
      </c>
      <c r="Q404" t="s">
        <v>1665</v>
      </c>
    </row>
    <row r="405" spans="1:18" x14ac:dyDescent="0.35">
      <c r="A405" s="5" t="s">
        <v>800</v>
      </c>
      <c r="B405" s="6">
        <v>46040</v>
      </c>
      <c r="C405" s="5" t="s">
        <v>801</v>
      </c>
      <c r="D405" s="5" t="s">
        <v>413</v>
      </c>
      <c r="E405" s="5" t="s">
        <v>79</v>
      </c>
      <c r="F405" s="5" t="s">
        <v>17</v>
      </c>
      <c r="G405">
        <v>0.69097222222222221</v>
      </c>
      <c r="H405">
        <v>0.69722222222222219</v>
      </c>
      <c r="I405">
        <v>18</v>
      </c>
      <c r="J405" s="5" t="s">
        <v>18</v>
      </c>
      <c r="K405" s="5" t="s">
        <v>19</v>
      </c>
      <c r="L405">
        <v>1942</v>
      </c>
      <c r="M405" s="5">
        <v>9</v>
      </c>
      <c r="N405" s="5" t="s">
        <v>1674</v>
      </c>
      <c r="O405" s="5" t="s">
        <v>1668</v>
      </c>
      <c r="P405">
        <v>0</v>
      </c>
      <c r="Q405" t="s">
        <v>1663</v>
      </c>
    </row>
    <row r="406" spans="1:18" x14ac:dyDescent="0.35">
      <c r="A406" s="5" t="s">
        <v>802</v>
      </c>
      <c r="B406" s="6">
        <v>46040</v>
      </c>
      <c r="C406" s="5" t="s">
        <v>728</v>
      </c>
      <c r="D406" s="5" t="s">
        <v>79</v>
      </c>
      <c r="E406" s="5" t="s">
        <v>197</v>
      </c>
      <c r="F406" s="5" t="s">
        <v>28</v>
      </c>
      <c r="G406">
        <v>0.70486111111111116</v>
      </c>
      <c r="H406">
        <v>0.7104166666666667</v>
      </c>
      <c r="I406">
        <v>-2</v>
      </c>
      <c r="J406" s="5" t="s">
        <v>18</v>
      </c>
      <c r="K406" s="5" t="s">
        <v>19</v>
      </c>
      <c r="L406">
        <v>759</v>
      </c>
      <c r="M406" s="5">
        <v>8</v>
      </c>
      <c r="N406" s="5" t="s">
        <v>1674</v>
      </c>
      <c r="O406" s="5" t="s">
        <v>1668</v>
      </c>
      <c r="P406">
        <v>1</v>
      </c>
      <c r="Q406" t="s">
        <v>1663</v>
      </c>
    </row>
    <row r="407" spans="1:18" x14ac:dyDescent="0.35">
      <c r="A407" s="5" t="s">
        <v>803</v>
      </c>
      <c r="B407" s="6">
        <v>46040</v>
      </c>
      <c r="C407" s="5" t="s">
        <v>804</v>
      </c>
      <c r="D407" s="5" t="s">
        <v>546</v>
      </c>
      <c r="E407" s="5" t="s">
        <v>202</v>
      </c>
      <c r="F407" s="5" t="s">
        <v>28</v>
      </c>
      <c r="G407">
        <v>0.77083333333333337</v>
      </c>
      <c r="H407">
        <v>0.78194444444444444</v>
      </c>
      <c r="I407">
        <v>19</v>
      </c>
      <c r="J407" s="5" t="s">
        <v>129</v>
      </c>
      <c r="K407" s="5" t="s">
        <v>19</v>
      </c>
      <c r="L407">
        <v>2171</v>
      </c>
      <c r="M407" s="5">
        <v>16</v>
      </c>
      <c r="N407" s="5" t="s">
        <v>1674</v>
      </c>
      <c r="O407" s="5" t="s">
        <v>1668</v>
      </c>
      <c r="P407">
        <v>0</v>
      </c>
      <c r="Q407" t="s">
        <v>1665</v>
      </c>
      <c r="R407" t="s">
        <v>1670</v>
      </c>
    </row>
    <row r="408" spans="1:18" x14ac:dyDescent="0.35">
      <c r="A408" s="5" t="s">
        <v>805</v>
      </c>
      <c r="B408" s="6">
        <v>46041</v>
      </c>
      <c r="C408" s="5" t="s">
        <v>92</v>
      </c>
      <c r="D408" s="5" t="s">
        <v>413</v>
      </c>
      <c r="E408" s="5" t="s">
        <v>226</v>
      </c>
      <c r="F408" s="5" t="s">
        <v>17</v>
      </c>
      <c r="G408">
        <v>0.2673611111111111</v>
      </c>
      <c r="H408">
        <v>0.26250000000000001</v>
      </c>
      <c r="I408">
        <v>-14</v>
      </c>
      <c r="J408" s="5" t="s">
        <v>18</v>
      </c>
      <c r="K408" s="5" t="s">
        <v>19</v>
      </c>
      <c r="L408">
        <v>861</v>
      </c>
      <c r="M408" s="5">
        <v>-7</v>
      </c>
      <c r="N408" s="5" t="s">
        <v>1674</v>
      </c>
      <c r="O408" s="5" t="s">
        <v>1659</v>
      </c>
      <c r="P408">
        <v>1</v>
      </c>
      <c r="Q408" t="s">
        <v>1660</v>
      </c>
    </row>
    <row r="409" spans="1:18" x14ac:dyDescent="0.35">
      <c r="A409" s="5" t="s">
        <v>807</v>
      </c>
      <c r="B409" s="6">
        <v>46041</v>
      </c>
      <c r="C409" s="5" t="s">
        <v>742</v>
      </c>
      <c r="D409" s="5" t="s">
        <v>71</v>
      </c>
      <c r="E409" s="5" t="s">
        <v>79</v>
      </c>
      <c r="F409" s="5" t="s">
        <v>28</v>
      </c>
      <c r="G409">
        <v>0.60416666666666663</v>
      </c>
      <c r="H409">
        <v>0.63888888888888884</v>
      </c>
      <c r="I409">
        <v>46</v>
      </c>
      <c r="J409" s="5" t="s">
        <v>129</v>
      </c>
      <c r="K409" s="5" t="s">
        <v>19</v>
      </c>
      <c r="L409">
        <v>606</v>
      </c>
      <c r="M409" s="5">
        <v>50</v>
      </c>
      <c r="N409" s="5" t="s">
        <v>1674</v>
      </c>
      <c r="O409" s="5" t="s">
        <v>1659</v>
      </c>
      <c r="P409">
        <v>0</v>
      </c>
      <c r="Q409" t="s">
        <v>1663</v>
      </c>
      <c r="R409" t="s">
        <v>1670</v>
      </c>
    </row>
    <row r="410" spans="1:18" x14ac:dyDescent="0.35">
      <c r="A410" s="5" t="s">
        <v>808</v>
      </c>
      <c r="B410" s="6">
        <v>46043</v>
      </c>
      <c r="C410" s="5" t="s">
        <v>165</v>
      </c>
      <c r="D410" s="5" t="s">
        <v>79</v>
      </c>
      <c r="E410" s="5" t="s">
        <v>413</v>
      </c>
      <c r="F410" s="5" t="s">
        <v>24</v>
      </c>
      <c r="G410">
        <v>0.33333333333333331</v>
      </c>
      <c r="H410">
        <v>0.32847222222222222</v>
      </c>
      <c r="I410">
        <v>1</v>
      </c>
      <c r="J410" s="5" t="s">
        <v>18</v>
      </c>
      <c r="K410" s="5" t="s">
        <v>19</v>
      </c>
      <c r="L410">
        <v>1942</v>
      </c>
      <c r="M410" s="5">
        <v>-7</v>
      </c>
      <c r="N410" s="5" t="s">
        <v>1674</v>
      </c>
      <c r="O410" s="5" t="s">
        <v>1662</v>
      </c>
      <c r="P410">
        <v>1</v>
      </c>
      <c r="Q410" t="s">
        <v>1660</v>
      </c>
    </row>
    <row r="411" spans="1:18" x14ac:dyDescent="0.35">
      <c r="A411" s="5" t="s">
        <v>809</v>
      </c>
      <c r="B411" s="6">
        <v>46044</v>
      </c>
      <c r="C411" s="5" t="s">
        <v>596</v>
      </c>
      <c r="D411" s="5" t="s">
        <v>1549</v>
      </c>
      <c r="E411" s="5" t="s">
        <v>79</v>
      </c>
      <c r="F411" s="5" t="s">
        <v>17</v>
      </c>
      <c r="G411">
        <v>0.2986111111111111</v>
      </c>
      <c r="H411">
        <v>0.2986111111111111</v>
      </c>
      <c r="I411">
        <v>-1</v>
      </c>
      <c r="J411" s="5" t="s">
        <v>18</v>
      </c>
      <c r="K411" s="5" t="s">
        <v>19</v>
      </c>
      <c r="L411">
        <v>945</v>
      </c>
      <c r="M411" s="5">
        <v>0</v>
      </c>
      <c r="N411" s="5" t="s">
        <v>1674</v>
      </c>
      <c r="O411" s="5" t="s">
        <v>1664</v>
      </c>
      <c r="P411">
        <v>1</v>
      </c>
      <c r="Q411" t="s">
        <v>1660</v>
      </c>
    </row>
    <row r="412" spans="1:18" x14ac:dyDescent="0.35">
      <c r="A412" s="5" t="s">
        <v>810</v>
      </c>
      <c r="B412" s="6">
        <v>46044</v>
      </c>
      <c r="C412" s="5" t="s">
        <v>776</v>
      </c>
      <c r="D412" s="5" t="s">
        <v>197</v>
      </c>
      <c r="E412" s="5" t="s">
        <v>588</v>
      </c>
      <c r="F412" s="5" t="s">
        <v>17</v>
      </c>
      <c r="G412">
        <v>0.39930555555555558</v>
      </c>
      <c r="H412">
        <v>0.40763888888888888</v>
      </c>
      <c r="I412">
        <v>13</v>
      </c>
      <c r="J412" s="5" t="s">
        <v>18</v>
      </c>
      <c r="K412" s="5" t="s">
        <v>19</v>
      </c>
      <c r="L412">
        <v>1389</v>
      </c>
      <c r="M412" s="5">
        <v>12</v>
      </c>
      <c r="N412" s="5" t="s">
        <v>1674</v>
      </c>
      <c r="O412" s="5" t="s">
        <v>1664</v>
      </c>
      <c r="P412">
        <v>1</v>
      </c>
      <c r="Q412" t="s">
        <v>1660</v>
      </c>
    </row>
    <row r="413" spans="1:18" x14ac:dyDescent="0.35">
      <c r="A413" s="5" t="s">
        <v>811</v>
      </c>
      <c r="B413" s="6">
        <v>46044</v>
      </c>
      <c r="C413" s="5" t="s">
        <v>812</v>
      </c>
      <c r="D413" s="5" t="s">
        <v>226</v>
      </c>
      <c r="E413" s="5" t="s">
        <v>413</v>
      </c>
      <c r="F413" s="5" t="s">
        <v>24</v>
      </c>
      <c r="G413">
        <v>0.71180555555555558</v>
      </c>
      <c r="H413">
        <v>0.78055555555555556</v>
      </c>
      <c r="I413">
        <v>100</v>
      </c>
      <c r="J413" s="5" t="s">
        <v>129</v>
      </c>
      <c r="K413" s="5" t="s">
        <v>19</v>
      </c>
      <c r="L413">
        <v>861</v>
      </c>
      <c r="M413" s="5">
        <v>99</v>
      </c>
      <c r="N413" s="5" t="s">
        <v>1674</v>
      </c>
      <c r="O413" s="5" t="s">
        <v>1664</v>
      </c>
      <c r="P413">
        <v>0</v>
      </c>
      <c r="Q413" t="s">
        <v>1665</v>
      </c>
      <c r="R413" t="s">
        <v>1670</v>
      </c>
    </row>
    <row r="414" spans="1:18" x14ac:dyDescent="0.35">
      <c r="A414" s="5" t="s">
        <v>813</v>
      </c>
      <c r="B414" s="6">
        <v>46045</v>
      </c>
      <c r="C414" s="5" t="s">
        <v>607</v>
      </c>
      <c r="D414" s="5" t="s">
        <v>71</v>
      </c>
      <c r="E414" s="5" t="s">
        <v>79</v>
      </c>
      <c r="F414" s="5" t="s">
        <v>17</v>
      </c>
      <c r="G414">
        <v>0.21527777777777779</v>
      </c>
      <c r="H414">
        <v>0.21319444444444441</v>
      </c>
      <c r="I414">
        <v>-6</v>
      </c>
      <c r="J414" s="5" t="s">
        <v>18</v>
      </c>
      <c r="K414" s="5" t="s">
        <v>19</v>
      </c>
      <c r="L414">
        <v>606</v>
      </c>
      <c r="M414" s="5">
        <v>-3</v>
      </c>
      <c r="N414" s="5" t="s">
        <v>1674</v>
      </c>
      <c r="O414" s="5" t="s">
        <v>1666</v>
      </c>
      <c r="P414">
        <v>1</v>
      </c>
      <c r="Q414" t="s">
        <v>1660</v>
      </c>
    </row>
    <row r="415" spans="1:18" x14ac:dyDescent="0.35">
      <c r="A415" s="5" t="s">
        <v>814</v>
      </c>
      <c r="B415" s="6">
        <v>46045</v>
      </c>
      <c r="C415" s="5" t="s">
        <v>815</v>
      </c>
      <c r="D415" s="5" t="s">
        <v>588</v>
      </c>
      <c r="E415" s="5" t="s">
        <v>1549</v>
      </c>
      <c r="F415" s="5" t="s">
        <v>38</v>
      </c>
      <c r="G415">
        <v>0.40625</v>
      </c>
      <c r="H415">
        <v>0.40833333333333333</v>
      </c>
      <c r="I415">
        <v>13</v>
      </c>
      <c r="J415" s="5" t="s">
        <v>18</v>
      </c>
      <c r="K415" s="5" t="s">
        <v>19</v>
      </c>
      <c r="L415">
        <v>1559</v>
      </c>
      <c r="M415" s="5">
        <v>3</v>
      </c>
      <c r="N415" s="5" t="s">
        <v>1674</v>
      </c>
      <c r="O415" s="5" t="s">
        <v>1666</v>
      </c>
      <c r="P415">
        <v>1</v>
      </c>
      <c r="Q415" t="s">
        <v>1660</v>
      </c>
    </row>
    <row r="416" spans="1:18" x14ac:dyDescent="0.35">
      <c r="A416" s="5" t="s">
        <v>816</v>
      </c>
      <c r="B416" s="6">
        <v>46046</v>
      </c>
      <c r="C416" s="5" t="s">
        <v>817</v>
      </c>
      <c r="D416" s="5" t="s">
        <v>1549</v>
      </c>
      <c r="E416" s="5" t="s">
        <v>588</v>
      </c>
      <c r="F416" s="5" t="s">
        <v>24</v>
      </c>
      <c r="G416">
        <v>0.84375</v>
      </c>
      <c r="H416">
        <v>0.84722222222222221</v>
      </c>
      <c r="I416">
        <v>7</v>
      </c>
      <c r="J416" s="5" t="s">
        <v>18</v>
      </c>
      <c r="K416" s="5" t="s">
        <v>19</v>
      </c>
      <c r="L416">
        <v>1559</v>
      </c>
      <c r="M416" s="5">
        <v>5</v>
      </c>
      <c r="N416" s="5" t="s">
        <v>1674</v>
      </c>
      <c r="O416" s="5" t="s">
        <v>1667</v>
      </c>
      <c r="P416">
        <v>1</v>
      </c>
      <c r="Q416" t="s">
        <v>1665</v>
      </c>
    </row>
    <row r="417" spans="1:18" x14ac:dyDescent="0.35">
      <c r="A417" s="5" t="s">
        <v>818</v>
      </c>
      <c r="B417" s="6">
        <v>46047</v>
      </c>
      <c r="C417" s="5" t="s">
        <v>819</v>
      </c>
      <c r="D417" s="5" t="s">
        <v>413</v>
      </c>
      <c r="E417" s="5" t="s">
        <v>546</v>
      </c>
      <c r="F417" s="5" t="s">
        <v>17</v>
      </c>
      <c r="G417">
        <v>0.45833333333333331</v>
      </c>
      <c r="H417">
        <v>0.46041666666666659</v>
      </c>
      <c r="I417">
        <v>0</v>
      </c>
      <c r="J417" s="5" t="s">
        <v>18</v>
      </c>
      <c r="K417" s="5" t="s">
        <v>19</v>
      </c>
      <c r="L417">
        <v>236</v>
      </c>
      <c r="M417" s="5">
        <v>3</v>
      </c>
      <c r="N417" s="5" t="s">
        <v>1674</v>
      </c>
      <c r="O417" s="5" t="s">
        <v>1668</v>
      </c>
      <c r="P417">
        <v>1</v>
      </c>
      <c r="Q417" t="s">
        <v>1660</v>
      </c>
    </row>
    <row r="418" spans="1:18" x14ac:dyDescent="0.35">
      <c r="A418" s="5" t="s">
        <v>820</v>
      </c>
      <c r="B418" s="6">
        <v>46047</v>
      </c>
      <c r="C418" s="5" t="s">
        <v>821</v>
      </c>
      <c r="D418" s="5" t="s">
        <v>226</v>
      </c>
      <c r="E418" s="5" t="s">
        <v>79</v>
      </c>
      <c r="F418" s="5" t="s">
        <v>24</v>
      </c>
      <c r="G418">
        <v>0.51041666666666663</v>
      </c>
      <c r="H418">
        <v>0.51666666666666672</v>
      </c>
      <c r="I418">
        <v>5</v>
      </c>
      <c r="J418" s="5" t="s">
        <v>18</v>
      </c>
      <c r="K418" s="5" t="s">
        <v>19</v>
      </c>
      <c r="L418">
        <v>1197</v>
      </c>
      <c r="M418" s="5">
        <v>9</v>
      </c>
      <c r="N418" s="5" t="s">
        <v>1674</v>
      </c>
      <c r="O418" s="5" t="s">
        <v>1668</v>
      </c>
      <c r="P418">
        <v>1</v>
      </c>
      <c r="Q418" t="s">
        <v>1663</v>
      </c>
    </row>
    <row r="419" spans="1:18" x14ac:dyDescent="0.35">
      <c r="A419" s="5" t="s">
        <v>822</v>
      </c>
      <c r="B419" s="6">
        <v>46047</v>
      </c>
      <c r="C419" s="5" t="s">
        <v>823</v>
      </c>
      <c r="D419" s="5" t="s">
        <v>79</v>
      </c>
      <c r="E419" s="5" t="s">
        <v>71</v>
      </c>
      <c r="F419" s="5" t="s">
        <v>24</v>
      </c>
      <c r="G419">
        <v>0.73263888888888884</v>
      </c>
      <c r="H419">
        <v>0.76041666666666663</v>
      </c>
      <c r="I419">
        <v>33</v>
      </c>
      <c r="J419" s="5" t="s">
        <v>129</v>
      </c>
      <c r="K419" s="5" t="s">
        <v>19</v>
      </c>
      <c r="L419">
        <v>606</v>
      </c>
      <c r="M419" s="5">
        <v>40</v>
      </c>
      <c r="N419" s="5" t="s">
        <v>1674</v>
      </c>
      <c r="O419" s="5" t="s">
        <v>1668</v>
      </c>
      <c r="P419">
        <v>0</v>
      </c>
      <c r="Q419" t="s">
        <v>1665</v>
      </c>
      <c r="R419" t="s">
        <v>1670</v>
      </c>
    </row>
    <row r="420" spans="1:18" x14ac:dyDescent="0.35">
      <c r="A420" s="5" t="s">
        <v>824</v>
      </c>
      <c r="B420" s="6">
        <v>46047</v>
      </c>
      <c r="C420" s="5" t="s">
        <v>236</v>
      </c>
      <c r="D420" s="5" t="s">
        <v>1171</v>
      </c>
      <c r="E420" s="5" t="s">
        <v>226</v>
      </c>
      <c r="F420" s="5" t="s">
        <v>28</v>
      </c>
      <c r="G420">
        <v>0.76041666666666663</v>
      </c>
      <c r="H420">
        <v>0.76527777777777772</v>
      </c>
      <c r="I420">
        <v>8</v>
      </c>
      <c r="J420" s="5" t="s">
        <v>18</v>
      </c>
      <c r="K420" s="5" t="s">
        <v>19</v>
      </c>
      <c r="L420">
        <v>602</v>
      </c>
      <c r="M420" s="5">
        <v>7</v>
      </c>
      <c r="N420" s="5" t="s">
        <v>1674</v>
      </c>
      <c r="O420" s="5" t="s">
        <v>1668</v>
      </c>
      <c r="P420">
        <v>1</v>
      </c>
      <c r="Q420" t="s">
        <v>1665</v>
      </c>
    </row>
    <row r="421" spans="1:18" x14ac:dyDescent="0.35">
      <c r="A421" s="5" t="s">
        <v>825</v>
      </c>
      <c r="B421" s="6">
        <v>46048</v>
      </c>
      <c r="C421" s="5" t="s">
        <v>161</v>
      </c>
      <c r="D421" s="5" t="s">
        <v>71</v>
      </c>
      <c r="E421" s="5" t="s">
        <v>1295</v>
      </c>
      <c r="F421" s="5" t="s">
        <v>28</v>
      </c>
      <c r="G421">
        <v>0.4201388888888889</v>
      </c>
      <c r="H421">
        <v>0.42083333333333328</v>
      </c>
      <c r="I421">
        <v>11</v>
      </c>
      <c r="J421" s="5" t="s">
        <v>18</v>
      </c>
      <c r="K421" s="5" t="s">
        <v>19</v>
      </c>
      <c r="L421">
        <v>1842</v>
      </c>
      <c r="M421" s="5">
        <v>1</v>
      </c>
      <c r="N421" s="5" t="s">
        <v>1674</v>
      </c>
      <c r="O421" s="5" t="s">
        <v>1659</v>
      </c>
      <c r="P421">
        <v>1</v>
      </c>
      <c r="Q421" t="s">
        <v>1660</v>
      </c>
    </row>
    <row r="422" spans="1:18" x14ac:dyDescent="0.35">
      <c r="A422" s="5" t="s">
        <v>826</v>
      </c>
      <c r="B422" s="6">
        <v>46048</v>
      </c>
      <c r="C422" s="5" t="s">
        <v>827</v>
      </c>
      <c r="D422" s="5" t="s">
        <v>79</v>
      </c>
      <c r="E422" s="5" t="s">
        <v>546</v>
      </c>
      <c r="F422" s="5" t="s">
        <v>17</v>
      </c>
      <c r="G422">
        <v>0.86111111111111116</v>
      </c>
      <c r="H422">
        <v>0.8618055555555556</v>
      </c>
      <c r="I422">
        <v>-10</v>
      </c>
      <c r="J422" s="5" t="s">
        <v>18</v>
      </c>
      <c r="K422" s="5" t="s">
        <v>19</v>
      </c>
      <c r="L422">
        <v>1743</v>
      </c>
      <c r="M422" s="5">
        <v>1</v>
      </c>
      <c r="N422" s="5" t="s">
        <v>1674</v>
      </c>
      <c r="O422" s="5" t="s">
        <v>1659</v>
      </c>
      <c r="P422">
        <v>1</v>
      </c>
      <c r="Q422" t="s">
        <v>1665</v>
      </c>
    </row>
    <row r="423" spans="1:18" x14ac:dyDescent="0.35">
      <c r="A423" s="5" t="s">
        <v>828</v>
      </c>
      <c r="B423" s="6">
        <v>46049</v>
      </c>
      <c r="C423" s="5" t="s">
        <v>829</v>
      </c>
      <c r="D423" s="5" t="s">
        <v>71</v>
      </c>
      <c r="E423" s="5" t="s">
        <v>79</v>
      </c>
      <c r="F423" s="5" t="s">
        <v>24</v>
      </c>
      <c r="G423">
        <v>0.53125</v>
      </c>
      <c r="H423">
        <v>0.53680555555555554</v>
      </c>
      <c r="I423">
        <v>11</v>
      </c>
      <c r="J423" s="5" t="s">
        <v>18</v>
      </c>
      <c r="K423" s="5" t="s">
        <v>19</v>
      </c>
      <c r="L423">
        <v>606</v>
      </c>
      <c r="M423" s="5">
        <v>8</v>
      </c>
      <c r="N423" s="5" t="s">
        <v>1674</v>
      </c>
      <c r="O423" s="5" t="s">
        <v>1661</v>
      </c>
      <c r="P423">
        <v>1</v>
      </c>
      <c r="Q423" t="s">
        <v>1663</v>
      </c>
    </row>
    <row r="424" spans="1:18" x14ac:dyDescent="0.35">
      <c r="A424" s="5" t="s">
        <v>830</v>
      </c>
      <c r="B424" s="6">
        <v>46049</v>
      </c>
      <c r="C424" s="5" t="s">
        <v>831</v>
      </c>
      <c r="D424" s="5" t="s">
        <v>202</v>
      </c>
      <c r="E424" s="5" t="s">
        <v>1171</v>
      </c>
      <c r="F424" s="5" t="s">
        <v>17</v>
      </c>
      <c r="G424">
        <v>0.64930555555555558</v>
      </c>
      <c r="H424">
        <v>0.67361111111111116</v>
      </c>
      <c r="I424">
        <v>42</v>
      </c>
      <c r="J424" s="5" t="s">
        <v>60</v>
      </c>
      <c r="K424" s="5" t="s">
        <v>19</v>
      </c>
      <c r="L424">
        <v>1969</v>
      </c>
      <c r="M424" s="5">
        <v>35</v>
      </c>
      <c r="N424" s="5" t="s">
        <v>1674</v>
      </c>
      <c r="O424" s="5" t="s">
        <v>1661</v>
      </c>
      <c r="P424">
        <v>0</v>
      </c>
      <c r="Q424" t="s">
        <v>1663</v>
      </c>
      <c r="R424" t="s">
        <v>1657</v>
      </c>
    </row>
    <row r="425" spans="1:18" x14ac:dyDescent="0.35">
      <c r="A425" s="5" t="s">
        <v>832</v>
      </c>
      <c r="B425" s="6">
        <v>46051</v>
      </c>
      <c r="C425" s="5" t="s">
        <v>833</v>
      </c>
      <c r="D425" s="5" t="s">
        <v>588</v>
      </c>
      <c r="E425" s="5" t="s">
        <v>202</v>
      </c>
      <c r="F425" s="5" t="s">
        <v>24</v>
      </c>
      <c r="G425">
        <v>0.35069444444444442</v>
      </c>
      <c r="H425">
        <v>0.34930555555555548</v>
      </c>
      <c r="I425">
        <v>-11</v>
      </c>
      <c r="J425" s="5" t="s">
        <v>18</v>
      </c>
      <c r="K425" s="5" t="s">
        <v>19</v>
      </c>
      <c r="L425">
        <v>1120</v>
      </c>
      <c r="M425" s="5">
        <v>-2</v>
      </c>
      <c r="N425" s="5" t="s">
        <v>1674</v>
      </c>
      <c r="O425" s="5" t="s">
        <v>1664</v>
      </c>
      <c r="P425">
        <v>1</v>
      </c>
      <c r="Q425" t="s">
        <v>1660</v>
      </c>
    </row>
    <row r="426" spans="1:18" x14ac:dyDescent="0.35">
      <c r="A426" s="5" t="s">
        <v>834</v>
      </c>
      <c r="B426" s="6">
        <v>46051</v>
      </c>
      <c r="C426" s="5" t="s">
        <v>835</v>
      </c>
      <c r="D426" s="5" t="s">
        <v>79</v>
      </c>
      <c r="E426" s="5" t="s">
        <v>1171</v>
      </c>
      <c r="F426" s="5" t="s">
        <v>17</v>
      </c>
      <c r="G426">
        <v>0.67013888888888884</v>
      </c>
      <c r="H426">
        <v>0.67083333333333328</v>
      </c>
      <c r="I426">
        <v>-10</v>
      </c>
      <c r="J426" s="5" t="s">
        <v>18</v>
      </c>
      <c r="K426" s="5" t="s">
        <v>19</v>
      </c>
      <c r="L426">
        <v>1584</v>
      </c>
      <c r="M426" s="5">
        <v>1</v>
      </c>
      <c r="N426" s="5" t="s">
        <v>1674</v>
      </c>
      <c r="O426" s="5" t="s">
        <v>1664</v>
      </c>
      <c r="P426">
        <v>1</v>
      </c>
      <c r="Q426" t="s">
        <v>1663</v>
      </c>
    </row>
    <row r="427" spans="1:18" x14ac:dyDescent="0.35">
      <c r="A427" s="5" t="s">
        <v>836</v>
      </c>
      <c r="B427" s="6">
        <v>46051</v>
      </c>
      <c r="C427" s="5" t="s">
        <v>837</v>
      </c>
      <c r="D427" s="5" t="s">
        <v>588</v>
      </c>
      <c r="E427" s="5" t="s">
        <v>197</v>
      </c>
      <c r="F427" s="5" t="s">
        <v>38</v>
      </c>
      <c r="G427">
        <v>0.8125</v>
      </c>
      <c r="H427">
        <v>0.80694444444444446</v>
      </c>
      <c r="I427">
        <v>-6</v>
      </c>
      <c r="J427" s="5" t="s">
        <v>18</v>
      </c>
      <c r="K427" s="5" t="s">
        <v>19</v>
      </c>
      <c r="L427">
        <v>1389</v>
      </c>
      <c r="M427" s="5">
        <v>-8</v>
      </c>
      <c r="N427" s="5" t="s">
        <v>1674</v>
      </c>
      <c r="O427" s="5" t="s">
        <v>1664</v>
      </c>
      <c r="P427">
        <v>1</v>
      </c>
      <c r="Q427" t="s">
        <v>1665</v>
      </c>
    </row>
    <row r="428" spans="1:18" x14ac:dyDescent="0.35">
      <c r="A428" s="5" t="s">
        <v>838</v>
      </c>
      <c r="B428" s="6">
        <v>46051</v>
      </c>
      <c r="C428" s="5" t="s">
        <v>839</v>
      </c>
      <c r="D428" s="5" t="s">
        <v>1549</v>
      </c>
      <c r="E428" s="5" t="s">
        <v>413</v>
      </c>
      <c r="F428" s="5" t="s">
        <v>24</v>
      </c>
      <c r="G428">
        <v>0.84027777777777779</v>
      </c>
      <c r="H428">
        <v>0.84027777777777779</v>
      </c>
      <c r="I428">
        <v>-4</v>
      </c>
      <c r="J428" s="5" t="s">
        <v>18</v>
      </c>
      <c r="K428" s="5" t="s">
        <v>19</v>
      </c>
      <c r="L428">
        <v>2606</v>
      </c>
      <c r="M428" s="5">
        <v>0</v>
      </c>
      <c r="N428" s="5" t="s">
        <v>1674</v>
      </c>
      <c r="O428" s="5" t="s">
        <v>1664</v>
      </c>
      <c r="P428">
        <v>1</v>
      </c>
      <c r="Q428" t="s">
        <v>1665</v>
      </c>
    </row>
    <row r="429" spans="1:18" x14ac:dyDescent="0.35">
      <c r="A429" s="5" t="s">
        <v>840</v>
      </c>
      <c r="B429" s="6">
        <v>46052</v>
      </c>
      <c r="C429" s="5" t="s">
        <v>841</v>
      </c>
      <c r="D429" s="5" t="s">
        <v>197</v>
      </c>
      <c r="E429" s="5" t="s">
        <v>202</v>
      </c>
      <c r="F429" s="5" t="s">
        <v>28</v>
      </c>
      <c r="G429">
        <v>0.46180555555555558</v>
      </c>
      <c r="H429">
        <v>0.45624999999999999</v>
      </c>
      <c r="I429">
        <v>-20</v>
      </c>
      <c r="J429" s="5" t="s">
        <v>18</v>
      </c>
      <c r="K429" s="5" t="s">
        <v>19</v>
      </c>
      <c r="L429">
        <v>1092</v>
      </c>
      <c r="M429" s="5">
        <v>-8</v>
      </c>
      <c r="N429" s="5" t="s">
        <v>1674</v>
      </c>
      <c r="O429" s="5" t="s">
        <v>1666</v>
      </c>
      <c r="P429">
        <v>1</v>
      </c>
      <c r="Q429" t="s">
        <v>1660</v>
      </c>
    </row>
    <row r="430" spans="1:18" x14ac:dyDescent="0.35">
      <c r="A430" s="5" t="s">
        <v>842</v>
      </c>
      <c r="B430" s="6">
        <v>46053</v>
      </c>
      <c r="C430" s="5" t="s">
        <v>843</v>
      </c>
      <c r="D430" s="5" t="s">
        <v>1171</v>
      </c>
      <c r="E430" s="5" t="s">
        <v>79</v>
      </c>
      <c r="F430" s="5" t="s">
        <v>24</v>
      </c>
      <c r="G430">
        <v>0.46180555555555558</v>
      </c>
      <c r="H430">
        <v>0.4861111111111111</v>
      </c>
      <c r="I430">
        <v>35</v>
      </c>
      <c r="J430" s="5" t="s">
        <v>129</v>
      </c>
      <c r="K430" s="5" t="s">
        <v>19</v>
      </c>
      <c r="L430">
        <v>1584</v>
      </c>
      <c r="M430" s="5">
        <v>35</v>
      </c>
      <c r="N430" s="5" t="s">
        <v>1674</v>
      </c>
      <c r="O430" s="5" t="s">
        <v>1667</v>
      </c>
      <c r="P430">
        <v>0</v>
      </c>
      <c r="Q430" t="s">
        <v>1660</v>
      </c>
      <c r="R430" t="s">
        <v>1670</v>
      </c>
    </row>
    <row r="431" spans="1:18" x14ac:dyDescent="0.35">
      <c r="A431" s="5" t="s">
        <v>844</v>
      </c>
      <c r="B431" s="6">
        <v>46053</v>
      </c>
      <c r="C431" s="5" t="s">
        <v>845</v>
      </c>
      <c r="D431" s="5" t="s">
        <v>79</v>
      </c>
      <c r="E431" s="5" t="s">
        <v>71</v>
      </c>
      <c r="F431" s="5" t="s">
        <v>28</v>
      </c>
      <c r="G431">
        <v>0.625</v>
      </c>
      <c r="H431">
        <v>0.62986111111111109</v>
      </c>
      <c r="I431">
        <v>15</v>
      </c>
      <c r="J431" s="5" t="s">
        <v>18</v>
      </c>
      <c r="K431" s="5" t="s">
        <v>19</v>
      </c>
      <c r="L431">
        <v>606</v>
      </c>
      <c r="M431" s="5">
        <v>7</v>
      </c>
      <c r="N431" s="5" t="s">
        <v>1674</v>
      </c>
      <c r="O431" s="5" t="s">
        <v>1667</v>
      </c>
      <c r="P431">
        <v>1</v>
      </c>
      <c r="Q431" t="s">
        <v>1663</v>
      </c>
    </row>
    <row r="432" spans="1:18" x14ac:dyDescent="0.35">
      <c r="A432" s="5" t="s">
        <v>846</v>
      </c>
      <c r="B432" s="6">
        <v>46053</v>
      </c>
      <c r="C432" s="5" t="s">
        <v>847</v>
      </c>
      <c r="D432" s="5" t="s">
        <v>79</v>
      </c>
      <c r="E432" s="5" t="s">
        <v>197</v>
      </c>
      <c r="F432" s="5" t="s">
        <v>24</v>
      </c>
      <c r="G432">
        <v>0.64583333333333337</v>
      </c>
      <c r="H432">
        <v>0.64513888888888893</v>
      </c>
      <c r="I432">
        <v>-6</v>
      </c>
      <c r="J432" s="5" t="s">
        <v>18</v>
      </c>
      <c r="K432" s="5" t="s">
        <v>19</v>
      </c>
      <c r="L432">
        <v>759</v>
      </c>
      <c r="M432" s="5">
        <v>-1</v>
      </c>
      <c r="N432" s="5" t="s">
        <v>1674</v>
      </c>
      <c r="O432" s="5" t="s">
        <v>1667</v>
      </c>
      <c r="P432">
        <v>1</v>
      </c>
      <c r="Q432" t="s">
        <v>1663</v>
      </c>
    </row>
    <row r="433" spans="1:18" x14ac:dyDescent="0.35">
      <c r="A433" s="5" t="s">
        <v>848</v>
      </c>
      <c r="B433" s="6">
        <v>46053</v>
      </c>
      <c r="C433" s="5" t="s">
        <v>849</v>
      </c>
      <c r="D433" s="5" t="s">
        <v>588</v>
      </c>
      <c r="E433" s="5" t="s">
        <v>226</v>
      </c>
      <c r="F433" s="5" t="s">
        <v>24</v>
      </c>
      <c r="G433">
        <v>0.65277777777777779</v>
      </c>
      <c r="H433">
        <v>0.6694444444444444</v>
      </c>
      <c r="I433">
        <v>25</v>
      </c>
      <c r="J433" s="5" t="s">
        <v>129</v>
      </c>
      <c r="K433" s="5" t="s">
        <v>19</v>
      </c>
      <c r="L433">
        <v>641</v>
      </c>
      <c r="M433" s="5">
        <v>24</v>
      </c>
      <c r="N433" s="5" t="s">
        <v>1674</v>
      </c>
      <c r="O433" s="5" t="s">
        <v>1667</v>
      </c>
      <c r="P433">
        <v>0</v>
      </c>
      <c r="Q433" t="s">
        <v>1663</v>
      </c>
      <c r="R433" t="s">
        <v>1670</v>
      </c>
    </row>
    <row r="434" spans="1:18" x14ac:dyDescent="0.35">
      <c r="A434" s="5" t="s">
        <v>850</v>
      </c>
      <c r="B434" s="6">
        <v>46053</v>
      </c>
      <c r="C434" s="5" t="s">
        <v>851</v>
      </c>
      <c r="D434" s="5" t="s">
        <v>588</v>
      </c>
      <c r="E434" s="5" t="s">
        <v>1295</v>
      </c>
      <c r="F434" s="5" t="s">
        <v>17</v>
      </c>
      <c r="G434">
        <v>0.69444444444444442</v>
      </c>
      <c r="H434">
        <v>0.70277777777777772</v>
      </c>
      <c r="I434">
        <v>18</v>
      </c>
      <c r="J434" s="5" t="s">
        <v>18</v>
      </c>
      <c r="K434" s="5" t="s">
        <v>19</v>
      </c>
      <c r="L434">
        <v>1462</v>
      </c>
      <c r="M434" s="5">
        <v>12</v>
      </c>
      <c r="N434" s="5" t="s">
        <v>1674</v>
      </c>
      <c r="O434" s="5" t="s">
        <v>1667</v>
      </c>
      <c r="P434">
        <v>0</v>
      </c>
      <c r="Q434" t="s">
        <v>1663</v>
      </c>
    </row>
    <row r="435" spans="1:18" x14ac:dyDescent="0.35">
      <c r="A435" s="5" t="s">
        <v>852</v>
      </c>
      <c r="B435" s="6">
        <v>46054</v>
      </c>
      <c r="C435" s="5" t="s">
        <v>853</v>
      </c>
      <c r="D435" s="5" t="s">
        <v>79</v>
      </c>
      <c r="E435" s="5" t="s">
        <v>588</v>
      </c>
      <c r="F435" s="5" t="s">
        <v>17</v>
      </c>
      <c r="G435">
        <v>0.36458333333333331</v>
      </c>
      <c r="H435">
        <v>0.37152777777777779</v>
      </c>
      <c r="I435">
        <v>20</v>
      </c>
      <c r="J435" s="5" t="s">
        <v>18</v>
      </c>
      <c r="K435" s="5" t="s">
        <v>19</v>
      </c>
      <c r="L435">
        <v>730</v>
      </c>
      <c r="M435" s="5">
        <v>10</v>
      </c>
      <c r="N435" s="5" t="s">
        <v>1675</v>
      </c>
      <c r="O435" s="5" t="s">
        <v>1668</v>
      </c>
      <c r="P435">
        <v>0</v>
      </c>
      <c r="Q435" t="s">
        <v>1660</v>
      </c>
    </row>
    <row r="436" spans="1:18" x14ac:dyDescent="0.35">
      <c r="A436" s="5" t="s">
        <v>854</v>
      </c>
      <c r="B436" s="6">
        <v>46054</v>
      </c>
      <c r="C436" s="5" t="s">
        <v>855</v>
      </c>
      <c r="D436" s="5" t="s">
        <v>226</v>
      </c>
      <c r="E436" s="5" t="s">
        <v>413</v>
      </c>
      <c r="F436" s="5" t="s">
        <v>28</v>
      </c>
      <c r="G436">
        <v>0.64236111111111116</v>
      </c>
      <c r="H436">
        <v>0.74444444444444446</v>
      </c>
      <c r="I436">
        <v>155</v>
      </c>
      <c r="J436" s="5" t="s">
        <v>54</v>
      </c>
      <c r="K436" s="5" t="s">
        <v>19</v>
      </c>
      <c r="L436">
        <v>861</v>
      </c>
      <c r="M436" s="5">
        <v>147</v>
      </c>
      <c r="N436" s="5" t="s">
        <v>1675</v>
      </c>
      <c r="O436" s="5" t="s">
        <v>1668</v>
      </c>
      <c r="P436">
        <v>0</v>
      </c>
      <c r="Q436" t="s">
        <v>1663</v>
      </c>
      <c r="R436" t="s">
        <v>1657</v>
      </c>
    </row>
    <row r="437" spans="1:18" x14ac:dyDescent="0.35">
      <c r="A437" s="5" t="s">
        <v>856</v>
      </c>
      <c r="B437" s="6">
        <v>46054</v>
      </c>
      <c r="C437" s="5" t="s">
        <v>857</v>
      </c>
      <c r="D437" s="5" t="s">
        <v>197</v>
      </c>
      <c r="E437" s="5" t="s">
        <v>413</v>
      </c>
      <c r="F437" s="5" t="s">
        <v>24</v>
      </c>
      <c r="G437">
        <v>0.80208333333333337</v>
      </c>
      <c r="H437">
        <v>0.80763888888888891</v>
      </c>
      <c r="I437">
        <v>7</v>
      </c>
      <c r="J437" s="5" t="s">
        <v>18</v>
      </c>
      <c r="K437" s="5" t="s">
        <v>19</v>
      </c>
      <c r="L437">
        <v>2470</v>
      </c>
      <c r="M437" s="5">
        <v>8</v>
      </c>
      <c r="N437" s="5" t="s">
        <v>1675</v>
      </c>
      <c r="O437" s="5" t="s">
        <v>1668</v>
      </c>
      <c r="P437">
        <v>1</v>
      </c>
      <c r="Q437" t="s">
        <v>1665</v>
      </c>
    </row>
    <row r="438" spans="1:18" x14ac:dyDescent="0.35">
      <c r="A438" s="5" t="s">
        <v>858</v>
      </c>
      <c r="B438" s="6">
        <v>46055</v>
      </c>
      <c r="C438" s="5" t="s">
        <v>859</v>
      </c>
      <c r="D438" s="5" t="s">
        <v>71</v>
      </c>
      <c r="E438" s="5" t="s">
        <v>226</v>
      </c>
      <c r="F438" s="5" t="s">
        <v>17</v>
      </c>
      <c r="G438">
        <v>0.3611111111111111</v>
      </c>
      <c r="H438">
        <v>0.35694444444444451</v>
      </c>
      <c r="I438">
        <v>-13</v>
      </c>
      <c r="J438" s="5" t="s">
        <v>18</v>
      </c>
      <c r="K438" s="5" t="s">
        <v>19</v>
      </c>
      <c r="L438">
        <v>886</v>
      </c>
      <c r="M438" s="5">
        <v>-6</v>
      </c>
      <c r="N438" s="5" t="s">
        <v>1675</v>
      </c>
      <c r="O438" s="5" t="s">
        <v>1659</v>
      </c>
      <c r="P438">
        <v>1</v>
      </c>
      <c r="Q438" t="s">
        <v>1660</v>
      </c>
    </row>
    <row r="439" spans="1:18" x14ac:dyDescent="0.35">
      <c r="A439" s="5" t="s">
        <v>860</v>
      </c>
      <c r="B439" s="6">
        <v>46055</v>
      </c>
      <c r="C439" s="5" t="s">
        <v>205</v>
      </c>
      <c r="D439" s="5" t="s">
        <v>588</v>
      </c>
      <c r="E439" s="5" t="s">
        <v>71</v>
      </c>
      <c r="F439" s="5" t="s">
        <v>28</v>
      </c>
      <c r="G439">
        <v>0.4548611111111111</v>
      </c>
      <c r="H439">
        <v>0.45902777777777781</v>
      </c>
      <c r="I439">
        <v>15</v>
      </c>
      <c r="J439" s="5" t="s">
        <v>18</v>
      </c>
      <c r="K439" s="5" t="s">
        <v>19</v>
      </c>
      <c r="L439">
        <v>802</v>
      </c>
      <c r="M439" s="5">
        <v>6</v>
      </c>
      <c r="N439" s="5" t="s">
        <v>1675</v>
      </c>
      <c r="O439" s="5" t="s">
        <v>1659</v>
      </c>
      <c r="P439">
        <v>1</v>
      </c>
      <c r="Q439" t="s">
        <v>1660</v>
      </c>
    </row>
    <row r="440" spans="1:18" x14ac:dyDescent="0.35">
      <c r="A440" s="5" t="s">
        <v>861</v>
      </c>
      <c r="B440" s="6">
        <v>46055</v>
      </c>
      <c r="C440" s="5" t="s">
        <v>862</v>
      </c>
      <c r="D440" s="5" t="s">
        <v>79</v>
      </c>
      <c r="E440" s="5" t="s">
        <v>226</v>
      </c>
      <c r="F440" s="5" t="s">
        <v>17</v>
      </c>
      <c r="G440">
        <v>0.56944444444444442</v>
      </c>
      <c r="H440">
        <v>0.62777777777777777</v>
      </c>
      <c r="I440">
        <v>77</v>
      </c>
      <c r="J440" s="5" t="s">
        <v>54</v>
      </c>
      <c r="K440" s="5" t="s">
        <v>19</v>
      </c>
      <c r="L440">
        <v>1197</v>
      </c>
      <c r="M440" s="5">
        <v>84</v>
      </c>
      <c r="N440" s="5" t="s">
        <v>1675</v>
      </c>
      <c r="O440" s="5" t="s">
        <v>1659</v>
      </c>
      <c r="P440">
        <v>0</v>
      </c>
      <c r="Q440" t="s">
        <v>1663</v>
      </c>
      <c r="R440" t="s">
        <v>1657</v>
      </c>
    </row>
    <row r="441" spans="1:18" x14ac:dyDescent="0.35">
      <c r="A441" s="5" t="s">
        <v>863</v>
      </c>
      <c r="B441" s="6">
        <v>46055</v>
      </c>
      <c r="C441" s="5" t="s">
        <v>864</v>
      </c>
      <c r="D441" s="5" t="s">
        <v>1549</v>
      </c>
      <c r="E441" s="5" t="s">
        <v>79</v>
      </c>
      <c r="F441" s="5" t="s">
        <v>38</v>
      </c>
      <c r="G441">
        <v>0.68402777777777779</v>
      </c>
      <c r="H441">
        <v>0.68541666666666667</v>
      </c>
      <c r="I441">
        <v>2</v>
      </c>
      <c r="J441" s="5" t="s">
        <v>18</v>
      </c>
      <c r="K441" s="5" t="s">
        <v>19</v>
      </c>
      <c r="L441">
        <v>945</v>
      </c>
      <c r="M441" s="5">
        <v>2</v>
      </c>
      <c r="N441" s="5" t="s">
        <v>1675</v>
      </c>
      <c r="O441" s="5" t="s">
        <v>1659</v>
      </c>
      <c r="P441">
        <v>1</v>
      </c>
      <c r="Q441" t="s">
        <v>1663</v>
      </c>
    </row>
    <row r="442" spans="1:18" x14ac:dyDescent="0.35">
      <c r="A442" s="5" t="s">
        <v>865</v>
      </c>
      <c r="B442" s="6">
        <v>46055</v>
      </c>
      <c r="C442" s="5" t="s">
        <v>866</v>
      </c>
      <c r="D442" s="5" t="s">
        <v>79</v>
      </c>
      <c r="E442" s="5" t="s">
        <v>546</v>
      </c>
      <c r="F442" s="5" t="s">
        <v>28</v>
      </c>
      <c r="G442">
        <v>0.74305555555555558</v>
      </c>
      <c r="H442">
        <v>0.80486111111111114</v>
      </c>
      <c r="I442">
        <v>95</v>
      </c>
      <c r="J442" s="5" t="s">
        <v>477</v>
      </c>
      <c r="K442" s="5" t="s">
        <v>19</v>
      </c>
      <c r="L442">
        <v>1743</v>
      </c>
      <c r="M442" s="5">
        <v>89</v>
      </c>
      <c r="N442" s="5" t="s">
        <v>1675</v>
      </c>
      <c r="O442" s="5" t="s">
        <v>1659</v>
      </c>
      <c r="P442">
        <v>0</v>
      </c>
      <c r="Q442" t="s">
        <v>1665</v>
      </c>
      <c r="R442" t="s">
        <v>1670</v>
      </c>
    </row>
    <row r="443" spans="1:18" x14ac:dyDescent="0.35">
      <c r="A443" s="5" t="s">
        <v>867</v>
      </c>
      <c r="B443" s="6">
        <v>46055</v>
      </c>
      <c r="C443" s="5" t="s">
        <v>868</v>
      </c>
      <c r="D443" s="5" t="s">
        <v>79</v>
      </c>
      <c r="E443" s="5" t="s">
        <v>546</v>
      </c>
      <c r="F443" s="5" t="s">
        <v>17</v>
      </c>
      <c r="G443">
        <v>0.85763888888888884</v>
      </c>
      <c r="H443">
        <v>0.87638888888888888</v>
      </c>
      <c r="I443">
        <v>29</v>
      </c>
      <c r="J443" s="5" t="s">
        <v>60</v>
      </c>
      <c r="K443" s="5" t="s">
        <v>19</v>
      </c>
      <c r="L443">
        <v>1743</v>
      </c>
      <c r="M443" s="5">
        <v>27</v>
      </c>
      <c r="N443" s="5" t="s">
        <v>1675</v>
      </c>
      <c r="O443" s="5" t="s">
        <v>1659</v>
      </c>
      <c r="P443">
        <v>0</v>
      </c>
      <c r="Q443" t="s">
        <v>1665</v>
      </c>
      <c r="R443" t="s">
        <v>1657</v>
      </c>
    </row>
    <row r="444" spans="1:18" x14ac:dyDescent="0.35">
      <c r="A444" s="5" t="s">
        <v>869</v>
      </c>
      <c r="B444" s="6">
        <v>46056</v>
      </c>
      <c r="C444" s="5" t="s">
        <v>133</v>
      </c>
      <c r="D444" s="5" t="s">
        <v>202</v>
      </c>
      <c r="E444" s="5" t="s">
        <v>84</v>
      </c>
      <c r="F444" s="5" t="s">
        <v>24</v>
      </c>
      <c r="G444">
        <v>0.30555555555555558</v>
      </c>
      <c r="H444">
        <v>0.30833333333333329</v>
      </c>
      <c r="I444">
        <v>12</v>
      </c>
      <c r="J444" s="5" t="s">
        <v>18</v>
      </c>
      <c r="K444" s="5" t="s">
        <v>19</v>
      </c>
      <c r="L444">
        <v>2722</v>
      </c>
      <c r="M444" s="5">
        <v>4</v>
      </c>
      <c r="N444" s="5" t="s">
        <v>1675</v>
      </c>
      <c r="O444" s="5" t="s">
        <v>1661</v>
      </c>
      <c r="P444">
        <v>1</v>
      </c>
      <c r="Q444" t="s">
        <v>1660</v>
      </c>
    </row>
    <row r="445" spans="1:18" x14ac:dyDescent="0.35">
      <c r="A445" s="5" t="s">
        <v>870</v>
      </c>
      <c r="B445" s="6">
        <v>46056</v>
      </c>
      <c r="C445" s="5" t="s">
        <v>871</v>
      </c>
      <c r="D445" s="5" t="s">
        <v>1549</v>
      </c>
      <c r="E445" s="5" t="s">
        <v>588</v>
      </c>
      <c r="F445" s="5" t="s">
        <v>17</v>
      </c>
      <c r="G445">
        <v>0.41319444444444442</v>
      </c>
      <c r="H445">
        <v>0.41388888888888892</v>
      </c>
      <c r="I445">
        <v>1</v>
      </c>
      <c r="J445" s="5" t="s">
        <v>18</v>
      </c>
      <c r="K445" s="5" t="s">
        <v>19</v>
      </c>
      <c r="L445">
        <v>1559</v>
      </c>
      <c r="M445" s="5">
        <v>1</v>
      </c>
      <c r="N445" s="5" t="s">
        <v>1675</v>
      </c>
      <c r="O445" s="5" t="s">
        <v>1661</v>
      </c>
      <c r="P445">
        <v>1</v>
      </c>
      <c r="Q445" t="s">
        <v>1660</v>
      </c>
    </row>
    <row r="446" spans="1:18" x14ac:dyDescent="0.35">
      <c r="A446" s="5" t="s">
        <v>872</v>
      </c>
      <c r="B446" s="6">
        <v>46056</v>
      </c>
      <c r="C446" s="5" t="s">
        <v>205</v>
      </c>
      <c r="D446" s="5" t="s">
        <v>79</v>
      </c>
      <c r="E446" s="5" t="s">
        <v>546</v>
      </c>
      <c r="F446" s="5" t="s">
        <v>24</v>
      </c>
      <c r="G446">
        <v>0.46875</v>
      </c>
      <c r="H446">
        <v>0.48749999999999999</v>
      </c>
      <c r="I446">
        <v>19</v>
      </c>
      <c r="J446" s="5" t="s">
        <v>129</v>
      </c>
      <c r="K446" s="5" t="s">
        <v>19</v>
      </c>
      <c r="L446">
        <v>1743</v>
      </c>
      <c r="M446" s="5">
        <v>27</v>
      </c>
      <c r="N446" s="5" t="s">
        <v>1675</v>
      </c>
      <c r="O446" s="5" t="s">
        <v>1661</v>
      </c>
      <c r="P446">
        <v>0</v>
      </c>
      <c r="Q446" t="s">
        <v>1660</v>
      </c>
      <c r="R446" t="s">
        <v>1670</v>
      </c>
    </row>
    <row r="447" spans="1:18" x14ac:dyDescent="0.35">
      <c r="A447" s="5" t="s">
        <v>873</v>
      </c>
      <c r="B447" s="6">
        <v>46056</v>
      </c>
      <c r="C447" s="5" t="s">
        <v>874</v>
      </c>
      <c r="D447" s="5" t="s">
        <v>546</v>
      </c>
      <c r="E447" s="5" t="s">
        <v>588</v>
      </c>
      <c r="F447" s="5" t="s">
        <v>17</v>
      </c>
      <c r="G447">
        <v>0.69444444444444442</v>
      </c>
      <c r="H447">
        <v>0.7</v>
      </c>
      <c r="I447">
        <v>12</v>
      </c>
      <c r="J447" s="5" t="s">
        <v>18</v>
      </c>
      <c r="K447" s="5" t="s">
        <v>19</v>
      </c>
      <c r="L447">
        <v>1053</v>
      </c>
      <c r="M447" s="5">
        <v>8</v>
      </c>
      <c r="N447" s="5" t="s">
        <v>1675</v>
      </c>
      <c r="O447" s="5" t="s">
        <v>1661</v>
      </c>
      <c r="P447">
        <v>1</v>
      </c>
      <c r="Q447" t="s">
        <v>1663</v>
      </c>
    </row>
    <row r="448" spans="1:18" x14ac:dyDescent="0.35">
      <c r="A448" s="5" t="s">
        <v>875</v>
      </c>
      <c r="B448" s="6">
        <v>46057</v>
      </c>
      <c r="C448" s="5" t="s">
        <v>292</v>
      </c>
      <c r="D448" s="5" t="s">
        <v>546</v>
      </c>
      <c r="E448" s="5" t="s">
        <v>226</v>
      </c>
      <c r="F448" s="5" t="s">
        <v>17</v>
      </c>
      <c r="G448">
        <v>0.3298611111111111</v>
      </c>
      <c r="H448">
        <v>0.33194444444444438</v>
      </c>
      <c r="I448">
        <v>-2</v>
      </c>
      <c r="J448" s="5" t="s">
        <v>18</v>
      </c>
      <c r="K448" s="5" t="s">
        <v>19</v>
      </c>
      <c r="L448">
        <v>627</v>
      </c>
      <c r="M448" s="5">
        <v>3</v>
      </c>
      <c r="N448" s="5" t="s">
        <v>1675</v>
      </c>
      <c r="O448" s="5" t="s">
        <v>1662</v>
      </c>
      <c r="P448">
        <v>1</v>
      </c>
      <c r="Q448" t="s">
        <v>1660</v>
      </c>
    </row>
    <row r="449" spans="1:18" x14ac:dyDescent="0.35">
      <c r="A449" s="5" t="s">
        <v>876</v>
      </c>
      <c r="B449" s="6">
        <v>46057</v>
      </c>
      <c r="C449" s="5" t="s">
        <v>877</v>
      </c>
      <c r="D449" s="5" t="s">
        <v>197</v>
      </c>
      <c r="E449" s="5" t="s">
        <v>226</v>
      </c>
      <c r="F449" s="5" t="s">
        <v>28</v>
      </c>
      <c r="G449">
        <v>0.46527777777777779</v>
      </c>
      <c r="H449">
        <v>0.47361111111111109</v>
      </c>
      <c r="I449">
        <v>0</v>
      </c>
      <c r="J449" s="5" t="s">
        <v>18</v>
      </c>
      <c r="K449" s="5" t="s">
        <v>19</v>
      </c>
      <c r="L449">
        <v>1622</v>
      </c>
      <c r="M449" s="5">
        <v>12</v>
      </c>
      <c r="N449" s="5" t="s">
        <v>1675</v>
      </c>
      <c r="O449" s="5" t="s">
        <v>1662</v>
      </c>
      <c r="P449">
        <v>1</v>
      </c>
      <c r="Q449" t="s">
        <v>1660</v>
      </c>
    </row>
    <row r="450" spans="1:18" x14ac:dyDescent="0.35">
      <c r="A450" s="5" t="s">
        <v>878</v>
      </c>
      <c r="B450" s="6">
        <v>46058</v>
      </c>
      <c r="C450" s="5" t="s">
        <v>271</v>
      </c>
      <c r="D450" s="5" t="s">
        <v>79</v>
      </c>
      <c r="E450" s="5" t="s">
        <v>84</v>
      </c>
      <c r="F450" s="5" t="s">
        <v>24</v>
      </c>
      <c r="G450">
        <v>0.38541666666666669</v>
      </c>
      <c r="H450">
        <v>0.38194444444444442</v>
      </c>
      <c r="I450">
        <v>-2</v>
      </c>
      <c r="J450" s="5" t="s">
        <v>18</v>
      </c>
      <c r="K450" s="5" t="s">
        <v>19</v>
      </c>
      <c r="L450">
        <v>2178</v>
      </c>
      <c r="M450" s="5">
        <v>-5</v>
      </c>
      <c r="N450" s="5" t="s">
        <v>1675</v>
      </c>
      <c r="O450" s="5" t="s">
        <v>1664</v>
      </c>
      <c r="P450">
        <v>1</v>
      </c>
      <c r="Q450" t="s">
        <v>1660</v>
      </c>
    </row>
    <row r="451" spans="1:18" x14ac:dyDescent="0.35">
      <c r="A451" s="5" t="s">
        <v>879</v>
      </c>
      <c r="B451" s="6">
        <v>46058</v>
      </c>
      <c r="C451" s="5" t="s">
        <v>332</v>
      </c>
      <c r="D451" s="5" t="s">
        <v>71</v>
      </c>
      <c r="E451" s="5" t="s">
        <v>413</v>
      </c>
      <c r="F451" s="5" t="s">
        <v>24</v>
      </c>
      <c r="G451">
        <v>0.59722222222222221</v>
      </c>
      <c r="H451">
        <v>0.64513888888888893</v>
      </c>
      <c r="I451">
        <v>75</v>
      </c>
      <c r="J451" s="5" t="s">
        <v>129</v>
      </c>
      <c r="K451" s="5" t="s">
        <v>19</v>
      </c>
      <c r="L451">
        <v>1742</v>
      </c>
      <c r="M451" s="5">
        <v>69</v>
      </c>
      <c r="N451" s="5" t="s">
        <v>1675</v>
      </c>
      <c r="O451" s="5" t="s">
        <v>1664</v>
      </c>
      <c r="P451">
        <v>0</v>
      </c>
      <c r="Q451" t="s">
        <v>1663</v>
      </c>
      <c r="R451" t="s">
        <v>1670</v>
      </c>
    </row>
    <row r="452" spans="1:18" x14ac:dyDescent="0.35">
      <c r="A452" s="5" t="s">
        <v>880</v>
      </c>
      <c r="B452" s="6">
        <v>46059</v>
      </c>
      <c r="C452" s="5" t="s">
        <v>881</v>
      </c>
      <c r="D452" s="5" t="s">
        <v>1549</v>
      </c>
      <c r="E452" s="5" t="s">
        <v>546</v>
      </c>
      <c r="F452" s="5" t="s">
        <v>28</v>
      </c>
      <c r="G452">
        <v>0.57986111111111116</v>
      </c>
      <c r="H452">
        <v>0.59652777777777777</v>
      </c>
      <c r="I452">
        <v>32</v>
      </c>
      <c r="J452" s="5" t="s">
        <v>54</v>
      </c>
      <c r="K452" s="5" t="s">
        <v>19</v>
      </c>
      <c r="L452">
        <v>2375</v>
      </c>
      <c r="M452" s="5">
        <v>24</v>
      </c>
      <c r="N452" s="5" t="s">
        <v>1675</v>
      </c>
      <c r="O452" s="5" t="s">
        <v>1666</v>
      </c>
      <c r="P452">
        <v>0</v>
      </c>
      <c r="Q452" t="s">
        <v>1663</v>
      </c>
      <c r="R452" t="s">
        <v>1657</v>
      </c>
    </row>
    <row r="453" spans="1:18" x14ac:dyDescent="0.35">
      <c r="A453" s="5" t="s">
        <v>882</v>
      </c>
      <c r="B453" s="6">
        <v>46059</v>
      </c>
      <c r="C453" s="5" t="s">
        <v>883</v>
      </c>
      <c r="D453" s="5" t="s">
        <v>71</v>
      </c>
      <c r="E453" s="5" t="s">
        <v>1549</v>
      </c>
      <c r="F453" s="5" t="s">
        <v>17</v>
      </c>
      <c r="G453">
        <v>0.63888888888888884</v>
      </c>
      <c r="H453">
        <v>0.64375000000000004</v>
      </c>
      <c r="I453">
        <v>6</v>
      </c>
      <c r="J453" s="5" t="s">
        <v>18</v>
      </c>
      <c r="K453" s="5" t="s">
        <v>19</v>
      </c>
      <c r="L453">
        <v>864</v>
      </c>
      <c r="M453" s="5">
        <v>7</v>
      </c>
      <c r="N453" s="5" t="s">
        <v>1675</v>
      </c>
      <c r="O453" s="5" t="s">
        <v>1666</v>
      </c>
      <c r="P453">
        <v>1</v>
      </c>
      <c r="Q453" t="s">
        <v>1663</v>
      </c>
    </row>
    <row r="454" spans="1:18" x14ac:dyDescent="0.35">
      <c r="A454" s="5" t="s">
        <v>884</v>
      </c>
      <c r="B454" s="6">
        <v>46060</v>
      </c>
      <c r="C454" s="5" t="s">
        <v>885</v>
      </c>
      <c r="D454" s="5" t="s">
        <v>79</v>
      </c>
      <c r="E454" s="5" t="s">
        <v>413</v>
      </c>
      <c r="F454" s="5" t="s">
        <v>24</v>
      </c>
      <c r="G454">
        <v>0.77430555555555558</v>
      </c>
      <c r="H454">
        <v>0.78194444444444444</v>
      </c>
      <c r="I454">
        <v>18</v>
      </c>
      <c r="J454" s="5" t="s">
        <v>18</v>
      </c>
      <c r="K454" s="5" t="s">
        <v>19</v>
      </c>
      <c r="L454">
        <v>1942</v>
      </c>
      <c r="M454" s="5">
        <v>11</v>
      </c>
      <c r="N454" s="5" t="s">
        <v>1675</v>
      </c>
      <c r="O454" s="5" t="s">
        <v>1667</v>
      </c>
      <c r="P454">
        <v>0</v>
      </c>
      <c r="Q454" t="s">
        <v>1665</v>
      </c>
    </row>
    <row r="455" spans="1:18" x14ac:dyDescent="0.35">
      <c r="A455" s="5" t="s">
        <v>886</v>
      </c>
      <c r="B455" s="6">
        <v>46061</v>
      </c>
      <c r="C455" s="5" t="s">
        <v>251</v>
      </c>
      <c r="D455" s="5" t="s">
        <v>1549</v>
      </c>
      <c r="E455" s="5" t="s">
        <v>202</v>
      </c>
      <c r="F455" s="5" t="s">
        <v>38</v>
      </c>
      <c r="G455">
        <v>0.31597222222222221</v>
      </c>
      <c r="H455">
        <v>0.31041666666666667</v>
      </c>
      <c r="I455">
        <v>-13</v>
      </c>
      <c r="J455" s="5" t="s">
        <v>18</v>
      </c>
      <c r="K455" s="5" t="s">
        <v>19</v>
      </c>
      <c r="L455">
        <v>1260</v>
      </c>
      <c r="M455" s="5">
        <v>-8</v>
      </c>
      <c r="N455" s="5" t="s">
        <v>1675</v>
      </c>
      <c r="O455" s="5" t="s">
        <v>1668</v>
      </c>
      <c r="P455">
        <v>1</v>
      </c>
      <c r="Q455" t="s">
        <v>1660</v>
      </c>
    </row>
    <row r="456" spans="1:18" x14ac:dyDescent="0.35">
      <c r="A456" s="5" t="s">
        <v>887</v>
      </c>
      <c r="B456" s="6">
        <v>46061</v>
      </c>
      <c r="C456" s="5" t="s">
        <v>434</v>
      </c>
      <c r="D456" s="5" t="s">
        <v>1295</v>
      </c>
      <c r="E456" s="5" t="s">
        <v>71</v>
      </c>
      <c r="F456" s="5" t="s">
        <v>28</v>
      </c>
      <c r="G456">
        <v>0.4548611111111111</v>
      </c>
      <c r="H456">
        <v>0.45555555555555549</v>
      </c>
      <c r="I456">
        <v>1</v>
      </c>
      <c r="J456" s="5" t="s">
        <v>18</v>
      </c>
      <c r="K456" s="5" t="s">
        <v>19</v>
      </c>
      <c r="L456">
        <v>1842</v>
      </c>
      <c r="M456" s="5">
        <v>1</v>
      </c>
      <c r="N456" s="5" t="s">
        <v>1675</v>
      </c>
      <c r="O456" s="5" t="s">
        <v>1668</v>
      </c>
      <c r="P456">
        <v>1</v>
      </c>
      <c r="Q456" t="s">
        <v>1660</v>
      </c>
    </row>
    <row r="457" spans="1:18" x14ac:dyDescent="0.35">
      <c r="A457" s="5" t="s">
        <v>888</v>
      </c>
      <c r="B457" s="6">
        <v>46061</v>
      </c>
      <c r="C457" s="5" t="s">
        <v>889</v>
      </c>
      <c r="D457" s="5" t="s">
        <v>202</v>
      </c>
      <c r="E457" s="5" t="s">
        <v>1171</v>
      </c>
      <c r="F457" s="5" t="s">
        <v>17</v>
      </c>
      <c r="G457">
        <v>0.73611111111111116</v>
      </c>
      <c r="J457" s="5" t="s">
        <v>129</v>
      </c>
      <c r="K457" s="5" t="s">
        <v>254</v>
      </c>
      <c r="L457">
        <v>1969</v>
      </c>
      <c r="M457" s="5"/>
      <c r="N457" s="5" t="s">
        <v>1675</v>
      </c>
      <c r="O457" s="5" t="s">
        <v>1668</v>
      </c>
      <c r="Q457" t="s">
        <v>1665</v>
      </c>
      <c r="R457" t="s">
        <v>1670</v>
      </c>
    </row>
    <row r="458" spans="1:18" x14ac:dyDescent="0.35">
      <c r="A458" s="5" t="s">
        <v>890</v>
      </c>
      <c r="B458" s="6">
        <v>46062</v>
      </c>
      <c r="C458" s="5" t="s">
        <v>891</v>
      </c>
      <c r="D458" s="5" t="s">
        <v>197</v>
      </c>
      <c r="E458" s="5" t="s">
        <v>71</v>
      </c>
      <c r="F458" s="5" t="s">
        <v>38</v>
      </c>
      <c r="G458">
        <v>0.28472222222222221</v>
      </c>
      <c r="H458">
        <v>0.28749999999999998</v>
      </c>
      <c r="I458">
        <v>7</v>
      </c>
      <c r="J458" s="5" t="s">
        <v>18</v>
      </c>
      <c r="K458" s="5" t="s">
        <v>19</v>
      </c>
      <c r="L458">
        <v>738</v>
      </c>
      <c r="M458" s="5">
        <v>4</v>
      </c>
      <c r="N458" s="5" t="s">
        <v>1675</v>
      </c>
      <c r="O458" s="5" t="s">
        <v>1659</v>
      </c>
      <c r="P458">
        <v>1</v>
      </c>
      <c r="Q458" t="s">
        <v>1660</v>
      </c>
    </row>
    <row r="459" spans="1:18" x14ac:dyDescent="0.35">
      <c r="A459" s="5" t="s">
        <v>892</v>
      </c>
      <c r="B459" s="6">
        <v>46062</v>
      </c>
      <c r="C459" s="5" t="s">
        <v>893</v>
      </c>
      <c r="D459" s="5" t="s">
        <v>226</v>
      </c>
      <c r="E459" s="5" t="s">
        <v>79</v>
      </c>
      <c r="F459" s="5" t="s">
        <v>38</v>
      </c>
      <c r="G459">
        <v>0.67361111111111116</v>
      </c>
      <c r="I459">
        <v>1</v>
      </c>
      <c r="J459" s="5" t="s">
        <v>18</v>
      </c>
      <c r="K459" s="5" t="s">
        <v>19</v>
      </c>
      <c r="L459">
        <v>1197</v>
      </c>
      <c r="M459" s="5">
        <v>9</v>
      </c>
      <c r="N459" s="5" t="s">
        <v>1675</v>
      </c>
      <c r="O459" s="5" t="s">
        <v>1659</v>
      </c>
      <c r="P459">
        <v>1</v>
      </c>
      <c r="Q459" t="s">
        <v>1663</v>
      </c>
    </row>
    <row r="460" spans="1:18" x14ac:dyDescent="0.35">
      <c r="A460" s="5" t="s">
        <v>894</v>
      </c>
      <c r="B460" s="6">
        <v>46062</v>
      </c>
      <c r="C460" s="5" t="s">
        <v>216</v>
      </c>
      <c r="D460" s="5" t="s">
        <v>588</v>
      </c>
      <c r="E460" s="5" t="s">
        <v>79</v>
      </c>
      <c r="F460" s="5" t="s">
        <v>24</v>
      </c>
      <c r="G460">
        <v>0.6875</v>
      </c>
      <c r="H460">
        <v>0.68680555555555556</v>
      </c>
      <c r="I460">
        <v>-11</v>
      </c>
      <c r="J460" s="5" t="s">
        <v>18</v>
      </c>
      <c r="K460" s="5" t="s">
        <v>19</v>
      </c>
      <c r="L460">
        <v>730</v>
      </c>
      <c r="M460" s="5">
        <v>-1</v>
      </c>
      <c r="N460" s="5" t="s">
        <v>1675</v>
      </c>
      <c r="O460" s="5" t="s">
        <v>1659</v>
      </c>
      <c r="P460">
        <v>1</v>
      </c>
      <c r="Q460" t="s">
        <v>1663</v>
      </c>
    </row>
    <row r="461" spans="1:18" x14ac:dyDescent="0.35">
      <c r="A461" s="5" t="s">
        <v>895</v>
      </c>
      <c r="B461" s="6">
        <v>46063</v>
      </c>
      <c r="C461" s="5" t="s">
        <v>896</v>
      </c>
      <c r="D461" s="5" t="s">
        <v>588</v>
      </c>
      <c r="E461" s="5" t="s">
        <v>197</v>
      </c>
      <c r="F461" s="5" t="s">
        <v>38</v>
      </c>
      <c r="G461">
        <v>0.56597222222222221</v>
      </c>
      <c r="J461" s="5" t="s">
        <v>129</v>
      </c>
      <c r="K461" s="5" t="s">
        <v>254</v>
      </c>
      <c r="L461">
        <v>1389</v>
      </c>
      <c r="M461" s="5"/>
      <c r="N461" s="5" t="s">
        <v>1675</v>
      </c>
      <c r="O461" s="5" t="s">
        <v>1661</v>
      </c>
      <c r="Q461" t="s">
        <v>1663</v>
      </c>
      <c r="R461" t="s">
        <v>1670</v>
      </c>
    </row>
    <row r="462" spans="1:18" x14ac:dyDescent="0.35">
      <c r="A462" s="5" t="s">
        <v>897</v>
      </c>
      <c r="B462" s="6">
        <v>46064</v>
      </c>
      <c r="C462" s="5" t="s">
        <v>716</v>
      </c>
      <c r="D462" s="5" t="s">
        <v>79</v>
      </c>
      <c r="E462" s="5" t="s">
        <v>546</v>
      </c>
      <c r="F462" s="5" t="s">
        <v>28</v>
      </c>
      <c r="G462">
        <v>0.43402777777777779</v>
      </c>
      <c r="J462" s="5" t="s">
        <v>60</v>
      </c>
      <c r="K462" s="5" t="s">
        <v>254</v>
      </c>
      <c r="L462">
        <v>1743</v>
      </c>
      <c r="M462" s="5"/>
      <c r="N462" s="5" t="s">
        <v>1675</v>
      </c>
      <c r="O462" s="5" t="s">
        <v>1662</v>
      </c>
      <c r="Q462" t="s">
        <v>1660</v>
      </c>
      <c r="R462" t="s">
        <v>1657</v>
      </c>
    </row>
    <row r="463" spans="1:18" x14ac:dyDescent="0.35">
      <c r="A463" s="5" t="s">
        <v>898</v>
      </c>
      <c r="B463" s="6">
        <v>46064</v>
      </c>
      <c r="C463" s="5" t="s">
        <v>899</v>
      </c>
      <c r="D463" s="5" t="s">
        <v>226</v>
      </c>
      <c r="E463" s="5" t="s">
        <v>71</v>
      </c>
      <c r="F463" s="5" t="s">
        <v>17</v>
      </c>
      <c r="G463">
        <v>0.46875</v>
      </c>
      <c r="H463">
        <v>0.46527777777777779</v>
      </c>
      <c r="I463">
        <v>0</v>
      </c>
      <c r="J463" s="5" t="s">
        <v>18</v>
      </c>
      <c r="K463" s="5" t="s">
        <v>19</v>
      </c>
      <c r="L463">
        <v>886</v>
      </c>
      <c r="M463" s="5">
        <v>-5</v>
      </c>
      <c r="N463" s="5" t="s">
        <v>1675</v>
      </c>
      <c r="O463" s="5" t="s">
        <v>1662</v>
      </c>
      <c r="P463">
        <v>1</v>
      </c>
      <c r="Q463" t="s">
        <v>1660</v>
      </c>
    </row>
    <row r="464" spans="1:18" x14ac:dyDescent="0.35">
      <c r="A464" s="5" t="s">
        <v>900</v>
      </c>
      <c r="B464" s="6">
        <v>46064</v>
      </c>
      <c r="C464" s="5" t="s">
        <v>901</v>
      </c>
      <c r="D464" s="5" t="s">
        <v>79</v>
      </c>
      <c r="E464" s="5" t="s">
        <v>197</v>
      </c>
      <c r="F464" s="5" t="s">
        <v>24</v>
      </c>
      <c r="G464">
        <v>0.60069444444444442</v>
      </c>
      <c r="H464">
        <v>0.66736111111111107</v>
      </c>
      <c r="I464">
        <v>90</v>
      </c>
      <c r="J464" s="5" t="s">
        <v>129</v>
      </c>
      <c r="K464" s="5" t="s">
        <v>19</v>
      </c>
      <c r="L464">
        <v>759</v>
      </c>
      <c r="M464" s="5">
        <v>96</v>
      </c>
      <c r="N464" s="5" t="s">
        <v>1675</v>
      </c>
      <c r="O464" s="5" t="s">
        <v>1662</v>
      </c>
      <c r="P464">
        <v>0</v>
      </c>
      <c r="Q464" t="s">
        <v>1663</v>
      </c>
      <c r="R464" t="s">
        <v>1670</v>
      </c>
    </row>
    <row r="465" spans="1:18" x14ac:dyDescent="0.35">
      <c r="A465" s="5" t="s">
        <v>902</v>
      </c>
      <c r="B465" s="6">
        <v>46064</v>
      </c>
      <c r="C465" s="5" t="s">
        <v>903</v>
      </c>
      <c r="D465" s="5" t="s">
        <v>588</v>
      </c>
      <c r="E465" s="5" t="s">
        <v>197</v>
      </c>
      <c r="F465" s="5" t="s">
        <v>24</v>
      </c>
      <c r="G465">
        <v>0.72916666666666663</v>
      </c>
      <c r="H465">
        <v>0.74236111111111114</v>
      </c>
      <c r="I465">
        <v>10</v>
      </c>
      <c r="J465" s="5" t="s">
        <v>60</v>
      </c>
      <c r="K465" s="5" t="s">
        <v>19</v>
      </c>
      <c r="L465">
        <v>1389</v>
      </c>
      <c r="M465" s="5">
        <v>19</v>
      </c>
      <c r="N465" s="5" t="s">
        <v>1675</v>
      </c>
      <c r="O465" s="5" t="s">
        <v>1662</v>
      </c>
      <c r="P465">
        <v>1</v>
      </c>
      <c r="Q465" t="s">
        <v>1665</v>
      </c>
      <c r="R465" t="s">
        <v>1657</v>
      </c>
    </row>
    <row r="466" spans="1:18" x14ac:dyDescent="0.35">
      <c r="A466" s="5" t="s">
        <v>904</v>
      </c>
      <c r="B466" s="6">
        <v>46067</v>
      </c>
      <c r="C466" s="5" t="s">
        <v>905</v>
      </c>
      <c r="D466" s="5" t="s">
        <v>588</v>
      </c>
      <c r="E466" s="5" t="s">
        <v>197</v>
      </c>
      <c r="F466" s="5" t="s">
        <v>17</v>
      </c>
      <c r="G466">
        <v>0.41666666666666669</v>
      </c>
      <c r="H466">
        <v>0.41597222222222219</v>
      </c>
      <c r="I466">
        <v>-8</v>
      </c>
      <c r="J466" s="5" t="s">
        <v>18</v>
      </c>
      <c r="K466" s="5" t="s">
        <v>19</v>
      </c>
      <c r="L466">
        <v>1389</v>
      </c>
      <c r="M466" s="5">
        <v>-1</v>
      </c>
      <c r="N466" s="5" t="s">
        <v>1675</v>
      </c>
      <c r="O466" s="5" t="s">
        <v>1667</v>
      </c>
      <c r="P466">
        <v>1</v>
      </c>
      <c r="Q466" t="s">
        <v>1660</v>
      </c>
    </row>
    <row r="467" spans="1:18" x14ac:dyDescent="0.35">
      <c r="A467" s="5" t="s">
        <v>906</v>
      </c>
      <c r="B467" s="6">
        <v>46067</v>
      </c>
      <c r="C467" s="5" t="s">
        <v>616</v>
      </c>
      <c r="D467" s="5" t="s">
        <v>84</v>
      </c>
      <c r="E467" s="5" t="s">
        <v>197</v>
      </c>
      <c r="F467" s="5" t="s">
        <v>28</v>
      </c>
      <c r="G467">
        <v>0.58333333333333337</v>
      </c>
      <c r="H467">
        <v>0.63263888888888886</v>
      </c>
      <c r="I467">
        <v>73</v>
      </c>
      <c r="J467" s="5" t="s">
        <v>129</v>
      </c>
      <c r="K467" s="5" t="s">
        <v>19</v>
      </c>
      <c r="L467">
        <v>2415</v>
      </c>
      <c r="M467" s="5">
        <v>71</v>
      </c>
      <c r="N467" s="5" t="s">
        <v>1675</v>
      </c>
      <c r="O467" s="5" t="s">
        <v>1667</v>
      </c>
      <c r="P467">
        <v>0</v>
      </c>
      <c r="Q467" t="s">
        <v>1663</v>
      </c>
      <c r="R467" t="s">
        <v>1670</v>
      </c>
    </row>
    <row r="468" spans="1:18" x14ac:dyDescent="0.35">
      <c r="A468" s="5" t="s">
        <v>907</v>
      </c>
      <c r="B468" s="6">
        <v>46067</v>
      </c>
      <c r="C468" s="5" t="s">
        <v>908</v>
      </c>
      <c r="D468" s="5" t="s">
        <v>71</v>
      </c>
      <c r="E468" s="5" t="s">
        <v>79</v>
      </c>
      <c r="F468" s="5" t="s">
        <v>17</v>
      </c>
      <c r="G468">
        <v>0.63888888888888884</v>
      </c>
      <c r="H468">
        <v>0.64027777777777772</v>
      </c>
      <c r="I468">
        <v>2</v>
      </c>
      <c r="J468" s="5" t="s">
        <v>18</v>
      </c>
      <c r="K468" s="5" t="s">
        <v>19</v>
      </c>
      <c r="L468">
        <v>606</v>
      </c>
      <c r="M468" s="5">
        <v>2</v>
      </c>
      <c r="N468" s="5" t="s">
        <v>1675</v>
      </c>
      <c r="O468" s="5" t="s">
        <v>1667</v>
      </c>
      <c r="P468">
        <v>1</v>
      </c>
      <c r="Q468" t="s">
        <v>1663</v>
      </c>
    </row>
    <row r="469" spans="1:18" x14ac:dyDescent="0.35">
      <c r="A469" s="5" t="s">
        <v>909</v>
      </c>
      <c r="B469" s="6">
        <v>46067</v>
      </c>
      <c r="C469" s="5" t="s">
        <v>626</v>
      </c>
      <c r="D469" s="5" t="s">
        <v>226</v>
      </c>
      <c r="E469" s="5" t="s">
        <v>79</v>
      </c>
      <c r="F469" s="5" t="s">
        <v>24</v>
      </c>
      <c r="G469">
        <v>0.81597222222222221</v>
      </c>
      <c r="H469">
        <v>0.83333333333333337</v>
      </c>
      <c r="I469">
        <v>13</v>
      </c>
      <c r="J469" s="5" t="s">
        <v>129</v>
      </c>
      <c r="K469" s="5" t="s">
        <v>19</v>
      </c>
      <c r="L469">
        <v>1197</v>
      </c>
      <c r="M469" s="5">
        <v>25</v>
      </c>
      <c r="N469" s="5" t="s">
        <v>1675</v>
      </c>
      <c r="O469" s="5" t="s">
        <v>1667</v>
      </c>
      <c r="P469">
        <v>1</v>
      </c>
      <c r="Q469" t="s">
        <v>1665</v>
      </c>
      <c r="R469" t="s">
        <v>1670</v>
      </c>
    </row>
    <row r="470" spans="1:18" x14ac:dyDescent="0.35">
      <c r="A470" s="5" t="s">
        <v>910</v>
      </c>
      <c r="B470" s="6">
        <v>46067</v>
      </c>
      <c r="C470" s="5" t="s">
        <v>911</v>
      </c>
      <c r="D470" s="5" t="s">
        <v>1295</v>
      </c>
      <c r="E470" s="5" t="s">
        <v>71</v>
      </c>
      <c r="F470" s="5" t="s">
        <v>17</v>
      </c>
      <c r="G470">
        <v>0.91319444444444442</v>
      </c>
      <c r="I470">
        <v>47</v>
      </c>
      <c r="J470" s="5" t="s">
        <v>54</v>
      </c>
      <c r="K470" s="5" t="s">
        <v>19</v>
      </c>
      <c r="L470">
        <v>1842</v>
      </c>
      <c r="M470" s="5">
        <v>40</v>
      </c>
      <c r="N470" s="5" t="s">
        <v>1675</v>
      </c>
      <c r="O470" s="5" t="s">
        <v>1667</v>
      </c>
      <c r="P470">
        <v>0</v>
      </c>
      <c r="Q470" t="s">
        <v>1669</v>
      </c>
      <c r="R470" t="s">
        <v>1657</v>
      </c>
    </row>
    <row r="471" spans="1:18" x14ac:dyDescent="0.35">
      <c r="A471" s="5" t="s">
        <v>912</v>
      </c>
      <c r="B471" s="6">
        <v>46068</v>
      </c>
      <c r="C471" s="5" t="s">
        <v>913</v>
      </c>
      <c r="D471" s="5" t="s">
        <v>202</v>
      </c>
      <c r="E471" s="5" t="s">
        <v>1171</v>
      </c>
      <c r="F471" s="5" t="s">
        <v>24</v>
      </c>
      <c r="G471">
        <v>0.3263888888888889</v>
      </c>
      <c r="H471">
        <v>0.32500000000000001</v>
      </c>
      <c r="I471">
        <v>4</v>
      </c>
      <c r="J471" s="5" t="s">
        <v>18</v>
      </c>
      <c r="K471" s="5" t="s">
        <v>19</v>
      </c>
      <c r="L471">
        <v>1969</v>
      </c>
      <c r="M471" s="5">
        <v>-2</v>
      </c>
      <c r="N471" s="5" t="s">
        <v>1675</v>
      </c>
      <c r="O471" s="5" t="s">
        <v>1668</v>
      </c>
      <c r="P471">
        <v>1</v>
      </c>
      <c r="Q471" t="s">
        <v>1660</v>
      </c>
    </row>
    <row r="472" spans="1:18" x14ac:dyDescent="0.35">
      <c r="A472" s="5" t="s">
        <v>914</v>
      </c>
      <c r="B472" s="6">
        <v>46068</v>
      </c>
      <c r="C472" s="5" t="s">
        <v>915</v>
      </c>
      <c r="D472" s="5" t="s">
        <v>546</v>
      </c>
      <c r="E472" s="5" t="s">
        <v>79</v>
      </c>
      <c r="F472" s="5" t="s">
        <v>28</v>
      </c>
      <c r="G472">
        <v>0.36458333333333331</v>
      </c>
      <c r="I472">
        <v>-5</v>
      </c>
      <c r="J472" s="5" t="s">
        <v>18</v>
      </c>
      <c r="K472" s="5" t="s">
        <v>19</v>
      </c>
      <c r="L472">
        <v>1743</v>
      </c>
      <c r="M472" s="5">
        <v>2</v>
      </c>
      <c r="N472" s="5" t="s">
        <v>1675</v>
      </c>
      <c r="O472" s="5" t="s">
        <v>1668</v>
      </c>
      <c r="P472">
        <v>1</v>
      </c>
      <c r="Q472" t="s">
        <v>1660</v>
      </c>
    </row>
    <row r="473" spans="1:18" x14ac:dyDescent="0.35">
      <c r="A473" s="5" t="s">
        <v>916</v>
      </c>
      <c r="B473" s="6">
        <v>46068</v>
      </c>
      <c r="C473" s="5" t="s">
        <v>917</v>
      </c>
      <c r="D473" s="5" t="s">
        <v>197</v>
      </c>
      <c r="E473" s="5" t="s">
        <v>226</v>
      </c>
      <c r="F473" s="5" t="s">
        <v>28</v>
      </c>
      <c r="G473">
        <v>0.625</v>
      </c>
      <c r="H473">
        <v>0.64375000000000004</v>
      </c>
      <c r="I473">
        <v>25</v>
      </c>
      <c r="J473" s="5" t="s">
        <v>129</v>
      </c>
      <c r="K473" s="5" t="s">
        <v>19</v>
      </c>
      <c r="L473">
        <v>1622</v>
      </c>
      <c r="M473" s="5">
        <v>27</v>
      </c>
      <c r="N473" s="5" t="s">
        <v>1675</v>
      </c>
      <c r="O473" s="5" t="s">
        <v>1668</v>
      </c>
      <c r="P473">
        <v>0</v>
      </c>
      <c r="Q473" t="s">
        <v>1663</v>
      </c>
      <c r="R473" t="s">
        <v>1670</v>
      </c>
    </row>
    <row r="474" spans="1:18" x14ac:dyDescent="0.35">
      <c r="A474" s="5" t="s">
        <v>918</v>
      </c>
      <c r="B474" s="6">
        <v>46068</v>
      </c>
      <c r="C474" s="5" t="s">
        <v>919</v>
      </c>
      <c r="D474" s="5" t="s">
        <v>1171</v>
      </c>
      <c r="E474" s="5" t="s">
        <v>1295</v>
      </c>
      <c r="F474" s="5" t="s">
        <v>28</v>
      </c>
      <c r="G474">
        <v>0.66666666666666663</v>
      </c>
      <c r="H474">
        <v>0.67291666666666672</v>
      </c>
      <c r="I474">
        <v>10</v>
      </c>
      <c r="J474" s="5" t="s">
        <v>18</v>
      </c>
      <c r="K474" s="5" t="s">
        <v>19</v>
      </c>
      <c r="L474">
        <v>651</v>
      </c>
      <c r="M474" s="5">
        <v>9</v>
      </c>
      <c r="N474" s="5" t="s">
        <v>1675</v>
      </c>
      <c r="O474" s="5" t="s">
        <v>1668</v>
      </c>
      <c r="P474">
        <v>1</v>
      </c>
      <c r="Q474" t="s">
        <v>1663</v>
      </c>
    </row>
    <row r="475" spans="1:18" x14ac:dyDescent="0.35">
      <c r="A475" s="5" t="s">
        <v>920</v>
      </c>
      <c r="B475" s="6">
        <v>46069</v>
      </c>
      <c r="C475" s="5" t="s">
        <v>70</v>
      </c>
      <c r="D475" s="5" t="s">
        <v>588</v>
      </c>
      <c r="E475" s="5" t="s">
        <v>413</v>
      </c>
      <c r="F475" s="5" t="s">
        <v>28</v>
      </c>
      <c r="G475">
        <v>0.30902777777777779</v>
      </c>
      <c r="H475">
        <v>0.30486111111111108</v>
      </c>
      <c r="I475">
        <v>-2</v>
      </c>
      <c r="J475" s="5" t="s">
        <v>18</v>
      </c>
      <c r="K475" s="5" t="s">
        <v>19</v>
      </c>
      <c r="L475">
        <v>1232</v>
      </c>
      <c r="M475" s="5">
        <v>-6</v>
      </c>
      <c r="N475" s="5" t="s">
        <v>1675</v>
      </c>
      <c r="O475" s="5" t="s">
        <v>1659</v>
      </c>
      <c r="P475">
        <v>1</v>
      </c>
      <c r="Q475" t="s">
        <v>1660</v>
      </c>
    </row>
    <row r="476" spans="1:18" x14ac:dyDescent="0.35">
      <c r="A476" s="5" t="s">
        <v>921</v>
      </c>
      <c r="B476" s="6">
        <v>46069</v>
      </c>
      <c r="C476" s="5" t="s">
        <v>922</v>
      </c>
      <c r="D476" s="5" t="s">
        <v>79</v>
      </c>
      <c r="E476" s="5" t="s">
        <v>1171</v>
      </c>
      <c r="F476" s="5" t="s">
        <v>28</v>
      </c>
      <c r="G476">
        <v>0.50347222222222221</v>
      </c>
      <c r="H476">
        <v>0.50555555555555554</v>
      </c>
      <c r="I476">
        <v>-3</v>
      </c>
      <c r="J476" s="5" t="s">
        <v>18</v>
      </c>
      <c r="K476" s="5" t="s">
        <v>19</v>
      </c>
      <c r="L476">
        <v>1584</v>
      </c>
      <c r="M476" s="5">
        <v>3</v>
      </c>
      <c r="N476" s="5" t="s">
        <v>1675</v>
      </c>
      <c r="O476" s="5" t="s">
        <v>1659</v>
      </c>
      <c r="P476">
        <v>1</v>
      </c>
      <c r="Q476" t="s">
        <v>1663</v>
      </c>
    </row>
    <row r="477" spans="1:18" x14ac:dyDescent="0.35">
      <c r="A477" s="5" t="s">
        <v>923</v>
      </c>
      <c r="B477" s="6">
        <v>46070</v>
      </c>
      <c r="C477" s="5" t="s">
        <v>924</v>
      </c>
      <c r="D477" s="5" t="s">
        <v>202</v>
      </c>
      <c r="E477" s="5" t="s">
        <v>71</v>
      </c>
      <c r="F477" s="5" t="s">
        <v>17</v>
      </c>
      <c r="G477">
        <v>0.43055555555555558</v>
      </c>
      <c r="H477">
        <v>0.44305555555555548</v>
      </c>
      <c r="I477">
        <v>20</v>
      </c>
      <c r="J477" s="5" t="s">
        <v>54</v>
      </c>
      <c r="K477" s="5" t="s">
        <v>19</v>
      </c>
      <c r="L477">
        <v>1199</v>
      </c>
      <c r="M477" s="5">
        <v>18</v>
      </c>
      <c r="N477" s="5" t="s">
        <v>1675</v>
      </c>
      <c r="O477" s="5" t="s">
        <v>1661</v>
      </c>
      <c r="P477">
        <v>0</v>
      </c>
      <c r="Q477" t="s">
        <v>1660</v>
      </c>
      <c r="R477" t="s">
        <v>1657</v>
      </c>
    </row>
    <row r="478" spans="1:18" x14ac:dyDescent="0.35">
      <c r="A478" s="5" t="s">
        <v>925</v>
      </c>
      <c r="B478" s="6">
        <v>46070</v>
      </c>
      <c r="C478" s="5" t="s">
        <v>926</v>
      </c>
      <c r="D478" s="5" t="s">
        <v>588</v>
      </c>
      <c r="E478" s="5" t="s">
        <v>84</v>
      </c>
      <c r="F478" s="5" t="s">
        <v>17</v>
      </c>
      <c r="G478">
        <v>0.70138888888888884</v>
      </c>
      <c r="H478">
        <v>0.7055555555555556</v>
      </c>
      <c r="I478">
        <v>12</v>
      </c>
      <c r="J478" s="5" t="s">
        <v>18</v>
      </c>
      <c r="K478" s="5" t="s">
        <v>19</v>
      </c>
      <c r="L478">
        <v>1658</v>
      </c>
      <c r="M478" s="5">
        <v>6</v>
      </c>
      <c r="N478" s="5" t="s">
        <v>1675</v>
      </c>
      <c r="O478" s="5" t="s">
        <v>1661</v>
      </c>
      <c r="P478">
        <v>1</v>
      </c>
      <c r="Q478" t="s">
        <v>1663</v>
      </c>
    </row>
    <row r="479" spans="1:18" x14ac:dyDescent="0.35">
      <c r="A479" s="5" t="s">
        <v>927</v>
      </c>
      <c r="B479" s="6">
        <v>46071</v>
      </c>
      <c r="C479" s="5" t="s">
        <v>330</v>
      </c>
      <c r="D479" s="5" t="s">
        <v>546</v>
      </c>
      <c r="E479" s="5" t="s">
        <v>588</v>
      </c>
      <c r="F479" s="5" t="s">
        <v>17</v>
      </c>
      <c r="G479">
        <v>0.21527777777777779</v>
      </c>
      <c r="H479">
        <v>0.21111111111111111</v>
      </c>
      <c r="I479">
        <v>-16</v>
      </c>
      <c r="J479" s="5" t="s">
        <v>18</v>
      </c>
      <c r="K479" s="5" t="s">
        <v>19</v>
      </c>
      <c r="L479">
        <v>1053</v>
      </c>
      <c r="M479" s="5">
        <v>-6</v>
      </c>
      <c r="N479" s="5" t="s">
        <v>1675</v>
      </c>
      <c r="O479" s="5" t="s">
        <v>1662</v>
      </c>
      <c r="P479">
        <v>1</v>
      </c>
      <c r="Q479" t="s">
        <v>1660</v>
      </c>
    </row>
    <row r="480" spans="1:18" x14ac:dyDescent="0.35">
      <c r="A480" s="5" t="s">
        <v>928</v>
      </c>
      <c r="B480" s="6">
        <v>46071</v>
      </c>
      <c r="C480" s="5" t="s">
        <v>929</v>
      </c>
      <c r="D480" s="5" t="s">
        <v>546</v>
      </c>
      <c r="E480" s="5" t="s">
        <v>197</v>
      </c>
      <c r="F480" s="5" t="s">
        <v>24</v>
      </c>
      <c r="G480">
        <v>0.28819444444444442</v>
      </c>
      <c r="H480">
        <v>0.29097222222222219</v>
      </c>
      <c r="I480">
        <v>-3</v>
      </c>
      <c r="J480" s="5" t="s">
        <v>18</v>
      </c>
      <c r="K480" s="5" t="s">
        <v>19</v>
      </c>
      <c r="L480">
        <v>2243</v>
      </c>
      <c r="M480" s="5">
        <v>4</v>
      </c>
      <c r="N480" s="5" t="s">
        <v>1675</v>
      </c>
      <c r="O480" s="5" t="s">
        <v>1662</v>
      </c>
      <c r="P480">
        <v>1</v>
      </c>
      <c r="Q480" t="s">
        <v>1660</v>
      </c>
    </row>
    <row r="481" spans="1:18" x14ac:dyDescent="0.35">
      <c r="A481" s="5" t="s">
        <v>930</v>
      </c>
      <c r="B481" s="6">
        <v>46072</v>
      </c>
      <c r="C481" s="5" t="s">
        <v>931</v>
      </c>
      <c r="D481" s="5" t="s">
        <v>79</v>
      </c>
      <c r="E481" s="5" t="s">
        <v>71</v>
      </c>
      <c r="F481" s="5" t="s">
        <v>28</v>
      </c>
      <c r="G481">
        <v>0.40625</v>
      </c>
      <c r="H481">
        <v>0.42499999999999999</v>
      </c>
      <c r="I481">
        <v>27</v>
      </c>
      <c r="J481" s="5" t="s">
        <v>477</v>
      </c>
      <c r="K481" s="5" t="s">
        <v>19</v>
      </c>
      <c r="L481">
        <v>606</v>
      </c>
      <c r="M481" s="5">
        <v>27</v>
      </c>
      <c r="N481" s="5" t="s">
        <v>1675</v>
      </c>
      <c r="O481" s="5" t="s">
        <v>1664</v>
      </c>
      <c r="P481">
        <v>0</v>
      </c>
      <c r="Q481" t="s">
        <v>1660</v>
      </c>
      <c r="R481" t="s">
        <v>1670</v>
      </c>
    </row>
    <row r="482" spans="1:18" x14ac:dyDescent="0.35">
      <c r="A482" s="5" t="s">
        <v>932</v>
      </c>
      <c r="B482" s="6">
        <v>46072</v>
      </c>
      <c r="C482" s="5" t="s">
        <v>933</v>
      </c>
      <c r="D482" s="5" t="s">
        <v>413</v>
      </c>
      <c r="E482" s="5" t="s">
        <v>226</v>
      </c>
      <c r="F482" s="5" t="s">
        <v>24</v>
      </c>
      <c r="G482">
        <v>0.40625</v>
      </c>
      <c r="H482">
        <v>0.4284722222222222</v>
      </c>
      <c r="I482">
        <v>18</v>
      </c>
      <c r="J482" s="5" t="s">
        <v>60</v>
      </c>
      <c r="K482" s="5" t="s">
        <v>19</v>
      </c>
      <c r="L482">
        <v>861</v>
      </c>
      <c r="M482" s="5">
        <v>32</v>
      </c>
      <c r="N482" s="5" t="s">
        <v>1675</v>
      </c>
      <c r="O482" s="5" t="s">
        <v>1664</v>
      </c>
      <c r="P482">
        <v>0</v>
      </c>
      <c r="Q482" t="s">
        <v>1660</v>
      </c>
      <c r="R482" t="s">
        <v>1657</v>
      </c>
    </row>
    <row r="483" spans="1:18" x14ac:dyDescent="0.35">
      <c r="A483" s="5" t="s">
        <v>934</v>
      </c>
      <c r="B483" s="6">
        <v>46072</v>
      </c>
      <c r="C483" s="5" t="s">
        <v>935</v>
      </c>
      <c r="D483" s="5" t="s">
        <v>588</v>
      </c>
      <c r="E483" s="5" t="s">
        <v>202</v>
      </c>
      <c r="F483" s="5" t="s">
        <v>38</v>
      </c>
      <c r="G483">
        <v>0.55208333333333337</v>
      </c>
      <c r="H483">
        <v>0.55347222222222225</v>
      </c>
      <c r="I483">
        <v>7</v>
      </c>
      <c r="J483" s="5" t="s">
        <v>18</v>
      </c>
      <c r="K483" s="5" t="s">
        <v>19</v>
      </c>
      <c r="M483" s="5">
        <v>2</v>
      </c>
      <c r="N483" s="5" t="s">
        <v>1675</v>
      </c>
      <c r="O483" s="5" t="s">
        <v>1664</v>
      </c>
      <c r="P483">
        <v>1</v>
      </c>
      <c r="Q483" t="s">
        <v>1663</v>
      </c>
    </row>
    <row r="484" spans="1:18" x14ac:dyDescent="0.35">
      <c r="A484" s="5" t="s">
        <v>936</v>
      </c>
      <c r="B484" s="6">
        <v>46072</v>
      </c>
      <c r="C484" s="5" t="s">
        <v>937</v>
      </c>
      <c r="D484" s="5" t="s">
        <v>1549</v>
      </c>
      <c r="E484" s="5" t="s">
        <v>197</v>
      </c>
      <c r="F484" s="5" t="s">
        <v>17</v>
      </c>
      <c r="G484">
        <v>0.68402777777777779</v>
      </c>
      <c r="H484">
        <v>0.8354166666666667</v>
      </c>
      <c r="I484">
        <v>213</v>
      </c>
      <c r="J484" s="5" t="s">
        <v>319</v>
      </c>
      <c r="K484" s="5" t="s">
        <v>19</v>
      </c>
      <c r="L484">
        <v>186</v>
      </c>
      <c r="M484" s="5">
        <v>218</v>
      </c>
      <c r="N484" s="5" t="s">
        <v>1675</v>
      </c>
      <c r="O484" s="5" t="s">
        <v>1664</v>
      </c>
      <c r="P484">
        <v>0</v>
      </c>
      <c r="Q484" t="s">
        <v>1663</v>
      </c>
      <c r="R484" t="s">
        <v>1670</v>
      </c>
    </row>
    <row r="485" spans="1:18" x14ac:dyDescent="0.35">
      <c r="A485" s="5" t="s">
        <v>938</v>
      </c>
      <c r="B485" s="6">
        <v>46072</v>
      </c>
      <c r="C485" s="5" t="s">
        <v>508</v>
      </c>
      <c r="D485" s="5" t="s">
        <v>588</v>
      </c>
      <c r="E485" s="5" t="s">
        <v>1549</v>
      </c>
      <c r="F485" s="5" t="s">
        <v>24</v>
      </c>
      <c r="G485">
        <v>0.6875</v>
      </c>
      <c r="H485">
        <v>0.68819444444444444</v>
      </c>
      <c r="I485">
        <v>-9</v>
      </c>
      <c r="J485" s="5" t="s">
        <v>18</v>
      </c>
      <c r="K485" s="5" t="s">
        <v>19</v>
      </c>
      <c r="L485">
        <v>1559</v>
      </c>
      <c r="M485" s="5">
        <v>1</v>
      </c>
      <c r="N485" s="5" t="s">
        <v>1675</v>
      </c>
      <c r="O485" s="5" t="s">
        <v>1664</v>
      </c>
      <c r="P485">
        <v>1</v>
      </c>
      <c r="Q485" t="s">
        <v>1663</v>
      </c>
    </row>
    <row r="486" spans="1:18" x14ac:dyDescent="0.35">
      <c r="A486" s="5" t="s">
        <v>939</v>
      </c>
      <c r="B486" s="6">
        <v>46072</v>
      </c>
      <c r="C486" s="5" t="s">
        <v>288</v>
      </c>
      <c r="D486" s="5" t="s">
        <v>546</v>
      </c>
      <c r="E486" s="5" t="s">
        <v>79</v>
      </c>
      <c r="F486" s="5" t="s">
        <v>24</v>
      </c>
      <c r="G486">
        <v>0.71875</v>
      </c>
      <c r="H486">
        <v>0.75416666666666665</v>
      </c>
      <c r="I486">
        <v>56</v>
      </c>
      <c r="J486" s="5" t="s">
        <v>129</v>
      </c>
      <c r="K486" s="5" t="s">
        <v>19</v>
      </c>
      <c r="L486">
        <v>1743</v>
      </c>
      <c r="M486" s="5">
        <v>51</v>
      </c>
      <c r="N486" s="5" t="s">
        <v>1675</v>
      </c>
      <c r="O486" s="5" t="s">
        <v>1664</v>
      </c>
      <c r="P486">
        <v>0</v>
      </c>
      <c r="Q486" t="s">
        <v>1665</v>
      </c>
      <c r="R486" t="s">
        <v>1670</v>
      </c>
    </row>
    <row r="487" spans="1:18" x14ac:dyDescent="0.35">
      <c r="A487" s="5" t="s">
        <v>941</v>
      </c>
      <c r="B487" s="6">
        <v>46073</v>
      </c>
      <c r="C487" s="5" t="s">
        <v>942</v>
      </c>
      <c r="D487" s="5" t="s">
        <v>1171</v>
      </c>
      <c r="E487" s="5" t="s">
        <v>226</v>
      </c>
      <c r="F487" s="5" t="s">
        <v>17</v>
      </c>
      <c r="G487">
        <v>0.41319444444444442</v>
      </c>
      <c r="H487">
        <v>0.4201388888888889</v>
      </c>
      <c r="I487">
        <v>12</v>
      </c>
      <c r="J487" s="5" t="s">
        <v>18</v>
      </c>
      <c r="K487" s="5" t="s">
        <v>19</v>
      </c>
      <c r="L487">
        <v>602</v>
      </c>
      <c r="M487" s="5">
        <v>10</v>
      </c>
      <c r="N487" s="5" t="s">
        <v>1675</v>
      </c>
      <c r="O487" s="5" t="s">
        <v>1666</v>
      </c>
      <c r="P487">
        <v>1</v>
      </c>
      <c r="Q487" t="s">
        <v>1660</v>
      </c>
    </row>
    <row r="488" spans="1:18" x14ac:dyDescent="0.35">
      <c r="A488" s="5" t="s">
        <v>943</v>
      </c>
      <c r="B488" s="6">
        <v>46073</v>
      </c>
      <c r="C488" s="5" t="s">
        <v>851</v>
      </c>
      <c r="D488" s="5" t="s">
        <v>413</v>
      </c>
      <c r="E488" s="5" t="s">
        <v>226</v>
      </c>
      <c r="F488" s="5" t="s">
        <v>17</v>
      </c>
      <c r="G488">
        <v>0.47569444444444442</v>
      </c>
      <c r="H488">
        <v>0.47083333333333333</v>
      </c>
      <c r="I488">
        <v>-12</v>
      </c>
      <c r="J488" s="5" t="s">
        <v>18</v>
      </c>
      <c r="K488" s="5" t="s">
        <v>19</v>
      </c>
      <c r="L488">
        <v>861</v>
      </c>
      <c r="M488" s="5">
        <v>-7</v>
      </c>
      <c r="N488" s="5" t="s">
        <v>1675</v>
      </c>
      <c r="O488" s="5" t="s">
        <v>1666</v>
      </c>
      <c r="P488">
        <v>1</v>
      </c>
      <c r="Q488" t="s">
        <v>1660</v>
      </c>
    </row>
    <row r="489" spans="1:18" x14ac:dyDescent="0.35">
      <c r="A489" s="5" t="s">
        <v>944</v>
      </c>
      <c r="B489" s="6">
        <v>46073</v>
      </c>
      <c r="C489" s="5" t="s">
        <v>945</v>
      </c>
      <c r="D489" s="5" t="s">
        <v>71</v>
      </c>
      <c r="E489" s="5" t="s">
        <v>588</v>
      </c>
      <c r="F489" s="5" t="s">
        <v>17</v>
      </c>
      <c r="G489">
        <v>0.59375</v>
      </c>
      <c r="H489">
        <v>0.59236111111111112</v>
      </c>
      <c r="I489">
        <v>6</v>
      </c>
      <c r="J489" s="5" t="s">
        <v>18</v>
      </c>
      <c r="K489" s="5" t="s">
        <v>19</v>
      </c>
      <c r="L489">
        <v>802</v>
      </c>
      <c r="M489" s="5">
        <v>-2</v>
      </c>
      <c r="N489" s="5" t="s">
        <v>1675</v>
      </c>
      <c r="O489" s="5" t="s">
        <v>1666</v>
      </c>
      <c r="P489">
        <v>1</v>
      </c>
      <c r="Q489" t="s">
        <v>1663</v>
      </c>
    </row>
    <row r="490" spans="1:18" x14ac:dyDescent="0.35">
      <c r="A490" s="5" t="s">
        <v>946</v>
      </c>
      <c r="B490" s="6">
        <v>46073</v>
      </c>
      <c r="C490" s="5" t="s">
        <v>125</v>
      </c>
      <c r="D490" s="5" t="s">
        <v>1171</v>
      </c>
      <c r="E490" s="5" t="s">
        <v>79</v>
      </c>
      <c r="F490" s="5" t="s">
        <v>24</v>
      </c>
      <c r="G490">
        <v>0.69791666666666663</v>
      </c>
      <c r="H490">
        <v>0.69652777777777775</v>
      </c>
      <c r="I490">
        <v>0</v>
      </c>
      <c r="J490" s="5" t="s">
        <v>18</v>
      </c>
      <c r="K490" s="5" t="s">
        <v>19</v>
      </c>
      <c r="L490">
        <v>1584</v>
      </c>
      <c r="M490" s="5">
        <v>-2</v>
      </c>
      <c r="N490" s="5" t="s">
        <v>1675</v>
      </c>
      <c r="O490" s="5" t="s">
        <v>1666</v>
      </c>
      <c r="P490">
        <v>1</v>
      </c>
      <c r="Q490" t="s">
        <v>1663</v>
      </c>
    </row>
    <row r="491" spans="1:18" x14ac:dyDescent="0.35">
      <c r="A491" s="5" t="s">
        <v>947</v>
      </c>
      <c r="B491" s="6">
        <v>46073</v>
      </c>
      <c r="C491" s="5" t="s">
        <v>935</v>
      </c>
      <c r="D491" s="5" t="s">
        <v>84</v>
      </c>
      <c r="E491" s="5" t="s">
        <v>79</v>
      </c>
      <c r="F491" s="5" t="s">
        <v>28</v>
      </c>
      <c r="G491">
        <v>0.89236111111111116</v>
      </c>
      <c r="H491">
        <v>0.90833333333333333</v>
      </c>
      <c r="I491">
        <v>28</v>
      </c>
      <c r="J491" s="5" t="s">
        <v>319</v>
      </c>
      <c r="K491" s="5" t="s">
        <v>19</v>
      </c>
      <c r="L491">
        <v>2178</v>
      </c>
      <c r="M491" s="5">
        <v>23</v>
      </c>
      <c r="N491" s="5" t="s">
        <v>1675</v>
      </c>
      <c r="O491" s="5" t="s">
        <v>1666</v>
      </c>
      <c r="P491">
        <v>0</v>
      </c>
      <c r="Q491" t="s">
        <v>1669</v>
      </c>
      <c r="R491" t="s">
        <v>1670</v>
      </c>
    </row>
    <row r="492" spans="1:18" x14ac:dyDescent="0.35">
      <c r="A492" s="5" t="s">
        <v>948</v>
      </c>
      <c r="B492" s="6">
        <v>46074</v>
      </c>
      <c r="C492" s="5" t="s">
        <v>330</v>
      </c>
      <c r="D492" s="5" t="s">
        <v>79</v>
      </c>
      <c r="E492" s="5" t="s">
        <v>588</v>
      </c>
      <c r="F492" s="5" t="s">
        <v>17</v>
      </c>
      <c r="G492">
        <v>0.54166666666666663</v>
      </c>
      <c r="H492">
        <v>0.53888888888888886</v>
      </c>
      <c r="I492">
        <v>-11</v>
      </c>
      <c r="J492" s="5" t="s">
        <v>18</v>
      </c>
      <c r="K492" s="5" t="s">
        <v>19</v>
      </c>
      <c r="L492">
        <v>730</v>
      </c>
      <c r="M492" s="5">
        <v>-4</v>
      </c>
      <c r="N492" s="5" t="s">
        <v>1675</v>
      </c>
      <c r="O492" s="5" t="s">
        <v>1667</v>
      </c>
      <c r="P492">
        <v>1</v>
      </c>
      <c r="Q492" t="s">
        <v>1663</v>
      </c>
    </row>
    <row r="493" spans="1:18" x14ac:dyDescent="0.35">
      <c r="A493" s="5" t="s">
        <v>949</v>
      </c>
      <c r="B493" s="6">
        <v>46075</v>
      </c>
      <c r="C493" s="5" t="s">
        <v>950</v>
      </c>
      <c r="D493" s="5" t="s">
        <v>1549</v>
      </c>
      <c r="E493" s="5" t="s">
        <v>588</v>
      </c>
      <c r="F493" s="5" t="s">
        <v>24</v>
      </c>
      <c r="G493">
        <v>0.49305555555555558</v>
      </c>
      <c r="H493">
        <v>0.51111111111111107</v>
      </c>
      <c r="I493">
        <v>32</v>
      </c>
      <c r="J493" s="5" t="s">
        <v>129</v>
      </c>
      <c r="K493" s="5" t="s">
        <v>19</v>
      </c>
      <c r="L493">
        <v>1559</v>
      </c>
      <c r="M493" s="5">
        <v>26</v>
      </c>
      <c r="N493" s="5" t="s">
        <v>1675</v>
      </c>
      <c r="O493" s="5" t="s">
        <v>1668</v>
      </c>
      <c r="P493">
        <v>0</v>
      </c>
      <c r="Q493" t="s">
        <v>1660</v>
      </c>
      <c r="R493" t="s">
        <v>1670</v>
      </c>
    </row>
    <row r="494" spans="1:18" x14ac:dyDescent="0.35">
      <c r="A494" s="5" t="s">
        <v>951</v>
      </c>
      <c r="B494" s="6">
        <v>46075</v>
      </c>
      <c r="C494" s="5" t="s">
        <v>874</v>
      </c>
      <c r="D494" s="5" t="s">
        <v>71</v>
      </c>
      <c r="E494" s="5" t="s">
        <v>1549</v>
      </c>
      <c r="F494" s="5" t="s">
        <v>28</v>
      </c>
      <c r="G494">
        <v>0.63541666666666663</v>
      </c>
      <c r="H494">
        <v>0.6381944444444444</v>
      </c>
      <c r="I494">
        <v>-2</v>
      </c>
      <c r="J494" s="5" t="s">
        <v>18</v>
      </c>
      <c r="K494" s="5" t="s">
        <v>19</v>
      </c>
      <c r="L494">
        <v>864</v>
      </c>
      <c r="M494" s="5">
        <v>4</v>
      </c>
      <c r="N494" s="5" t="s">
        <v>1675</v>
      </c>
      <c r="O494" s="5" t="s">
        <v>1668</v>
      </c>
      <c r="P494">
        <v>1</v>
      </c>
      <c r="Q494" t="s">
        <v>1663</v>
      </c>
    </row>
    <row r="495" spans="1:18" x14ac:dyDescent="0.35">
      <c r="A495" s="5" t="s">
        <v>952</v>
      </c>
      <c r="B495" s="6">
        <v>46076</v>
      </c>
      <c r="C495" s="5" t="s">
        <v>748</v>
      </c>
      <c r="D495" s="5" t="s">
        <v>1549</v>
      </c>
      <c r="E495" s="5" t="s">
        <v>79</v>
      </c>
      <c r="F495" s="5" t="s">
        <v>17</v>
      </c>
      <c r="G495">
        <v>0.34722222222222221</v>
      </c>
      <c r="H495">
        <v>0.3611111111111111</v>
      </c>
      <c r="J495" s="5" t="s">
        <v>129</v>
      </c>
      <c r="K495" s="5" t="s">
        <v>19</v>
      </c>
      <c r="L495">
        <v>945</v>
      </c>
      <c r="M495" s="5">
        <v>20</v>
      </c>
      <c r="N495" s="5" t="s">
        <v>1675</v>
      </c>
      <c r="O495" s="5" t="s">
        <v>1659</v>
      </c>
      <c r="Q495" t="s">
        <v>1660</v>
      </c>
      <c r="R495" t="s">
        <v>1670</v>
      </c>
    </row>
    <row r="496" spans="1:18" x14ac:dyDescent="0.35">
      <c r="A496" s="5" t="s">
        <v>953</v>
      </c>
      <c r="B496" s="6">
        <v>46076</v>
      </c>
      <c r="C496" s="5" t="s">
        <v>821</v>
      </c>
      <c r="D496" s="5" t="s">
        <v>546</v>
      </c>
      <c r="E496" s="5" t="s">
        <v>1171</v>
      </c>
      <c r="F496" s="5" t="s">
        <v>17</v>
      </c>
      <c r="G496">
        <v>0.35416666666666669</v>
      </c>
      <c r="H496">
        <v>0.35555555555555562</v>
      </c>
      <c r="I496">
        <v>-9</v>
      </c>
      <c r="J496" s="5" t="s">
        <v>18</v>
      </c>
      <c r="K496" s="5" t="s">
        <v>19</v>
      </c>
      <c r="L496">
        <v>256</v>
      </c>
      <c r="M496" s="5">
        <v>2</v>
      </c>
      <c r="N496" s="5" t="s">
        <v>1675</v>
      </c>
      <c r="O496" s="5" t="s">
        <v>1659</v>
      </c>
      <c r="P496">
        <v>1</v>
      </c>
      <c r="Q496" t="s">
        <v>1660</v>
      </c>
    </row>
    <row r="497" spans="1:18" x14ac:dyDescent="0.35">
      <c r="A497" s="5" t="s">
        <v>954</v>
      </c>
      <c r="B497" s="6">
        <v>46076</v>
      </c>
      <c r="C497" s="5" t="s">
        <v>955</v>
      </c>
      <c r="D497" s="5" t="s">
        <v>226</v>
      </c>
      <c r="E497" s="5" t="s">
        <v>79</v>
      </c>
      <c r="F497" s="5" t="s">
        <v>38</v>
      </c>
      <c r="G497">
        <v>0.69444444444444442</v>
      </c>
      <c r="H497">
        <v>0.70138888888888884</v>
      </c>
      <c r="I497">
        <v>4</v>
      </c>
      <c r="J497" s="5" t="s">
        <v>18</v>
      </c>
      <c r="K497" s="5" t="s">
        <v>19</v>
      </c>
      <c r="L497">
        <v>1197</v>
      </c>
      <c r="M497" s="5">
        <v>10</v>
      </c>
      <c r="N497" s="5" t="s">
        <v>1675</v>
      </c>
      <c r="O497" s="5" t="s">
        <v>1659</v>
      </c>
      <c r="P497">
        <v>1</v>
      </c>
      <c r="Q497" t="s">
        <v>1663</v>
      </c>
    </row>
    <row r="498" spans="1:18" x14ac:dyDescent="0.35">
      <c r="A498" s="5" t="s">
        <v>956</v>
      </c>
      <c r="B498" s="6">
        <v>46076</v>
      </c>
      <c r="C498" s="5" t="s">
        <v>649</v>
      </c>
      <c r="D498" s="5" t="s">
        <v>197</v>
      </c>
      <c r="E498" s="5" t="s">
        <v>79</v>
      </c>
      <c r="F498" s="5" t="s">
        <v>38</v>
      </c>
      <c r="G498">
        <v>0.90625</v>
      </c>
      <c r="H498">
        <v>0.90347222222222223</v>
      </c>
      <c r="I498">
        <v>6</v>
      </c>
      <c r="J498" s="5" t="s">
        <v>18</v>
      </c>
      <c r="K498" s="5" t="s">
        <v>19</v>
      </c>
      <c r="L498">
        <v>759</v>
      </c>
      <c r="M498" s="5">
        <v>-4</v>
      </c>
      <c r="N498" s="5" t="s">
        <v>1675</v>
      </c>
      <c r="O498" s="5" t="s">
        <v>1659</v>
      </c>
      <c r="P498">
        <v>1</v>
      </c>
      <c r="Q498" t="s">
        <v>1669</v>
      </c>
    </row>
    <row r="499" spans="1:18" x14ac:dyDescent="0.35">
      <c r="A499" s="5" t="s">
        <v>957</v>
      </c>
      <c r="B499" s="6">
        <v>46077</v>
      </c>
      <c r="C499" s="5" t="s">
        <v>958</v>
      </c>
      <c r="D499" s="5" t="s">
        <v>202</v>
      </c>
      <c r="E499" s="5" t="s">
        <v>71</v>
      </c>
      <c r="F499" s="5" t="s">
        <v>38</v>
      </c>
      <c r="G499">
        <v>0.29166666666666669</v>
      </c>
      <c r="H499">
        <v>0.28680555555555548</v>
      </c>
      <c r="I499">
        <v>-12</v>
      </c>
      <c r="J499" s="5" t="s">
        <v>18</v>
      </c>
      <c r="K499" s="5" t="s">
        <v>19</v>
      </c>
      <c r="L499">
        <v>1199</v>
      </c>
      <c r="M499" s="5">
        <v>-7</v>
      </c>
      <c r="N499" s="5" t="s">
        <v>1675</v>
      </c>
      <c r="O499" s="5" t="s">
        <v>1661</v>
      </c>
      <c r="P499">
        <v>1</v>
      </c>
      <c r="Q499" t="s">
        <v>1660</v>
      </c>
    </row>
    <row r="500" spans="1:18" x14ac:dyDescent="0.35">
      <c r="A500" s="5" t="s">
        <v>959</v>
      </c>
      <c r="B500" s="6">
        <v>46077</v>
      </c>
      <c r="C500" s="5" t="s">
        <v>960</v>
      </c>
      <c r="D500" s="5" t="s">
        <v>71</v>
      </c>
      <c r="E500" s="5" t="s">
        <v>1549</v>
      </c>
      <c r="F500" s="5" t="s">
        <v>17</v>
      </c>
      <c r="G500">
        <v>0.44791666666666669</v>
      </c>
      <c r="H500">
        <v>0.4465277777777778</v>
      </c>
      <c r="I500">
        <v>1</v>
      </c>
      <c r="J500" s="5" t="s">
        <v>18</v>
      </c>
      <c r="K500" s="5" t="s">
        <v>19</v>
      </c>
      <c r="L500">
        <v>864</v>
      </c>
      <c r="M500" s="5">
        <v>-2</v>
      </c>
      <c r="N500" s="5" t="s">
        <v>1675</v>
      </c>
      <c r="O500" s="5" t="s">
        <v>1661</v>
      </c>
      <c r="P500">
        <v>1</v>
      </c>
      <c r="Q500" t="s">
        <v>1660</v>
      </c>
    </row>
    <row r="501" spans="1:18" x14ac:dyDescent="0.35">
      <c r="A501" s="5" t="s">
        <v>961</v>
      </c>
      <c r="B501" s="6">
        <v>46077</v>
      </c>
      <c r="C501" s="5" t="s">
        <v>962</v>
      </c>
      <c r="D501" s="5" t="s">
        <v>71</v>
      </c>
      <c r="E501" s="5" t="s">
        <v>588</v>
      </c>
      <c r="F501" s="5" t="s">
        <v>24</v>
      </c>
      <c r="G501">
        <v>0.63541666666666663</v>
      </c>
      <c r="H501">
        <v>0.64236111111111116</v>
      </c>
      <c r="I501">
        <v>-1</v>
      </c>
      <c r="J501" s="5" t="s">
        <v>18</v>
      </c>
      <c r="K501" s="5" t="s">
        <v>19</v>
      </c>
      <c r="L501">
        <v>802</v>
      </c>
      <c r="M501" s="5">
        <v>10</v>
      </c>
      <c r="N501" s="5" t="s">
        <v>1675</v>
      </c>
      <c r="O501" s="5" t="s">
        <v>1661</v>
      </c>
      <c r="P501">
        <v>1</v>
      </c>
      <c r="Q501" t="s">
        <v>1663</v>
      </c>
    </row>
    <row r="502" spans="1:18" x14ac:dyDescent="0.35">
      <c r="A502" s="5" t="s">
        <v>963</v>
      </c>
      <c r="B502" s="6">
        <v>46077</v>
      </c>
      <c r="C502" s="5" t="s">
        <v>251</v>
      </c>
      <c r="D502" s="5" t="s">
        <v>79</v>
      </c>
      <c r="E502" s="5" t="s">
        <v>71</v>
      </c>
      <c r="F502" s="5" t="s">
        <v>17</v>
      </c>
      <c r="G502">
        <v>0.67013888888888884</v>
      </c>
      <c r="H502">
        <v>0.66597222222222219</v>
      </c>
      <c r="I502">
        <v>-11</v>
      </c>
      <c r="J502" s="5" t="s">
        <v>18</v>
      </c>
      <c r="K502" s="5" t="s">
        <v>19</v>
      </c>
      <c r="L502">
        <v>606</v>
      </c>
      <c r="M502" s="5">
        <v>-6</v>
      </c>
      <c r="N502" s="5" t="s">
        <v>1675</v>
      </c>
      <c r="O502" s="5" t="s">
        <v>1661</v>
      </c>
      <c r="P502">
        <v>1</v>
      </c>
      <c r="Q502" t="s">
        <v>1663</v>
      </c>
    </row>
    <row r="503" spans="1:18" x14ac:dyDescent="0.35">
      <c r="A503" s="5" t="s">
        <v>964</v>
      </c>
      <c r="B503" s="6">
        <v>46077</v>
      </c>
      <c r="C503" s="5" t="s">
        <v>965</v>
      </c>
      <c r="D503" s="5" t="s">
        <v>413</v>
      </c>
      <c r="E503" s="5" t="s">
        <v>1549</v>
      </c>
      <c r="F503" s="5" t="s">
        <v>17</v>
      </c>
      <c r="G503">
        <v>0.76041666666666663</v>
      </c>
      <c r="H503">
        <v>0.80208333333333337</v>
      </c>
      <c r="I503">
        <v>48</v>
      </c>
      <c r="J503" s="5" t="s">
        <v>54</v>
      </c>
      <c r="K503" s="5" t="s">
        <v>19</v>
      </c>
      <c r="L503">
        <v>2606</v>
      </c>
      <c r="M503" s="5">
        <v>60</v>
      </c>
      <c r="N503" s="5" t="s">
        <v>1675</v>
      </c>
      <c r="O503" s="5" t="s">
        <v>1661</v>
      </c>
      <c r="P503">
        <v>0</v>
      </c>
      <c r="Q503" t="s">
        <v>1665</v>
      </c>
      <c r="R503" t="s">
        <v>1657</v>
      </c>
    </row>
    <row r="504" spans="1:18" x14ac:dyDescent="0.35">
      <c r="A504" s="5" t="s">
        <v>966</v>
      </c>
      <c r="B504" s="6">
        <v>46077</v>
      </c>
      <c r="C504" s="5" t="s">
        <v>967</v>
      </c>
      <c r="D504" s="5" t="s">
        <v>202</v>
      </c>
      <c r="E504" s="5" t="s">
        <v>79</v>
      </c>
      <c r="F504" s="5" t="s">
        <v>28</v>
      </c>
      <c r="G504">
        <v>0.82638888888888884</v>
      </c>
      <c r="H504">
        <v>0.82847222222222228</v>
      </c>
      <c r="I504">
        <v>6</v>
      </c>
      <c r="J504" s="5" t="s">
        <v>18</v>
      </c>
      <c r="K504" s="5" t="s">
        <v>19</v>
      </c>
      <c r="L504">
        <v>596</v>
      </c>
      <c r="M504" s="5">
        <v>3</v>
      </c>
      <c r="N504" s="5" t="s">
        <v>1675</v>
      </c>
      <c r="O504" s="5" t="s">
        <v>1661</v>
      </c>
      <c r="P504">
        <v>1</v>
      </c>
      <c r="Q504" t="s">
        <v>1665</v>
      </c>
    </row>
    <row r="505" spans="1:18" x14ac:dyDescent="0.35">
      <c r="A505" s="5" t="s">
        <v>968</v>
      </c>
      <c r="B505" s="6">
        <v>46078</v>
      </c>
      <c r="C505" s="5" t="s">
        <v>969</v>
      </c>
      <c r="D505" s="5" t="s">
        <v>197</v>
      </c>
      <c r="E505" s="5" t="s">
        <v>202</v>
      </c>
      <c r="F505" s="5" t="s">
        <v>24</v>
      </c>
      <c r="G505">
        <v>0.38541666666666669</v>
      </c>
      <c r="H505">
        <v>0.38333333333333341</v>
      </c>
      <c r="I505">
        <v>-13</v>
      </c>
      <c r="J505" s="5" t="s">
        <v>18</v>
      </c>
      <c r="K505" s="5" t="s">
        <v>19</v>
      </c>
      <c r="L505">
        <v>1092</v>
      </c>
      <c r="M505" s="5">
        <v>-3</v>
      </c>
      <c r="N505" s="5" t="s">
        <v>1675</v>
      </c>
      <c r="O505" s="5" t="s">
        <v>1662</v>
      </c>
      <c r="P505">
        <v>1</v>
      </c>
      <c r="Q505" t="s">
        <v>1660</v>
      </c>
    </row>
    <row r="506" spans="1:18" x14ac:dyDescent="0.35">
      <c r="A506" s="5" t="s">
        <v>970</v>
      </c>
      <c r="B506" s="6">
        <v>46078</v>
      </c>
      <c r="C506" s="5" t="s">
        <v>971</v>
      </c>
      <c r="D506" s="5" t="s">
        <v>413</v>
      </c>
      <c r="E506" s="5" t="s">
        <v>588</v>
      </c>
      <c r="F506" s="5" t="s">
        <v>24</v>
      </c>
      <c r="G506">
        <v>0.70486111111111116</v>
      </c>
      <c r="H506">
        <v>0.70972222222222225</v>
      </c>
      <c r="I506">
        <v>15</v>
      </c>
      <c r="J506" s="5" t="s">
        <v>18</v>
      </c>
      <c r="K506" s="5" t="s">
        <v>19</v>
      </c>
      <c r="L506">
        <v>1232</v>
      </c>
      <c r="M506" s="5">
        <v>7</v>
      </c>
      <c r="N506" s="5" t="s">
        <v>1675</v>
      </c>
      <c r="O506" s="5" t="s">
        <v>1662</v>
      </c>
      <c r="P506">
        <v>1</v>
      </c>
      <c r="Q506" t="s">
        <v>1663</v>
      </c>
    </row>
    <row r="507" spans="1:18" x14ac:dyDescent="0.35">
      <c r="A507" s="5" t="s">
        <v>972</v>
      </c>
      <c r="B507" s="6">
        <v>46078</v>
      </c>
      <c r="C507" s="5" t="s">
        <v>973</v>
      </c>
      <c r="D507" s="5" t="s">
        <v>546</v>
      </c>
      <c r="E507" s="5" t="s">
        <v>1549</v>
      </c>
      <c r="F507" s="5" t="s">
        <v>17</v>
      </c>
      <c r="G507">
        <v>0.76736111111111116</v>
      </c>
      <c r="H507">
        <v>0.77361111111111114</v>
      </c>
      <c r="I507">
        <v>-2</v>
      </c>
      <c r="J507" s="5" t="s">
        <v>18</v>
      </c>
      <c r="K507" s="5" t="s">
        <v>19</v>
      </c>
      <c r="L507">
        <v>2375</v>
      </c>
      <c r="M507" s="5">
        <v>9</v>
      </c>
      <c r="N507" s="5" t="s">
        <v>1675</v>
      </c>
      <c r="O507" s="5" t="s">
        <v>1662</v>
      </c>
      <c r="P507">
        <v>1</v>
      </c>
      <c r="Q507" t="s">
        <v>1665</v>
      </c>
    </row>
    <row r="508" spans="1:18" x14ac:dyDescent="0.35">
      <c r="A508" s="5" t="s">
        <v>974</v>
      </c>
      <c r="B508" s="6">
        <v>46078</v>
      </c>
      <c r="C508" s="5" t="s">
        <v>975</v>
      </c>
      <c r="D508" s="5" t="s">
        <v>226</v>
      </c>
      <c r="E508" s="5" t="s">
        <v>197</v>
      </c>
      <c r="F508" s="5" t="s">
        <v>28</v>
      </c>
      <c r="G508">
        <v>0.78125</v>
      </c>
      <c r="H508">
        <v>0.80138888888888893</v>
      </c>
      <c r="I508">
        <v>28</v>
      </c>
      <c r="J508" s="5" t="s">
        <v>129</v>
      </c>
      <c r="K508" s="5" t="s">
        <v>19</v>
      </c>
      <c r="L508">
        <v>1622</v>
      </c>
      <c r="M508" s="5">
        <v>29</v>
      </c>
      <c r="N508" s="5" t="s">
        <v>1675</v>
      </c>
      <c r="O508" s="5" t="s">
        <v>1662</v>
      </c>
      <c r="P508">
        <v>0</v>
      </c>
      <c r="Q508" t="s">
        <v>1665</v>
      </c>
      <c r="R508" t="s">
        <v>1670</v>
      </c>
    </row>
    <row r="509" spans="1:18" x14ac:dyDescent="0.35">
      <c r="A509" s="5" t="s">
        <v>976</v>
      </c>
      <c r="B509" s="6">
        <v>46080</v>
      </c>
      <c r="C509" s="5" t="s">
        <v>125</v>
      </c>
      <c r="D509" s="5" t="s">
        <v>79</v>
      </c>
      <c r="E509" s="5" t="s">
        <v>413</v>
      </c>
      <c r="F509" s="5" t="s">
        <v>38</v>
      </c>
      <c r="G509">
        <v>0.3263888888888889</v>
      </c>
      <c r="H509">
        <v>0.35486111111111113</v>
      </c>
      <c r="I509">
        <v>39</v>
      </c>
      <c r="J509" s="5" t="s">
        <v>54</v>
      </c>
      <c r="K509" s="5" t="s">
        <v>19</v>
      </c>
      <c r="L509">
        <v>1942</v>
      </c>
      <c r="M509" s="5">
        <v>41</v>
      </c>
      <c r="N509" s="5" t="s">
        <v>1675</v>
      </c>
      <c r="O509" s="5" t="s">
        <v>1666</v>
      </c>
      <c r="P509">
        <v>0</v>
      </c>
      <c r="Q509" t="s">
        <v>1660</v>
      </c>
      <c r="R509" t="s">
        <v>1657</v>
      </c>
    </row>
    <row r="510" spans="1:18" x14ac:dyDescent="0.35">
      <c r="A510" s="5" t="s">
        <v>977</v>
      </c>
      <c r="B510" s="6">
        <v>46080</v>
      </c>
      <c r="C510" s="5" t="s">
        <v>978</v>
      </c>
      <c r="D510" s="5" t="s">
        <v>413</v>
      </c>
      <c r="E510" s="5" t="s">
        <v>79</v>
      </c>
      <c r="F510" s="5" t="s">
        <v>38</v>
      </c>
      <c r="G510">
        <v>0.47569444444444442</v>
      </c>
      <c r="J510" s="5" t="s">
        <v>60</v>
      </c>
      <c r="K510" s="5" t="s">
        <v>254</v>
      </c>
      <c r="L510">
        <v>1942</v>
      </c>
      <c r="M510" s="5"/>
      <c r="N510" s="5" t="s">
        <v>1675</v>
      </c>
      <c r="O510" s="5" t="s">
        <v>1666</v>
      </c>
      <c r="Q510" t="s">
        <v>1660</v>
      </c>
      <c r="R510" t="s">
        <v>1657</v>
      </c>
    </row>
    <row r="511" spans="1:18" x14ac:dyDescent="0.35">
      <c r="A511" s="5" t="s">
        <v>979</v>
      </c>
      <c r="B511" s="6">
        <v>46080</v>
      </c>
      <c r="C511" s="5" t="s">
        <v>424</v>
      </c>
      <c r="D511" s="5" t="s">
        <v>226</v>
      </c>
      <c r="E511" s="5" t="s">
        <v>71</v>
      </c>
      <c r="F511" s="5" t="s">
        <v>17</v>
      </c>
      <c r="G511">
        <v>0.72569444444444442</v>
      </c>
      <c r="H511">
        <v>0.72916666666666663</v>
      </c>
      <c r="I511">
        <v>10</v>
      </c>
      <c r="J511" s="5" t="s">
        <v>18</v>
      </c>
      <c r="K511" s="5" t="s">
        <v>19</v>
      </c>
      <c r="L511">
        <v>886</v>
      </c>
      <c r="M511" s="5">
        <v>5</v>
      </c>
      <c r="N511" s="5" t="s">
        <v>1675</v>
      </c>
      <c r="O511" s="5" t="s">
        <v>1666</v>
      </c>
      <c r="P511">
        <v>1</v>
      </c>
      <c r="Q511" t="s">
        <v>1665</v>
      </c>
    </row>
    <row r="512" spans="1:18" x14ac:dyDescent="0.35">
      <c r="A512" s="5" t="s">
        <v>980</v>
      </c>
      <c r="B512" s="6">
        <v>46080</v>
      </c>
      <c r="C512" s="5" t="s">
        <v>981</v>
      </c>
      <c r="D512" s="5" t="s">
        <v>202</v>
      </c>
      <c r="E512" s="5" t="s">
        <v>71</v>
      </c>
      <c r="F512" s="5" t="s">
        <v>28</v>
      </c>
      <c r="G512">
        <v>0.74305555555555558</v>
      </c>
      <c r="H512">
        <v>0.78055555555555556</v>
      </c>
      <c r="I512">
        <v>48</v>
      </c>
      <c r="J512" s="5" t="s">
        <v>54</v>
      </c>
      <c r="K512" s="5" t="s">
        <v>19</v>
      </c>
      <c r="L512">
        <v>1199</v>
      </c>
      <c r="M512" s="5">
        <v>54</v>
      </c>
      <c r="N512" s="5" t="s">
        <v>1675</v>
      </c>
      <c r="O512" s="5" t="s">
        <v>1666</v>
      </c>
      <c r="P512">
        <v>0</v>
      </c>
      <c r="Q512" t="s">
        <v>1665</v>
      </c>
      <c r="R512" t="s">
        <v>1657</v>
      </c>
    </row>
    <row r="513" spans="1:18" x14ac:dyDescent="0.35">
      <c r="A513" s="5" t="s">
        <v>982</v>
      </c>
      <c r="B513" s="6">
        <v>46081</v>
      </c>
      <c r="C513" s="5" t="s">
        <v>983</v>
      </c>
      <c r="D513" s="5" t="s">
        <v>1171</v>
      </c>
      <c r="E513" s="5" t="s">
        <v>588</v>
      </c>
      <c r="F513" s="5" t="s">
        <v>38</v>
      </c>
      <c r="G513">
        <v>0.53125</v>
      </c>
      <c r="H513">
        <v>0.53680555555555554</v>
      </c>
      <c r="I513">
        <v>4</v>
      </c>
      <c r="J513" s="5" t="s">
        <v>18</v>
      </c>
      <c r="K513" s="5" t="s">
        <v>19</v>
      </c>
      <c r="L513">
        <v>866</v>
      </c>
      <c r="M513" s="5">
        <v>8</v>
      </c>
      <c r="N513" s="5" t="s">
        <v>1675</v>
      </c>
      <c r="O513" s="5" t="s">
        <v>1667</v>
      </c>
      <c r="P513">
        <v>1</v>
      </c>
      <c r="Q513" t="s">
        <v>1663</v>
      </c>
    </row>
    <row r="514" spans="1:18" x14ac:dyDescent="0.35">
      <c r="A514" s="5" t="s">
        <v>984</v>
      </c>
      <c r="B514" s="6">
        <v>46081</v>
      </c>
      <c r="C514" s="5" t="s">
        <v>583</v>
      </c>
      <c r="D514" s="5" t="s">
        <v>202</v>
      </c>
      <c r="E514" s="5" t="s">
        <v>1295</v>
      </c>
      <c r="F514" s="5" t="s">
        <v>24</v>
      </c>
      <c r="G514">
        <v>0.71875</v>
      </c>
      <c r="J514" s="5" t="s">
        <v>129</v>
      </c>
      <c r="K514" s="5" t="s">
        <v>254</v>
      </c>
      <c r="L514">
        <v>2582</v>
      </c>
      <c r="M514" s="5"/>
      <c r="N514" s="5" t="s">
        <v>1675</v>
      </c>
      <c r="O514" s="5" t="s">
        <v>1667</v>
      </c>
      <c r="Q514" t="s">
        <v>1665</v>
      </c>
      <c r="R514" t="s">
        <v>1670</v>
      </c>
    </row>
    <row r="515" spans="1:18" x14ac:dyDescent="0.35">
      <c r="A515" s="5" t="s">
        <v>985</v>
      </c>
      <c r="B515" s="6">
        <v>46081</v>
      </c>
      <c r="C515" s="5" t="s">
        <v>986</v>
      </c>
      <c r="D515" s="5" t="s">
        <v>413</v>
      </c>
      <c r="E515" s="5" t="s">
        <v>1171</v>
      </c>
      <c r="F515" s="5" t="s">
        <v>38</v>
      </c>
      <c r="G515">
        <v>0.74305555555555558</v>
      </c>
      <c r="H515">
        <v>0.76458333333333328</v>
      </c>
      <c r="I515">
        <v>31</v>
      </c>
      <c r="J515" s="5" t="s">
        <v>60</v>
      </c>
      <c r="K515" s="5" t="s">
        <v>19</v>
      </c>
      <c r="L515">
        <v>370</v>
      </c>
      <c r="M515" s="5">
        <v>31</v>
      </c>
      <c r="N515" s="5" t="s">
        <v>1675</v>
      </c>
      <c r="O515" s="5" t="s">
        <v>1667</v>
      </c>
      <c r="P515">
        <v>0</v>
      </c>
      <c r="Q515" t="s">
        <v>1665</v>
      </c>
      <c r="R515" t="s">
        <v>1657</v>
      </c>
    </row>
    <row r="516" spans="1:18" x14ac:dyDescent="0.35">
      <c r="A516" s="5" t="s">
        <v>987</v>
      </c>
      <c r="B516" s="6">
        <v>46082</v>
      </c>
      <c r="C516" s="5" t="s">
        <v>988</v>
      </c>
      <c r="D516" s="5" t="s">
        <v>588</v>
      </c>
      <c r="E516" s="5" t="s">
        <v>226</v>
      </c>
      <c r="F516" s="5" t="s">
        <v>17</v>
      </c>
      <c r="G516">
        <v>0.27430555555555558</v>
      </c>
      <c r="H516">
        <v>0.27638888888888891</v>
      </c>
      <c r="I516">
        <v>-5</v>
      </c>
      <c r="J516" s="5" t="s">
        <v>18</v>
      </c>
      <c r="K516" s="5" t="s">
        <v>19</v>
      </c>
      <c r="L516">
        <v>641</v>
      </c>
      <c r="M516" s="5">
        <v>3</v>
      </c>
      <c r="N516" s="5" t="s">
        <v>1676</v>
      </c>
      <c r="O516" s="5" t="s">
        <v>1668</v>
      </c>
      <c r="P516">
        <v>1</v>
      </c>
      <c r="Q516" t="s">
        <v>1660</v>
      </c>
    </row>
    <row r="517" spans="1:18" x14ac:dyDescent="0.35">
      <c r="A517" s="5" t="s">
        <v>989</v>
      </c>
      <c r="B517" s="6">
        <v>46082</v>
      </c>
      <c r="C517" s="5" t="s">
        <v>139</v>
      </c>
      <c r="D517" s="5" t="s">
        <v>71</v>
      </c>
      <c r="E517" s="5" t="s">
        <v>1295</v>
      </c>
      <c r="F517" s="5" t="s">
        <v>24</v>
      </c>
      <c r="G517">
        <v>0.3923611111111111</v>
      </c>
      <c r="H517">
        <v>0.39444444444444438</v>
      </c>
      <c r="I517">
        <v>-9</v>
      </c>
      <c r="J517" s="5" t="s">
        <v>18</v>
      </c>
      <c r="K517" s="5" t="s">
        <v>19</v>
      </c>
      <c r="L517">
        <v>1842</v>
      </c>
      <c r="M517" s="5">
        <v>3</v>
      </c>
      <c r="N517" s="5" t="s">
        <v>1676</v>
      </c>
      <c r="O517" s="5" t="s">
        <v>1668</v>
      </c>
      <c r="P517">
        <v>1</v>
      </c>
      <c r="Q517" t="s">
        <v>1660</v>
      </c>
    </row>
    <row r="518" spans="1:18" x14ac:dyDescent="0.35">
      <c r="A518" s="5" t="s">
        <v>990</v>
      </c>
      <c r="B518" s="6">
        <v>46082</v>
      </c>
      <c r="C518" s="5" t="s">
        <v>991</v>
      </c>
      <c r="D518" s="5" t="s">
        <v>84</v>
      </c>
      <c r="E518" s="5" t="s">
        <v>71</v>
      </c>
      <c r="F518" s="5" t="s">
        <v>17</v>
      </c>
      <c r="G518">
        <v>0.41666666666666669</v>
      </c>
      <c r="H518">
        <v>0.41597222222222219</v>
      </c>
      <c r="I518">
        <v>-10</v>
      </c>
      <c r="J518" s="5" t="s">
        <v>18</v>
      </c>
      <c r="K518" s="5" t="s">
        <v>19</v>
      </c>
      <c r="L518">
        <v>1717</v>
      </c>
      <c r="M518" s="5">
        <v>-1</v>
      </c>
      <c r="N518" s="5" t="s">
        <v>1676</v>
      </c>
      <c r="O518" s="5" t="s">
        <v>1668</v>
      </c>
      <c r="P518">
        <v>1</v>
      </c>
      <c r="Q518" t="s">
        <v>1660</v>
      </c>
    </row>
    <row r="519" spans="1:18" x14ac:dyDescent="0.35">
      <c r="A519" s="5" t="s">
        <v>992</v>
      </c>
      <c r="B519" s="6">
        <v>46082</v>
      </c>
      <c r="C519" s="5" t="s">
        <v>605</v>
      </c>
      <c r="D519" s="5" t="s">
        <v>413</v>
      </c>
      <c r="E519" s="5" t="s">
        <v>71</v>
      </c>
      <c r="F519" s="5" t="s">
        <v>28</v>
      </c>
      <c r="G519">
        <v>0.71875</v>
      </c>
      <c r="H519">
        <v>0.73611111111111116</v>
      </c>
      <c r="I519">
        <v>16</v>
      </c>
      <c r="J519" s="5" t="s">
        <v>54</v>
      </c>
      <c r="K519" s="5" t="s">
        <v>19</v>
      </c>
      <c r="L519">
        <v>1742</v>
      </c>
      <c r="M519" s="5">
        <v>25</v>
      </c>
      <c r="N519" s="5" t="s">
        <v>1676</v>
      </c>
      <c r="O519" s="5" t="s">
        <v>1668</v>
      </c>
      <c r="P519">
        <v>0</v>
      </c>
      <c r="Q519" t="s">
        <v>1665</v>
      </c>
      <c r="R519" t="s">
        <v>1657</v>
      </c>
    </row>
    <row r="520" spans="1:18" x14ac:dyDescent="0.35">
      <c r="A520" s="5" t="s">
        <v>993</v>
      </c>
      <c r="B520" s="6">
        <v>46083</v>
      </c>
      <c r="C520" s="5" t="s">
        <v>994</v>
      </c>
      <c r="D520" s="5" t="s">
        <v>1171</v>
      </c>
      <c r="E520" s="5" t="s">
        <v>84</v>
      </c>
      <c r="F520" s="5" t="s">
        <v>38</v>
      </c>
      <c r="G520">
        <v>0.30902777777777779</v>
      </c>
      <c r="H520">
        <v>0.3125</v>
      </c>
      <c r="I520">
        <v>2</v>
      </c>
      <c r="J520" s="5" t="s">
        <v>18</v>
      </c>
      <c r="K520" s="5" t="s">
        <v>19</v>
      </c>
      <c r="L520">
        <v>1108</v>
      </c>
      <c r="M520" s="5">
        <v>5</v>
      </c>
      <c r="N520" s="5" t="s">
        <v>1676</v>
      </c>
      <c r="O520" s="5" t="s">
        <v>1659</v>
      </c>
      <c r="P520">
        <v>1</v>
      </c>
      <c r="Q520" t="s">
        <v>1660</v>
      </c>
    </row>
    <row r="521" spans="1:18" x14ac:dyDescent="0.35">
      <c r="A521" s="5" t="s">
        <v>995</v>
      </c>
      <c r="B521" s="6">
        <v>46083</v>
      </c>
      <c r="C521" s="5" t="s">
        <v>996</v>
      </c>
      <c r="D521" s="5" t="s">
        <v>79</v>
      </c>
      <c r="E521" s="5" t="s">
        <v>588</v>
      </c>
      <c r="F521" s="5" t="s">
        <v>17</v>
      </c>
      <c r="G521">
        <v>0.46875</v>
      </c>
      <c r="H521">
        <v>0.47152777777777782</v>
      </c>
      <c r="I521">
        <v>9</v>
      </c>
      <c r="J521" s="5" t="s">
        <v>18</v>
      </c>
      <c r="K521" s="5" t="s">
        <v>19</v>
      </c>
      <c r="L521">
        <v>730</v>
      </c>
      <c r="M521" s="5">
        <v>4</v>
      </c>
      <c r="N521" s="5" t="s">
        <v>1676</v>
      </c>
      <c r="O521" s="5" t="s">
        <v>1659</v>
      </c>
      <c r="P521">
        <v>1</v>
      </c>
      <c r="Q521" t="s">
        <v>1660</v>
      </c>
    </row>
    <row r="522" spans="1:18" x14ac:dyDescent="0.35">
      <c r="A522" s="5" t="s">
        <v>997</v>
      </c>
      <c r="B522" s="6">
        <v>46083</v>
      </c>
      <c r="C522" s="5" t="s">
        <v>998</v>
      </c>
      <c r="D522" s="5" t="s">
        <v>413</v>
      </c>
      <c r="E522" s="5" t="s">
        <v>79</v>
      </c>
      <c r="F522" s="5" t="s">
        <v>24</v>
      </c>
      <c r="G522">
        <v>0.71180555555555558</v>
      </c>
      <c r="H522">
        <v>0.70833333333333337</v>
      </c>
      <c r="I522">
        <v>4</v>
      </c>
      <c r="J522" s="5" t="s">
        <v>18</v>
      </c>
      <c r="K522" s="5" t="s">
        <v>19</v>
      </c>
      <c r="L522">
        <v>1942</v>
      </c>
      <c r="M522" s="5">
        <v>-5</v>
      </c>
      <c r="N522" s="5" t="s">
        <v>1676</v>
      </c>
      <c r="O522" s="5" t="s">
        <v>1659</v>
      </c>
      <c r="P522">
        <v>1</v>
      </c>
      <c r="Q522" t="s">
        <v>1665</v>
      </c>
    </row>
    <row r="523" spans="1:18" x14ac:dyDescent="0.35">
      <c r="A523" s="5" t="s">
        <v>999</v>
      </c>
      <c r="B523" s="6">
        <v>46083</v>
      </c>
      <c r="C523" s="5" t="s">
        <v>1000</v>
      </c>
      <c r="D523" s="5" t="s">
        <v>226</v>
      </c>
      <c r="E523" s="5" t="s">
        <v>79</v>
      </c>
      <c r="F523" s="5" t="s">
        <v>38</v>
      </c>
      <c r="G523">
        <v>0.73611111111111116</v>
      </c>
      <c r="H523">
        <v>0.82361111111111107</v>
      </c>
      <c r="I523">
        <v>127</v>
      </c>
      <c r="J523" s="5" t="s">
        <v>54</v>
      </c>
      <c r="K523" s="5" t="s">
        <v>19</v>
      </c>
      <c r="L523">
        <v>1197</v>
      </c>
      <c r="M523" s="5">
        <v>126</v>
      </c>
      <c r="N523" s="5" t="s">
        <v>1676</v>
      </c>
      <c r="O523" s="5" t="s">
        <v>1659</v>
      </c>
      <c r="P523">
        <v>0</v>
      </c>
      <c r="Q523" t="s">
        <v>1665</v>
      </c>
      <c r="R523" t="s">
        <v>1657</v>
      </c>
    </row>
    <row r="524" spans="1:18" x14ac:dyDescent="0.35">
      <c r="A524" s="5" t="s">
        <v>1001</v>
      </c>
      <c r="B524" s="6">
        <v>46083</v>
      </c>
      <c r="C524" s="5" t="s">
        <v>381</v>
      </c>
      <c r="D524" s="5" t="s">
        <v>588</v>
      </c>
      <c r="E524" s="5" t="s">
        <v>79</v>
      </c>
      <c r="F524" s="5" t="s">
        <v>17</v>
      </c>
      <c r="G524">
        <v>0.74305555555555558</v>
      </c>
      <c r="H524">
        <v>0.74375000000000002</v>
      </c>
      <c r="I524">
        <v>4</v>
      </c>
      <c r="J524" s="5" t="s">
        <v>18</v>
      </c>
      <c r="K524" s="5" t="s">
        <v>19</v>
      </c>
      <c r="L524">
        <v>730</v>
      </c>
      <c r="M524" s="5">
        <v>1</v>
      </c>
      <c r="N524" s="5" t="s">
        <v>1676</v>
      </c>
      <c r="O524" s="5" t="s">
        <v>1659</v>
      </c>
      <c r="P524">
        <v>1</v>
      </c>
      <c r="Q524" t="s">
        <v>1665</v>
      </c>
    </row>
    <row r="525" spans="1:18" x14ac:dyDescent="0.35">
      <c r="A525" s="5" t="s">
        <v>1002</v>
      </c>
      <c r="B525" s="6">
        <v>46084</v>
      </c>
      <c r="C525" s="5" t="s">
        <v>1003</v>
      </c>
      <c r="D525" s="5" t="s">
        <v>71</v>
      </c>
      <c r="E525" s="5" t="s">
        <v>413</v>
      </c>
      <c r="F525" s="5" t="s">
        <v>24</v>
      </c>
      <c r="G525">
        <v>0.32291666666666669</v>
      </c>
      <c r="H525">
        <v>0.31944444444444442</v>
      </c>
      <c r="I525">
        <v>-6</v>
      </c>
      <c r="J525" s="5" t="s">
        <v>18</v>
      </c>
      <c r="K525" s="5" t="s">
        <v>19</v>
      </c>
      <c r="L525">
        <v>1742</v>
      </c>
      <c r="M525" s="5">
        <v>-5</v>
      </c>
      <c r="N525" s="5" t="s">
        <v>1676</v>
      </c>
      <c r="O525" s="5" t="s">
        <v>1661</v>
      </c>
      <c r="P525">
        <v>1</v>
      </c>
      <c r="Q525" t="s">
        <v>1660</v>
      </c>
    </row>
    <row r="526" spans="1:18" x14ac:dyDescent="0.35">
      <c r="A526" s="5" t="s">
        <v>1004</v>
      </c>
      <c r="B526" s="6">
        <v>46084</v>
      </c>
      <c r="C526" s="5" t="s">
        <v>1005</v>
      </c>
      <c r="D526" s="5" t="s">
        <v>588</v>
      </c>
      <c r="E526" s="5" t="s">
        <v>79</v>
      </c>
      <c r="F526" s="5" t="s">
        <v>17</v>
      </c>
      <c r="G526">
        <v>0.51736111111111116</v>
      </c>
      <c r="H526">
        <v>0.54305555555555551</v>
      </c>
      <c r="I526">
        <v>32</v>
      </c>
      <c r="J526" s="5" t="s">
        <v>129</v>
      </c>
      <c r="K526" s="5" t="s">
        <v>19</v>
      </c>
      <c r="L526">
        <v>730</v>
      </c>
      <c r="M526" s="5">
        <v>37</v>
      </c>
      <c r="N526" s="5" t="s">
        <v>1676</v>
      </c>
      <c r="O526" s="5" t="s">
        <v>1661</v>
      </c>
      <c r="P526">
        <v>0</v>
      </c>
      <c r="Q526" t="s">
        <v>1663</v>
      </c>
      <c r="R526" t="s">
        <v>1670</v>
      </c>
    </row>
    <row r="527" spans="1:18" x14ac:dyDescent="0.35">
      <c r="A527" s="5" t="s">
        <v>1006</v>
      </c>
      <c r="B527" s="6">
        <v>46085</v>
      </c>
      <c r="C527" s="5" t="s">
        <v>994</v>
      </c>
      <c r="D527" s="5" t="s">
        <v>226</v>
      </c>
      <c r="E527" s="5" t="s">
        <v>197</v>
      </c>
      <c r="F527" s="5" t="s">
        <v>38</v>
      </c>
      <c r="G527">
        <v>0.35416666666666669</v>
      </c>
      <c r="H527">
        <v>0.35138888888888892</v>
      </c>
      <c r="I527">
        <v>-11</v>
      </c>
      <c r="J527" s="5" t="s">
        <v>18</v>
      </c>
      <c r="K527" s="5" t="s">
        <v>19</v>
      </c>
      <c r="L527">
        <v>1622</v>
      </c>
      <c r="M527" s="5">
        <v>-4</v>
      </c>
      <c r="N527" s="5" t="s">
        <v>1676</v>
      </c>
      <c r="O527" s="5" t="s">
        <v>1662</v>
      </c>
      <c r="P527">
        <v>1</v>
      </c>
      <c r="Q527" t="s">
        <v>1660</v>
      </c>
    </row>
    <row r="528" spans="1:18" x14ac:dyDescent="0.35">
      <c r="A528" s="5" t="s">
        <v>1007</v>
      </c>
      <c r="B528" s="6">
        <v>46085</v>
      </c>
      <c r="C528" s="5" t="s">
        <v>770</v>
      </c>
      <c r="D528" s="5" t="s">
        <v>226</v>
      </c>
      <c r="E528" s="5" t="s">
        <v>413</v>
      </c>
      <c r="F528" s="5" t="s">
        <v>17</v>
      </c>
      <c r="G528">
        <v>0.4826388888888889</v>
      </c>
      <c r="H528">
        <v>0.47986111111111113</v>
      </c>
      <c r="I528">
        <v>-1</v>
      </c>
      <c r="J528" s="5" t="s">
        <v>18</v>
      </c>
      <c r="K528" s="5" t="s">
        <v>19</v>
      </c>
      <c r="L528">
        <v>861</v>
      </c>
      <c r="M528" s="5">
        <v>-4</v>
      </c>
      <c r="N528" s="5" t="s">
        <v>1676</v>
      </c>
      <c r="O528" s="5" t="s">
        <v>1662</v>
      </c>
      <c r="P528">
        <v>1</v>
      </c>
      <c r="Q528" t="s">
        <v>1660</v>
      </c>
    </row>
    <row r="529" spans="1:18" x14ac:dyDescent="0.35">
      <c r="A529" s="5" t="s">
        <v>1008</v>
      </c>
      <c r="B529" s="6">
        <v>46085</v>
      </c>
      <c r="C529" s="5" t="s">
        <v>30</v>
      </c>
      <c r="D529" s="5" t="s">
        <v>588</v>
      </c>
      <c r="E529" s="5" t="s">
        <v>79</v>
      </c>
      <c r="F529" s="5" t="s">
        <v>17</v>
      </c>
      <c r="G529">
        <v>0.71875</v>
      </c>
      <c r="H529">
        <v>0.71527777777777779</v>
      </c>
      <c r="I529">
        <v>-9</v>
      </c>
      <c r="J529" s="5" t="s">
        <v>18</v>
      </c>
      <c r="K529" s="5" t="s">
        <v>19</v>
      </c>
      <c r="L529">
        <v>730</v>
      </c>
      <c r="M529" s="5">
        <v>-5</v>
      </c>
      <c r="N529" s="5" t="s">
        <v>1676</v>
      </c>
      <c r="O529" s="5" t="s">
        <v>1662</v>
      </c>
      <c r="P529">
        <v>1</v>
      </c>
      <c r="Q529" t="s">
        <v>1665</v>
      </c>
    </row>
    <row r="530" spans="1:18" x14ac:dyDescent="0.35">
      <c r="A530" s="5" t="s">
        <v>1009</v>
      </c>
      <c r="B530" s="6">
        <v>46085</v>
      </c>
      <c r="C530" s="5" t="s">
        <v>1010</v>
      </c>
      <c r="D530" s="5" t="s">
        <v>413</v>
      </c>
      <c r="E530" s="5" t="s">
        <v>202</v>
      </c>
      <c r="F530" s="5" t="s">
        <v>17</v>
      </c>
      <c r="G530">
        <v>0.92708333333333337</v>
      </c>
      <c r="H530">
        <v>0.9291666666666667</v>
      </c>
      <c r="I530">
        <v>9</v>
      </c>
      <c r="J530" s="5" t="s">
        <v>18</v>
      </c>
      <c r="K530" s="5" t="s">
        <v>19</v>
      </c>
      <c r="L530">
        <v>2338</v>
      </c>
      <c r="M530" s="5">
        <v>3</v>
      </c>
      <c r="N530" s="5" t="s">
        <v>1676</v>
      </c>
      <c r="O530" s="5" t="s">
        <v>1662</v>
      </c>
      <c r="P530">
        <v>1</v>
      </c>
      <c r="Q530" t="s">
        <v>1669</v>
      </c>
    </row>
    <row r="531" spans="1:18" x14ac:dyDescent="0.35">
      <c r="A531" s="5" t="s">
        <v>1011</v>
      </c>
      <c r="B531" s="6">
        <v>46087</v>
      </c>
      <c r="C531" s="5" t="s">
        <v>1012</v>
      </c>
      <c r="D531" s="5" t="s">
        <v>226</v>
      </c>
      <c r="E531" s="5" t="s">
        <v>79</v>
      </c>
      <c r="F531" s="5" t="s">
        <v>24</v>
      </c>
      <c r="G531">
        <v>0.51041666666666663</v>
      </c>
      <c r="H531">
        <v>0.5131944444444444</v>
      </c>
      <c r="I531">
        <v>8</v>
      </c>
      <c r="J531" s="5" t="s">
        <v>18</v>
      </c>
      <c r="K531" s="5" t="s">
        <v>19</v>
      </c>
      <c r="L531">
        <v>1197</v>
      </c>
      <c r="M531" s="5">
        <v>4</v>
      </c>
      <c r="N531" s="5" t="s">
        <v>1676</v>
      </c>
      <c r="O531" s="5" t="s">
        <v>1666</v>
      </c>
      <c r="P531">
        <v>1</v>
      </c>
      <c r="Q531" t="s">
        <v>1663</v>
      </c>
    </row>
    <row r="532" spans="1:18" x14ac:dyDescent="0.35">
      <c r="A532" s="5" t="s">
        <v>1013</v>
      </c>
      <c r="B532" s="6">
        <v>46088</v>
      </c>
      <c r="C532" s="5" t="s">
        <v>1014</v>
      </c>
      <c r="D532" s="5" t="s">
        <v>84</v>
      </c>
      <c r="E532" s="5" t="s">
        <v>413</v>
      </c>
      <c r="F532" s="5" t="s">
        <v>17</v>
      </c>
      <c r="G532">
        <v>0.31944444444444442</v>
      </c>
      <c r="H532">
        <v>0.3215277777777778</v>
      </c>
      <c r="I532">
        <v>-8</v>
      </c>
      <c r="J532" s="5" t="s">
        <v>18</v>
      </c>
      <c r="K532" s="5" t="s">
        <v>19</v>
      </c>
      <c r="L532">
        <v>955</v>
      </c>
      <c r="M532" s="5">
        <v>3</v>
      </c>
      <c r="N532" s="5" t="s">
        <v>1676</v>
      </c>
      <c r="O532" s="5" t="s">
        <v>1667</v>
      </c>
      <c r="P532">
        <v>1</v>
      </c>
      <c r="Q532" t="s">
        <v>1660</v>
      </c>
    </row>
    <row r="533" spans="1:18" x14ac:dyDescent="0.35">
      <c r="A533" s="5" t="s">
        <v>1015</v>
      </c>
      <c r="B533" s="6">
        <v>46088</v>
      </c>
      <c r="C533" s="5" t="s">
        <v>188</v>
      </c>
      <c r="D533" s="5" t="s">
        <v>79</v>
      </c>
      <c r="E533" s="5" t="s">
        <v>1171</v>
      </c>
      <c r="F533" s="5" t="s">
        <v>38</v>
      </c>
      <c r="G533">
        <v>0.4861111111111111</v>
      </c>
      <c r="H533">
        <v>0.49791666666666667</v>
      </c>
      <c r="I533">
        <v>2</v>
      </c>
      <c r="J533" s="5" t="s">
        <v>54</v>
      </c>
      <c r="K533" s="5" t="s">
        <v>19</v>
      </c>
      <c r="L533">
        <v>1584</v>
      </c>
      <c r="M533" s="5">
        <v>17</v>
      </c>
      <c r="N533" s="5" t="s">
        <v>1676</v>
      </c>
      <c r="O533" s="5" t="s">
        <v>1667</v>
      </c>
      <c r="P533">
        <v>1</v>
      </c>
      <c r="Q533" t="s">
        <v>1660</v>
      </c>
      <c r="R533" t="s">
        <v>1657</v>
      </c>
    </row>
    <row r="534" spans="1:18" x14ac:dyDescent="0.35">
      <c r="A534" s="5" t="s">
        <v>1016</v>
      </c>
      <c r="B534" s="6">
        <v>46089</v>
      </c>
      <c r="C534" s="5" t="s">
        <v>1017</v>
      </c>
      <c r="D534" s="5" t="s">
        <v>413</v>
      </c>
      <c r="E534" s="5" t="s">
        <v>588</v>
      </c>
      <c r="F534" s="5" t="s">
        <v>24</v>
      </c>
      <c r="G534">
        <v>0.47916666666666669</v>
      </c>
      <c r="H534">
        <v>0.47986111111111113</v>
      </c>
      <c r="I534">
        <v>4</v>
      </c>
      <c r="J534" s="5" t="s">
        <v>18</v>
      </c>
      <c r="K534" s="5" t="s">
        <v>19</v>
      </c>
      <c r="L534">
        <v>1232</v>
      </c>
      <c r="M534" s="5">
        <v>1</v>
      </c>
      <c r="N534" s="5" t="s">
        <v>1676</v>
      </c>
      <c r="O534" s="5" t="s">
        <v>1668</v>
      </c>
      <c r="P534">
        <v>1</v>
      </c>
      <c r="Q534" t="s">
        <v>1660</v>
      </c>
    </row>
    <row r="535" spans="1:18" x14ac:dyDescent="0.35">
      <c r="A535" s="5" t="s">
        <v>1018</v>
      </c>
      <c r="B535" s="6">
        <v>46090</v>
      </c>
      <c r="C535" s="5" t="s">
        <v>1019</v>
      </c>
      <c r="D535" s="5" t="s">
        <v>202</v>
      </c>
      <c r="E535" s="5" t="s">
        <v>1171</v>
      </c>
      <c r="F535" s="5" t="s">
        <v>17</v>
      </c>
      <c r="G535">
        <v>0.77083333333333337</v>
      </c>
      <c r="H535">
        <v>0.84236111111111112</v>
      </c>
      <c r="I535">
        <v>100</v>
      </c>
      <c r="J535" s="5" t="s">
        <v>477</v>
      </c>
      <c r="K535" s="5" t="s">
        <v>19</v>
      </c>
      <c r="L535">
        <v>1969</v>
      </c>
      <c r="M535" s="5">
        <v>103</v>
      </c>
      <c r="N535" s="5" t="s">
        <v>1676</v>
      </c>
      <c r="O535" s="5" t="s">
        <v>1659</v>
      </c>
      <c r="P535">
        <v>0</v>
      </c>
      <c r="Q535" t="s">
        <v>1665</v>
      </c>
      <c r="R535" t="s">
        <v>1670</v>
      </c>
    </row>
    <row r="536" spans="1:18" x14ac:dyDescent="0.35">
      <c r="A536" s="5" t="s">
        <v>1021</v>
      </c>
      <c r="B536" s="6">
        <v>46091</v>
      </c>
      <c r="C536" s="5" t="s">
        <v>596</v>
      </c>
      <c r="D536" s="5" t="s">
        <v>197</v>
      </c>
      <c r="E536" s="5" t="s">
        <v>226</v>
      </c>
      <c r="F536" s="5" t="s">
        <v>24</v>
      </c>
      <c r="G536">
        <v>0.59027777777777779</v>
      </c>
      <c r="H536">
        <v>0.59861111111111109</v>
      </c>
      <c r="I536">
        <v>13</v>
      </c>
      <c r="J536" s="5" t="s">
        <v>18</v>
      </c>
      <c r="K536" s="5" t="s">
        <v>19</v>
      </c>
      <c r="L536">
        <v>1622</v>
      </c>
      <c r="M536" s="5">
        <v>12</v>
      </c>
      <c r="N536" s="5" t="s">
        <v>1676</v>
      </c>
      <c r="O536" s="5" t="s">
        <v>1661</v>
      </c>
      <c r="P536">
        <v>1</v>
      </c>
      <c r="Q536" t="s">
        <v>1663</v>
      </c>
    </row>
    <row r="537" spans="1:18" x14ac:dyDescent="0.35">
      <c r="A537" s="5" t="s">
        <v>1022</v>
      </c>
      <c r="B537" s="6">
        <v>46091</v>
      </c>
      <c r="C537" s="5" t="s">
        <v>494</v>
      </c>
      <c r="D537" s="5" t="s">
        <v>588</v>
      </c>
      <c r="E537" s="5" t="s">
        <v>1295</v>
      </c>
      <c r="F537" s="5" t="s">
        <v>17</v>
      </c>
      <c r="G537">
        <v>0.79513888888888884</v>
      </c>
      <c r="H537">
        <v>0.7993055555555556</v>
      </c>
      <c r="I537">
        <v>8</v>
      </c>
      <c r="J537" s="5" t="s">
        <v>18</v>
      </c>
      <c r="K537" s="5" t="s">
        <v>19</v>
      </c>
      <c r="L537">
        <v>1462</v>
      </c>
      <c r="M537" s="5">
        <v>6</v>
      </c>
      <c r="N537" s="5" t="s">
        <v>1676</v>
      </c>
      <c r="O537" s="5" t="s">
        <v>1661</v>
      </c>
      <c r="P537">
        <v>1</v>
      </c>
      <c r="Q537" t="s">
        <v>1665</v>
      </c>
    </row>
    <row r="538" spans="1:18" x14ac:dyDescent="0.35">
      <c r="A538" s="5" t="s">
        <v>1023</v>
      </c>
      <c r="B538" s="6">
        <v>46092</v>
      </c>
      <c r="C538" s="5" t="s">
        <v>1024</v>
      </c>
      <c r="D538" s="5" t="s">
        <v>79</v>
      </c>
      <c r="E538" s="5" t="s">
        <v>588</v>
      </c>
      <c r="F538" s="5" t="s">
        <v>17</v>
      </c>
      <c r="G538">
        <v>0.39930555555555558</v>
      </c>
      <c r="H538">
        <v>0.39583333333333331</v>
      </c>
      <c r="I538">
        <v>-3</v>
      </c>
      <c r="J538" s="5" t="s">
        <v>18</v>
      </c>
      <c r="K538" s="5" t="s">
        <v>19</v>
      </c>
      <c r="L538">
        <v>730</v>
      </c>
      <c r="M538" s="5">
        <v>-5</v>
      </c>
      <c r="N538" s="5" t="s">
        <v>1676</v>
      </c>
      <c r="O538" s="5" t="s">
        <v>1662</v>
      </c>
      <c r="P538">
        <v>1</v>
      </c>
      <c r="Q538" t="s">
        <v>1660</v>
      </c>
    </row>
    <row r="539" spans="1:18" x14ac:dyDescent="0.35">
      <c r="A539" s="5" t="s">
        <v>1025</v>
      </c>
      <c r="B539" s="6">
        <v>46092</v>
      </c>
      <c r="C539" s="5" t="s">
        <v>539</v>
      </c>
      <c r="D539" s="5" t="s">
        <v>197</v>
      </c>
      <c r="E539" s="5" t="s">
        <v>413</v>
      </c>
      <c r="F539" s="5" t="s">
        <v>17</v>
      </c>
      <c r="G539">
        <v>0.49305555555555558</v>
      </c>
      <c r="H539">
        <v>0.49166666666666659</v>
      </c>
      <c r="I539">
        <v>0</v>
      </c>
      <c r="J539" s="5" t="s">
        <v>18</v>
      </c>
      <c r="K539" s="5" t="s">
        <v>19</v>
      </c>
      <c r="L539">
        <v>2470</v>
      </c>
      <c r="M539" s="5">
        <v>-2</v>
      </c>
      <c r="N539" s="5" t="s">
        <v>1676</v>
      </c>
      <c r="O539" s="5" t="s">
        <v>1662</v>
      </c>
      <c r="P539">
        <v>1</v>
      </c>
      <c r="Q539" t="s">
        <v>1660</v>
      </c>
    </row>
    <row r="540" spans="1:18" x14ac:dyDescent="0.35">
      <c r="A540" s="5" t="s">
        <v>1026</v>
      </c>
      <c r="B540" s="6">
        <v>46093</v>
      </c>
      <c r="C540" s="5" t="s">
        <v>1027</v>
      </c>
      <c r="D540" s="5" t="s">
        <v>71</v>
      </c>
      <c r="E540" s="5" t="s">
        <v>588</v>
      </c>
      <c r="F540" s="5" t="s">
        <v>24</v>
      </c>
      <c r="G540">
        <v>0.72569444444444442</v>
      </c>
      <c r="H540">
        <v>0.72847222222222219</v>
      </c>
      <c r="I540">
        <v>3</v>
      </c>
      <c r="J540" s="5" t="s">
        <v>18</v>
      </c>
      <c r="K540" s="5" t="s">
        <v>19</v>
      </c>
      <c r="L540">
        <v>802</v>
      </c>
      <c r="M540" s="5">
        <v>4</v>
      </c>
      <c r="N540" s="5" t="s">
        <v>1676</v>
      </c>
      <c r="O540" s="5" t="s">
        <v>1664</v>
      </c>
      <c r="P540">
        <v>1</v>
      </c>
      <c r="Q540" t="s">
        <v>1665</v>
      </c>
    </row>
    <row r="541" spans="1:18" x14ac:dyDescent="0.35">
      <c r="A541" s="5" t="s">
        <v>1028</v>
      </c>
      <c r="B541" s="6">
        <v>46093</v>
      </c>
      <c r="C541" s="5" t="s">
        <v>122</v>
      </c>
      <c r="D541" s="5" t="s">
        <v>71</v>
      </c>
      <c r="E541" s="5" t="s">
        <v>79</v>
      </c>
      <c r="F541" s="5" t="s">
        <v>24</v>
      </c>
      <c r="G541">
        <v>0.77083333333333337</v>
      </c>
      <c r="H541">
        <v>0.77500000000000002</v>
      </c>
      <c r="I541">
        <v>4</v>
      </c>
      <c r="J541" s="5" t="s">
        <v>18</v>
      </c>
      <c r="K541" s="5" t="s">
        <v>19</v>
      </c>
      <c r="L541">
        <v>606</v>
      </c>
      <c r="M541" s="5">
        <v>6</v>
      </c>
      <c r="N541" s="5" t="s">
        <v>1676</v>
      </c>
      <c r="O541" s="5" t="s">
        <v>1664</v>
      </c>
      <c r="P541">
        <v>1</v>
      </c>
      <c r="Q541" t="s">
        <v>1665</v>
      </c>
    </row>
    <row r="542" spans="1:18" x14ac:dyDescent="0.35">
      <c r="A542" s="5" t="s">
        <v>1029</v>
      </c>
      <c r="B542" s="6">
        <v>46095</v>
      </c>
      <c r="C542" s="5" t="s">
        <v>645</v>
      </c>
      <c r="D542" s="5" t="s">
        <v>71</v>
      </c>
      <c r="E542" s="5" t="s">
        <v>84</v>
      </c>
      <c r="F542" s="5" t="s">
        <v>24</v>
      </c>
      <c r="G542">
        <v>0.31944444444444442</v>
      </c>
      <c r="H542">
        <v>0.33750000000000002</v>
      </c>
      <c r="I542">
        <v>26</v>
      </c>
      <c r="J542" s="5" t="s">
        <v>129</v>
      </c>
      <c r="K542" s="5" t="s">
        <v>19</v>
      </c>
      <c r="L542">
        <v>1717</v>
      </c>
      <c r="M542" s="5">
        <v>26</v>
      </c>
      <c r="N542" s="5" t="s">
        <v>1676</v>
      </c>
      <c r="O542" s="5" t="s">
        <v>1667</v>
      </c>
      <c r="P542">
        <v>0</v>
      </c>
      <c r="Q542" t="s">
        <v>1660</v>
      </c>
      <c r="R542" t="s">
        <v>1670</v>
      </c>
    </row>
    <row r="543" spans="1:18" x14ac:dyDescent="0.35">
      <c r="A543" s="5" t="s">
        <v>1030</v>
      </c>
      <c r="B543" s="6">
        <v>46095</v>
      </c>
      <c r="C543" s="5" t="s">
        <v>1031</v>
      </c>
      <c r="D543" s="5" t="s">
        <v>413</v>
      </c>
      <c r="E543" s="5" t="s">
        <v>1171</v>
      </c>
      <c r="F543" s="5" t="s">
        <v>38</v>
      </c>
      <c r="G543">
        <v>0.63888888888888884</v>
      </c>
      <c r="H543">
        <v>0.63402777777777775</v>
      </c>
      <c r="I543">
        <v>-16</v>
      </c>
      <c r="J543" s="5" t="s">
        <v>18</v>
      </c>
      <c r="K543" s="5" t="s">
        <v>19</v>
      </c>
      <c r="L543">
        <v>370</v>
      </c>
      <c r="M543" s="5">
        <v>-7</v>
      </c>
      <c r="N543" s="5" t="s">
        <v>1676</v>
      </c>
      <c r="O543" s="5" t="s">
        <v>1667</v>
      </c>
      <c r="P543">
        <v>1</v>
      </c>
      <c r="Q543" t="s">
        <v>1663</v>
      </c>
    </row>
    <row r="544" spans="1:18" x14ac:dyDescent="0.35">
      <c r="A544" s="5" t="s">
        <v>1032</v>
      </c>
      <c r="B544" s="6">
        <v>46095</v>
      </c>
      <c r="C544" s="5" t="s">
        <v>1033</v>
      </c>
      <c r="D544" s="5" t="s">
        <v>413</v>
      </c>
      <c r="E544" s="5" t="s">
        <v>79</v>
      </c>
      <c r="F544" s="5" t="s">
        <v>28</v>
      </c>
      <c r="G544">
        <v>0.80208333333333337</v>
      </c>
      <c r="H544">
        <v>0.80486111111111114</v>
      </c>
      <c r="I544">
        <v>-5</v>
      </c>
      <c r="J544" s="5" t="s">
        <v>18</v>
      </c>
      <c r="K544" s="5" t="s">
        <v>19</v>
      </c>
      <c r="L544">
        <v>1942</v>
      </c>
      <c r="M544" s="5">
        <v>4</v>
      </c>
      <c r="N544" s="5" t="s">
        <v>1676</v>
      </c>
      <c r="O544" s="5" t="s">
        <v>1667</v>
      </c>
      <c r="P544">
        <v>1</v>
      </c>
      <c r="Q544" t="s">
        <v>1665</v>
      </c>
    </row>
    <row r="545" spans="1:18" x14ac:dyDescent="0.35">
      <c r="A545" s="5" t="s">
        <v>1034</v>
      </c>
      <c r="B545" s="6">
        <v>46096</v>
      </c>
      <c r="C545" s="5" t="s">
        <v>1035</v>
      </c>
      <c r="D545" s="5" t="s">
        <v>71</v>
      </c>
      <c r="E545" s="5" t="s">
        <v>79</v>
      </c>
      <c r="F545" s="5" t="s">
        <v>17</v>
      </c>
      <c r="G545">
        <v>0.57291666666666663</v>
      </c>
      <c r="H545">
        <v>0.59861111111111109</v>
      </c>
      <c r="I545">
        <v>35</v>
      </c>
      <c r="J545" s="5" t="s">
        <v>60</v>
      </c>
      <c r="K545" s="5" t="s">
        <v>19</v>
      </c>
      <c r="L545">
        <v>606</v>
      </c>
      <c r="M545" s="5">
        <v>37</v>
      </c>
      <c r="N545" s="5" t="s">
        <v>1676</v>
      </c>
      <c r="O545" s="5" t="s">
        <v>1668</v>
      </c>
      <c r="P545">
        <v>0</v>
      </c>
      <c r="Q545" t="s">
        <v>1663</v>
      </c>
      <c r="R545" t="s">
        <v>1657</v>
      </c>
    </row>
    <row r="546" spans="1:18" x14ac:dyDescent="0.35">
      <c r="A546" s="5" t="s">
        <v>1036</v>
      </c>
      <c r="B546" s="6">
        <v>46096</v>
      </c>
      <c r="C546" s="5" t="s">
        <v>1037</v>
      </c>
      <c r="D546" s="5" t="s">
        <v>79</v>
      </c>
      <c r="E546" s="5" t="s">
        <v>226</v>
      </c>
      <c r="F546" s="5" t="s">
        <v>28</v>
      </c>
      <c r="G546">
        <v>0.58680555555555558</v>
      </c>
      <c r="J546" s="5" t="s">
        <v>60</v>
      </c>
      <c r="K546" s="5" t="s">
        <v>254</v>
      </c>
      <c r="L546">
        <v>1197</v>
      </c>
      <c r="M546" s="5"/>
      <c r="N546" s="5" t="s">
        <v>1676</v>
      </c>
      <c r="O546" s="5" t="s">
        <v>1668</v>
      </c>
      <c r="Q546" t="s">
        <v>1663</v>
      </c>
      <c r="R546" t="s">
        <v>1657</v>
      </c>
    </row>
    <row r="547" spans="1:18" x14ac:dyDescent="0.35">
      <c r="A547" s="5" t="s">
        <v>1038</v>
      </c>
      <c r="B547" s="6">
        <v>46097</v>
      </c>
      <c r="C547" s="5" t="s">
        <v>773</v>
      </c>
      <c r="D547" s="5" t="s">
        <v>197</v>
      </c>
      <c r="E547" s="5" t="s">
        <v>413</v>
      </c>
      <c r="F547" s="5" t="s">
        <v>28</v>
      </c>
      <c r="G547">
        <v>0.25</v>
      </c>
      <c r="H547">
        <v>0.32430555555555562</v>
      </c>
      <c r="I547">
        <v>95</v>
      </c>
      <c r="J547" s="5" t="s">
        <v>60</v>
      </c>
      <c r="K547" s="5" t="s">
        <v>19</v>
      </c>
      <c r="L547">
        <v>2470</v>
      </c>
      <c r="M547" s="5">
        <v>107</v>
      </c>
      <c r="N547" s="5" t="s">
        <v>1676</v>
      </c>
      <c r="O547" s="5" t="s">
        <v>1659</v>
      </c>
      <c r="P547">
        <v>0</v>
      </c>
      <c r="Q547" t="s">
        <v>1660</v>
      </c>
      <c r="R547" t="s">
        <v>1657</v>
      </c>
    </row>
    <row r="548" spans="1:18" x14ac:dyDescent="0.35">
      <c r="A548" s="5" t="s">
        <v>1039</v>
      </c>
      <c r="B548" s="6">
        <v>46097</v>
      </c>
      <c r="C548" s="5" t="s">
        <v>1040</v>
      </c>
      <c r="D548" s="5" t="s">
        <v>588</v>
      </c>
      <c r="E548" s="5" t="s">
        <v>71</v>
      </c>
      <c r="F548" s="5" t="s">
        <v>38</v>
      </c>
      <c r="G548">
        <v>0.78819444444444442</v>
      </c>
      <c r="H548">
        <v>0.80277777777777781</v>
      </c>
      <c r="I548">
        <v>19</v>
      </c>
      <c r="J548" s="5" t="s">
        <v>477</v>
      </c>
      <c r="K548" s="5" t="s">
        <v>19</v>
      </c>
      <c r="L548">
        <v>802</v>
      </c>
      <c r="M548" s="5">
        <v>21</v>
      </c>
      <c r="N548" s="5" t="s">
        <v>1676</v>
      </c>
      <c r="O548" s="5" t="s">
        <v>1659</v>
      </c>
      <c r="P548">
        <v>0</v>
      </c>
      <c r="Q548" t="s">
        <v>1665</v>
      </c>
      <c r="R548" t="s">
        <v>1670</v>
      </c>
    </row>
    <row r="549" spans="1:18" x14ac:dyDescent="0.35">
      <c r="A549" s="5" t="s">
        <v>1041</v>
      </c>
      <c r="B549" s="6">
        <v>46098</v>
      </c>
      <c r="C549" s="5" t="s">
        <v>1042</v>
      </c>
      <c r="D549" s="5" t="s">
        <v>71</v>
      </c>
      <c r="E549" s="5" t="s">
        <v>1295</v>
      </c>
      <c r="F549" s="5" t="s">
        <v>28</v>
      </c>
      <c r="G549">
        <v>0.5625</v>
      </c>
      <c r="H549">
        <v>0.56944444444444442</v>
      </c>
      <c r="I549">
        <v>17</v>
      </c>
      <c r="J549" s="5" t="s">
        <v>18</v>
      </c>
      <c r="K549" s="5" t="s">
        <v>19</v>
      </c>
      <c r="L549">
        <v>1842</v>
      </c>
      <c r="M549" s="5">
        <v>10</v>
      </c>
      <c r="N549" s="5" t="s">
        <v>1676</v>
      </c>
      <c r="O549" s="5" t="s">
        <v>1661</v>
      </c>
      <c r="P549">
        <v>0</v>
      </c>
      <c r="Q549" t="s">
        <v>1663</v>
      </c>
    </row>
    <row r="550" spans="1:18" x14ac:dyDescent="0.35">
      <c r="A550" s="5" t="s">
        <v>1043</v>
      </c>
      <c r="B550" s="6">
        <v>46098</v>
      </c>
      <c r="C550" s="5" t="s">
        <v>1044</v>
      </c>
      <c r="D550" s="5" t="s">
        <v>1549</v>
      </c>
      <c r="E550" s="5" t="s">
        <v>71</v>
      </c>
      <c r="F550" s="5" t="s">
        <v>24</v>
      </c>
      <c r="G550">
        <v>0.66319444444444442</v>
      </c>
      <c r="H550">
        <v>0.66041666666666665</v>
      </c>
      <c r="I550">
        <v>-4</v>
      </c>
      <c r="J550" s="5" t="s">
        <v>18</v>
      </c>
      <c r="K550" s="5" t="s">
        <v>19</v>
      </c>
      <c r="L550">
        <v>864</v>
      </c>
      <c r="M550" s="5">
        <v>-4</v>
      </c>
      <c r="N550" s="5" t="s">
        <v>1676</v>
      </c>
      <c r="O550" s="5" t="s">
        <v>1661</v>
      </c>
      <c r="P550">
        <v>1</v>
      </c>
      <c r="Q550" t="s">
        <v>1663</v>
      </c>
    </row>
    <row r="551" spans="1:18" x14ac:dyDescent="0.35">
      <c r="A551" s="5" t="s">
        <v>1045</v>
      </c>
      <c r="B551" s="6">
        <v>46098</v>
      </c>
      <c r="C551" s="5" t="s">
        <v>1046</v>
      </c>
      <c r="D551" s="5" t="s">
        <v>71</v>
      </c>
      <c r="E551" s="5" t="s">
        <v>588</v>
      </c>
      <c r="F551" s="5" t="s">
        <v>24</v>
      </c>
      <c r="G551">
        <v>0.78125</v>
      </c>
      <c r="H551">
        <v>0.78472222222222221</v>
      </c>
      <c r="I551">
        <v>-2</v>
      </c>
      <c r="J551" s="5" t="s">
        <v>18</v>
      </c>
      <c r="K551" s="5" t="s">
        <v>19</v>
      </c>
      <c r="L551">
        <v>802</v>
      </c>
      <c r="M551" s="5">
        <v>5</v>
      </c>
      <c r="N551" s="5" t="s">
        <v>1676</v>
      </c>
      <c r="O551" s="5" t="s">
        <v>1661</v>
      </c>
      <c r="P551">
        <v>1</v>
      </c>
      <c r="Q551" t="s">
        <v>1665</v>
      </c>
    </row>
    <row r="552" spans="1:18" x14ac:dyDescent="0.35">
      <c r="A552" s="5" t="s">
        <v>1047</v>
      </c>
      <c r="B552" s="6">
        <v>46099</v>
      </c>
      <c r="C552" s="5" t="s">
        <v>716</v>
      </c>
      <c r="D552" s="5" t="s">
        <v>71</v>
      </c>
      <c r="E552" s="5" t="s">
        <v>197</v>
      </c>
      <c r="F552" s="5" t="s">
        <v>28</v>
      </c>
      <c r="G552">
        <v>0.2638888888888889</v>
      </c>
      <c r="H552">
        <v>0.2951388888888889</v>
      </c>
      <c r="I552">
        <v>50</v>
      </c>
      <c r="J552" s="5" t="s">
        <v>60</v>
      </c>
      <c r="K552" s="5" t="s">
        <v>19</v>
      </c>
      <c r="L552">
        <v>738</v>
      </c>
      <c r="M552" s="5">
        <v>45</v>
      </c>
      <c r="N552" s="5" t="s">
        <v>1676</v>
      </c>
      <c r="O552" s="5" t="s">
        <v>1662</v>
      </c>
      <c r="P552">
        <v>0</v>
      </c>
      <c r="Q552" t="s">
        <v>1660</v>
      </c>
      <c r="R552" t="s">
        <v>1657</v>
      </c>
    </row>
    <row r="553" spans="1:18" x14ac:dyDescent="0.35">
      <c r="A553" s="5" t="s">
        <v>1048</v>
      </c>
      <c r="B553" s="6">
        <v>46099</v>
      </c>
      <c r="C553" s="5" t="s">
        <v>1049</v>
      </c>
      <c r="D553" s="5" t="s">
        <v>226</v>
      </c>
      <c r="E553" s="5" t="s">
        <v>1295</v>
      </c>
      <c r="F553" s="5" t="s">
        <v>28</v>
      </c>
      <c r="G553">
        <v>0.46875</v>
      </c>
      <c r="H553">
        <v>0.46666666666666667</v>
      </c>
      <c r="I553">
        <v>-7</v>
      </c>
      <c r="J553" s="5" t="s">
        <v>18</v>
      </c>
      <c r="K553" s="5" t="s">
        <v>19</v>
      </c>
      <c r="L553">
        <v>965</v>
      </c>
      <c r="M553" s="5">
        <v>-3</v>
      </c>
      <c r="N553" s="5" t="s">
        <v>1676</v>
      </c>
      <c r="O553" s="5" t="s">
        <v>1662</v>
      </c>
      <c r="P553">
        <v>1</v>
      </c>
      <c r="Q553" t="s">
        <v>1660</v>
      </c>
    </row>
    <row r="554" spans="1:18" x14ac:dyDescent="0.35">
      <c r="A554" s="5" t="s">
        <v>1050</v>
      </c>
      <c r="B554" s="6">
        <v>46099</v>
      </c>
      <c r="C554" s="5" t="s">
        <v>543</v>
      </c>
      <c r="D554" s="5" t="s">
        <v>79</v>
      </c>
      <c r="E554" s="5" t="s">
        <v>1549</v>
      </c>
      <c r="F554" s="5" t="s">
        <v>28</v>
      </c>
      <c r="G554">
        <v>0.59722222222222221</v>
      </c>
      <c r="H554">
        <v>0.70416666666666672</v>
      </c>
      <c r="I554">
        <v>153</v>
      </c>
      <c r="J554" s="5" t="s">
        <v>54</v>
      </c>
      <c r="K554" s="5" t="s">
        <v>19</v>
      </c>
      <c r="L554">
        <v>945</v>
      </c>
      <c r="M554" s="5">
        <v>154</v>
      </c>
      <c r="N554" s="5" t="s">
        <v>1676</v>
      </c>
      <c r="O554" s="5" t="s">
        <v>1662</v>
      </c>
      <c r="P554">
        <v>0</v>
      </c>
      <c r="Q554" t="s">
        <v>1663</v>
      </c>
      <c r="R554" t="s">
        <v>1657</v>
      </c>
    </row>
    <row r="555" spans="1:18" x14ac:dyDescent="0.35">
      <c r="A555" s="5" t="s">
        <v>1051</v>
      </c>
      <c r="B555" s="6">
        <v>46099</v>
      </c>
      <c r="C555" s="5" t="s">
        <v>1052</v>
      </c>
      <c r="D555" s="5" t="s">
        <v>79</v>
      </c>
      <c r="E555" s="5" t="s">
        <v>71</v>
      </c>
      <c r="F555" s="5" t="s">
        <v>28</v>
      </c>
      <c r="G555">
        <v>0.60069444444444442</v>
      </c>
      <c r="H555">
        <v>0.60555555555555551</v>
      </c>
      <c r="I555">
        <v>-1</v>
      </c>
      <c r="J555" s="5" t="s">
        <v>18</v>
      </c>
      <c r="K555" s="5" t="s">
        <v>19</v>
      </c>
      <c r="L555">
        <v>606</v>
      </c>
      <c r="M555" s="5">
        <v>7</v>
      </c>
      <c r="N555" s="5" t="s">
        <v>1676</v>
      </c>
      <c r="O555" s="5" t="s">
        <v>1662</v>
      </c>
      <c r="P555">
        <v>1</v>
      </c>
      <c r="Q555" t="s">
        <v>1663</v>
      </c>
    </row>
    <row r="556" spans="1:18" x14ac:dyDescent="0.35">
      <c r="A556" s="5" t="s">
        <v>1053</v>
      </c>
      <c r="B556" s="6">
        <v>46100</v>
      </c>
      <c r="C556" s="5" t="s">
        <v>535</v>
      </c>
      <c r="D556" s="5" t="s">
        <v>202</v>
      </c>
      <c r="E556" s="5" t="s">
        <v>71</v>
      </c>
      <c r="F556" s="5" t="s">
        <v>24</v>
      </c>
      <c r="G556">
        <v>0.4826388888888889</v>
      </c>
      <c r="H556">
        <v>0.48194444444444451</v>
      </c>
      <c r="I556">
        <v>-3</v>
      </c>
      <c r="J556" s="5" t="s">
        <v>18</v>
      </c>
      <c r="K556" s="5" t="s">
        <v>19</v>
      </c>
      <c r="L556">
        <v>1199</v>
      </c>
      <c r="M556" s="5">
        <v>-1</v>
      </c>
      <c r="N556" s="5" t="s">
        <v>1676</v>
      </c>
      <c r="O556" s="5" t="s">
        <v>1664</v>
      </c>
      <c r="P556">
        <v>1</v>
      </c>
      <c r="Q556" t="s">
        <v>1660</v>
      </c>
    </row>
    <row r="557" spans="1:18" x14ac:dyDescent="0.35">
      <c r="A557" s="5" t="s">
        <v>1054</v>
      </c>
      <c r="B557" s="6">
        <v>46100</v>
      </c>
      <c r="C557" s="5" t="s">
        <v>34</v>
      </c>
      <c r="D557" s="5" t="s">
        <v>79</v>
      </c>
      <c r="E557" s="5" t="s">
        <v>197</v>
      </c>
      <c r="F557" s="5" t="s">
        <v>17</v>
      </c>
      <c r="G557">
        <v>0.64930555555555558</v>
      </c>
      <c r="H557">
        <v>0.64652777777777781</v>
      </c>
      <c r="I557">
        <v>-1</v>
      </c>
      <c r="J557" s="5" t="s">
        <v>18</v>
      </c>
      <c r="K557" s="5" t="s">
        <v>19</v>
      </c>
      <c r="L557">
        <v>759</v>
      </c>
      <c r="M557" s="5">
        <v>-4</v>
      </c>
      <c r="N557" s="5" t="s">
        <v>1676</v>
      </c>
      <c r="O557" s="5" t="s">
        <v>1664</v>
      </c>
      <c r="P557">
        <v>1</v>
      </c>
      <c r="Q557" t="s">
        <v>1663</v>
      </c>
    </row>
    <row r="558" spans="1:18" x14ac:dyDescent="0.35">
      <c r="A558" s="5" t="s">
        <v>1055</v>
      </c>
      <c r="B558" s="6">
        <v>46100</v>
      </c>
      <c r="C558" s="5" t="s">
        <v>43</v>
      </c>
      <c r="D558" s="5" t="s">
        <v>71</v>
      </c>
      <c r="E558" s="5" t="s">
        <v>79</v>
      </c>
      <c r="F558" s="5" t="s">
        <v>28</v>
      </c>
      <c r="G558">
        <v>0.76736111111111116</v>
      </c>
      <c r="H558">
        <v>0.76458333333333328</v>
      </c>
      <c r="I558">
        <v>-9</v>
      </c>
      <c r="J558" s="5" t="s">
        <v>18</v>
      </c>
      <c r="K558" s="5" t="s">
        <v>19</v>
      </c>
      <c r="L558">
        <v>606</v>
      </c>
      <c r="M558" s="5">
        <v>-4</v>
      </c>
      <c r="N558" s="5" t="s">
        <v>1676</v>
      </c>
      <c r="O558" s="5" t="s">
        <v>1664</v>
      </c>
      <c r="P558">
        <v>1</v>
      </c>
      <c r="Q558" t="s">
        <v>1665</v>
      </c>
    </row>
    <row r="559" spans="1:18" x14ac:dyDescent="0.35">
      <c r="A559" s="5" t="s">
        <v>1056</v>
      </c>
      <c r="B559" s="6">
        <v>46101</v>
      </c>
      <c r="C559" s="5" t="s">
        <v>796</v>
      </c>
      <c r="D559" s="5" t="s">
        <v>588</v>
      </c>
      <c r="E559" s="5" t="s">
        <v>71</v>
      </c>
      <c r="F559" s="5" t="s">
        <v>28</v>
      </c>
      <c r="G559">
        <v>0.47569444444444442</v>
      </c>
      <c r="H559">
        <v>0.4826388888888889</v>
      </c>
      <c r="I559">
        <v>6</v>
      </c>
      <c r="J559" s="5" t="s">
        <v>18</v>
      </c>
      <c r="K559" s="5" t="s">
        <v>19</v>
      </c>
      <c r="L559">
        <v>802</v>
      </c>
      <c r="M559" s="5">
        <v>10</v>
      </c>
      <c r="N559" s="5" t="s">
        <v>1676</v>
      </c>
      <c r="O559" s="5" t="s">
        <v>1666</v>
      </c>
      <c r="P559">
        <v>1</v>
      </c>
      <c r="Q559" t="s">
        <v>1660</v>
      </c>
    </row>
    <row r="560" spans="1:18" x14ac:dyDescent="0.35">
      <c r="A560" s="5" t="s">
        <v>1057</v>
      </c>
      <c r="B560" s="6">
        <v>46101</v>
      </c>
      <c r="C560" s="5" t="s">
        <v>1058</v>
      </c>
      <c r="D560" s="5" t="s">
        <v>226</v>
      </c>
      <c r="E560" s="5" t="s">
        <v>197</v>
      </c>
      <c r="F560" s="5" t="s">
        <v>17</v>
      </c>
      <c r="G560">
        <v>0.65277777777777779</v>
      </c>
      <c r="H560">
        <v>0.65</v>
      </c>
      <c r="I560">
        <v>-14</v>
      </c>
      <c r="J560" s="5" t="s">
        <v>18</v>
      </c>
      <c r="K560" s="5" t="s">
        <v>19</v>
      </c>
      <c r="L560">
        <v>1622</v>
      </c>
      <c r="M560" s="5">
        <v>-4</v>
      </c>
      <c r="N560" s="5" t="s">
        <v>1676</v>
      </c>
      <c r="O560" s="5" t="s">
        <v>1666</v>
      </c>
      <c r="P560">
        <v>1</v>
      </c>
      <c r="Q560" t="s">
        <v>1663</v>
      </c>
    </row>
    <row r="561" spans="1:18" x14ac:dyDescent="0.35">
      <c r="A561" s="5" t="s">
        <v>1059</v>
      </c>
      <c r="B561" s="6">
        <v>46102</v>
      </c>
      <c r="C561" s="5" t="s">
        <v>1060</v>
      </c>
      <c r="D561" s="5" t="s">
        <v>1549</v>
      </c>
      <c r="E561" s="5" t="s">
        <v>79</v>
      </c>
      <c r="F561" s="5" t="s">
        <v>24</v>
      </c>
      <c r="G561">
        <v>0.34722222222222221</v>
      </c>
      <c r="H561">
        <v>0.35347222222222219</v>
      </c>
      <c r="I561">
        <v>-2</v>
      </c>
      <c r="J561" s="5" t="s">
        <v>18</v>
      </c>
      <c r="K561" s="5" t="s">
        <v>19</v>
      </c>
      <c r="L561">
        <v>945</v>
      </c>
      <c r="M561" s="5">
        <v>9</v>
      </c>
      <c r="N561" s="5" t="s">
        <v>1676</v>
      </c>
      <c r="O561" s="5" t="s">
        <v>1667</v>
      </c>
      <c r="P561">
        <v>1</v>
      </c>
      <c r="Q561" t="s">
        <v>1660</v>
      </c>
    </row>
    <row r="562" spans="1:18" x14ac:dyDescent="0.35">
      <c r="A562" s="5" t="s">
        <v>1061</v>
      </c>
      <c r="B562" s="6">
        <v>46102</v>
      </c>
      <c r="C562" s="5" t="s">
        <v>1062</v>
      </c>
      <c r="D562" s="5" t="s">
        <v>226</v>
      </c>
      <c r="E562" s="5" t="s">
        <v>71</v>
      </c>
      <c r="F562" s="5" t="s">
        <v>24</v>
      </c>
      <c r="G562">
        <v>0.74305555555555558</v>
      </c>
      <c r="H562">
        <v>0.73819444444444449</v>
      </c>
      <c r="I562">
        <v>-16</v>
      </c>
      <c r="J562" s="5" t="s">
        <v>18</v>
      </c>
      <c r="K562" s="5" t="s">
        <v>19</v>
      </c>
      <c r="L562">
        <v>886</v>
      </c>
      <c r="M562" s="5">
        <v>-7</v>
      </c>
      <c r="N562" s="5" t="s">
        <v>1676</v>
      </c>
      <c r="O562" s="5" t="s">
        <v>1667</v>
      </c>
      <c r="P562">
        <v>1</v>
      </c>
      <c r="Q562" t="s">
        <v>1665</v>
      </c>
    </row>
    <row r="563" spans="1:18" x14ac:dyDescent="0.35">
      <c r="A563" s="5" t="s">
        <v>1063</v>
      </c>
      <c r="B563" s="6">
        <v>46103</v>
      </c>
      <c r="C563" s="5" t="s">
        <v>1064</v>
      </c>
      <c r="D563" s="5" t="s">
        <v>79</v>
      </c>
      <c r="E563" s="5" t="s">
        <v>197</v>
      </c>
      <c r="F563" s="5" t="s">
        <v>28</v>
      </c>
      <c r="G563">
        <v>0.30208333333333331</v>
      </c>
      <c r="H563">
        <v>0.31041666666666667</v>
      </c>
      <c r="I563">
        <v>17</v>
      </c>
      <c r="J563" s="5" t="s">
        <v>18</v>
      </c>
      <c r="K563" s="5" t="s">
        <v>19</v>
      </c>
      <c r="L563">
        <v>759</v>
      </c>
      <c r="M563" s="5">
        <v>12</v>
      </c>
      <c r="N563" s="5" t="s">
        <v>1676</v>
      </c>
      <c r="O563" s="5" t="s">
        <v>1668</v>
      </c>
      <c r="P563">
        <v>0</v>
      </c>
      <c r="Q563" t="s">
        <v>1660</v>
      </c>
    </row>
    <row r="564" spans="1:18" x14ac:dyDescent="0.35">
      <c r="A564" s="5" t="s">
        <v>1065</v>
      </c>
      <c r="B564" s="6">
        <v>46103</v>
      </c>
      <c r="C564" s="5" t="s">
        <v>1005</v>
      </c>
      <c r="D564" s="5" t="s">
        <v>79</v>
      </c>
      <c r="E564" s="5" t="s">
        <v>71</v>
      </c>
      <c r="F564" s="5" t="s">
        <v>28</v>
      </c>
      <c r="G564">
        <v>0.46180555555555558</v>
      </c>
      <c r="H564">
        <v>0.46944444444444439</v>
      </c>
      <c r="I564">
        <v>18</v>
      </c>
      <c r="J564" s="5" t="s">
        <v>18</v>
      </c>
      <c r="K564" s="5" t="s">
        <v>19</v>
      </c>
      <c r="L564">
        <v>606</v>
      </c>
      <c r="M564" s="5">
        <v>11</v>
      </c>
      <c r="N564" s="5" t="s">
        <v>1676</v>
      </c>
      <c r="O564" s="5" t="s">
        <v>1668</v>
      </c>
      <c r="P564">
        <v>0</v>
      </c>
      <c r="Q564" t="s">
        <v>1660</v>
      </c>
    </row>
    <row r="565" spans="1:18" x14ac:dyDescent="0.35">
      <c r="A565" s="5" t="s">
        <v>1066</v>
      </c>
      <c r="B565" s="6">
        <v>46103</v>
      </c>
      <c r="C565" s="5" t="s">
        <v>962</v>
      </c>
      <c r="D565" s="5" t="s">
        <v>413</v>
      </c>
      <c r="E565" s="5" t="s">
        <v>1171</v>
      </c>
      <c r="F565" s="5" t="s">
        <v>24</v>
      </c>
      <c r="G565">
        <v>0.67708333333333337</v>
      </c>
      <c r="H565">
        <v>0.68263888888888891</v>
      </c>
      <c r="I565">
        <v>9</v>
      </c>
      <c r="J565" s="5" t="s">
        <v>18</v>
      </c>
      <c r="K565" s="5" t="s">
        <v>19</v>
      </c>
      <c r="L565">
        <v>370</v>
      </c>
      <c r="M565" s="5">
        <v>8</v>
      </c>
      <c r="N565" s="5" t="s">
        <v>1676</v>
      </c>
      <c r="O565" s="5" t="s">
        <v>1668</v>
      </c>
      <c r="P565">
        <v>1</v>
      </c>
      <c r="Q565" t="s">
        <v>1663</v>
      </c>
    </row>
    <row r="566" spans="1:18" x14ac:dyDescent="0.35">
      <c r="A566" s="5" t="s">
        <v>1067</v>
      </c>
      <c r="B566" s="6">
        <v>46103</v>
      </c>
      <c r="C566" s="5" t="s">
        <v>1044</v>
      </c>
      <c r="D566" s="5" t="s">
        <v>588</v>
      </c>
      <c r="E566" s="5" t="s">
        <v>79</v>
      </c>
      <c r="F566" s="5" t="s">
        <v>17</v>
      </c>
      <c r="G566">
        <v>0.76041666666666663</v>
      </c>
      <c r="H566">
        <v>0.77777777777777779</v>
      </c>
      <c r="I566">
        <v>10</v>
      </c>
      <c r="J566" s="5" t="s">
        <v>60</v>
      </c>
      <c r="K566" s="5" t="s">
        <v>19</v>
      </c>
      <c r="L566">
        <v>730</v>
      </c>
      <c r="M566" s="5">
        <v>25</v>
      </c>
      <c r="N566" s="5" t="s">
        <v>1676</v>
      </c>
      <c r="O566" s="5" t="s">
        <v>1668</v>
      </c>
      <c r="P566">
        <v>1</v>
      </c>
      <c r="Q566" t="s">
        <v>1665</v>
      </c>
      <c r="R566" t="s">
        <v>1657</v>
      </c>
    </row>
    <row r="567" spans="1:18" x14ac:dyDescent="0.35">
      <c r="A567" s="5" t="s">
        <v>1068</v>
      </c>
      <c r="B567" s="6">
        <v>46103</v>
      </c>
      <c r="C567" s="5" t="s">
        <v>1062</v>
      </c>
      <c r="D567" s="5" t="s">
        <v>1171</v>
      </c>
      <c r="E567" s="5" t="s">
        <v>588</v>
      </c>
      <c r="F567" s="5" t="s">
        <v>24</v>
      </c>
      <c r="G567">
        <v>0.77083333333333337</v>
      </c>
      <c r="H567">
        <v>0.81805555555555554</v>
      </c>
      <c r="I567">
        <v>59</v>
      </c>
      <c r="J567" s="5" t="s">
        <v>60</v>
      </c>
      <c r="K567" s="5" t="s">
        <v>19</v>
      </c>
      <c r="L567">
        <v>866</v>
      </c>
      <c r="M567" s="5">
        <v>68</v>
      </c>
      <c r="N567" s="5" t="s">
        <v>1676</v>
      </c>
      <c r="O567" s="5" t="s">
        <v>1668</v>
      </c>
      <c r="P567">
        <v>0</v>
      </c>
      <c r="Q567" t="s">
        <v>1665</v>
      </c>
      <c r="R567" t="s">
        <v>1657</v>
      </c>
    </row>
    <row r="568" spans="1:18" x14ac:dyDescent="0.35">
      <c r="A568" s="5" t="s">
        <v>1069</v>
      </c>
      <c r="B568" s="6">
        <v>46103</v>
      </c>
      <c r="C568" s="5" t="s">
        <v>864</v>
      </c>
      <c r="D568" s="5" t="s">
        <v>588</v>
      </c>
      <c r="E568" s="5" t="s">
        <v>1171</v>
      </c>
      <c r="F568" s="5" t="s">
        <v>28</v>
      </c>
      <c r="G568">
        <v>0.90972222222222221</v>
      </c>
      <c r="H568">
        <v>0.91527777777777775</v>
      </c>
      <c r="I568">
        <v>14</v>
      </c>
      <c r="J568" s="5" t="s">
        <v>18</v>
      </c>
      <c r="K568" s="5" t="s">
        <v>19</v>
      </c>
      <c r="L568">
        <v>866</v>
      </c>
      <c r="M568" s="5">
        <v>8</v>
      </c>
      <c r="N568" s="5" t="s">
        <v>1676</v>
      </c>
      <c r="O568" s="5" t="s">
        <v>1668</v>
      </c>
      <c r="P568">
        <v>1</v>
      </c>
      <c r="Q568" t="s">
        <v>1669</v>
      </c>
    </row>
    <row r="569" spans="1:18" x14ac:dyDescent="0.35">
      <c r="A569" s="5" t="s">
        <v>1070</v>
      </c>
      <c r="B569" s="6">
        <v>46103</v>
      </c>
      <c r="C569" s="5" t="s">
        <v>823</v>
      </c>
      <c r="D569" s="5" t="s">
        <v>84</v>
      </c>
      <c r="E569" s="5" t="s">
        <v>1171</v>
      </c>
      <c r="F569" s="5" t="s">
        <v>28</v>
      </c>
      <c r="G569">
        <v>0.95138888888888884</v>
      </c>
      <c r="H569">
        <v>0.99583333333333335</v>
      </c>
      <c r="I569">
        <v>62</v>
      </c>
      <c r="J569" s="5" t="s">
        <v>60</v>
      </c>
      <c r="K569" s="5" t="s">
        <v>19</v>
      </c>
      <c r="L569">
        <v>1108</v>
      </c>
      <c r="M569" s="5">
        <v>64</v>
      </c>
      <c r="N569" s="5" t="s">
        <v>1676</v>
      </c>
      <c r="O569" s="5" t="s">
        <v>1668</v>
      </c>
      <c r="P569">
        <v>0</v>
      </c>
      <c r="Q569" t="s">
        <v>1669</v>
      </c>
      <c r="R569" t="s">
        <v>1657</v>
      </c>
    </row>
    <row r="570" spans="1:18" x14ac:dyDescent="0.35">
      <c r="A570" s="5" t="s">
        <v>1071</v>
      </c>
      <c r="B570" s="6">
        <v>46104</v>
      </c>
      <c r="C570" s="5" t="s">
        <v>110</v>
      </c>
      <c r="D570" s="5" t="s">
        <v>226</v>
      </c>
      <c r="E570" s="5" t="s">
        <v>588</v>
      </c>
      <c r="F570" s="5" t="s">
        <v>28</v>
      </c>
      <c r="G570">
        <v>0.35416666666666669</v>
      </c>
      <c r="H570">
        <v>0.44861111111111113</v>
      </c>
      <c r="I570">
        <v>140</v>
      </c>
      <c r="J570" s="5" t="s">
        <v>54</v>
      </c>
      <c r="K570" s="5" t="s">
        <v>19</v>
      </c>
      <c r="L570">
        <v>641</v>
      </c>
      <c r="M570" s="5">
        <v>136</v>
      </c>
      <c r="N570" s="5" t="s">
        <v>1676</v>
      </c>
      <c r="O570" s="5" t="s">
        <v>1659</v>
      </c>
      <c r="P570">
        <v>0</v>
      </c>
      <c r="Q570" t="s">
        <v>1660</v>
      </c>
      <c r="R570" t="s">
        <v>1657</v>
      </c>
    </row>
    <row r="571" spans="1:18" x14ac:dyDescent="0.35">
      <c r="A571" s="5" t="s">
        <v>1072</v>
      </c>
      <c r="B571" s="6">
        <v>46105</v>
      </c>
      <c r="C571" s="5" t="s">
        <v>1073</v>
      </c>
      <c r="D571" s="5" t="s">
        <v>79</v>
      </c>
      <c r="E571" s="5" t="s">
        <v>226</v>
      </c>
      <c r="F571" s="5" t="s">
        <v>28</v>
      </c>
      <c r="G571">
        <v>0.65277777777777779</v>
      </c>
      <c r="J571" s="5" t="s">
        <v>129</v>
      </c>
      <c r="K571" s="5" t="s">
        <v>254</v>
      </c>
      <c r="L571">
        <v>1197</v>
      </c>
      <c r="M571" s="5"/>
      <c r="N571" s="5" t="s">
        <v>1676</v>
      </c>
      <c r="O571" s="5" t="s">
        <v>1661</v>
      </c>
      <c r="Q571" t="s">
        <v>1663</v>
      </c>
      <c r="R571" t="s">
        <v>1670</v>
      </c>
    </row>
    <row r="572" spans="1:18" x14ac:dyDescent="0.35">
      <c r="A572" s="5" t="s">
        <v>1074</v>
      </c>
      <c r="B572" s="6">
        <v>46106</v>
      </c>
      <c r="C572" s="5" t="s">
        <v>1075</v>
      </c>
      <c r="D572" s="5" t="s">
        <v>1549</v>
      </c>
      <c r="E572" s="5" t="s">
        <v>84</v>
      </c>
      <c r="F572" s="5" t="s">
        <v>24</v>
      </c>
      <c r="G572">
        <v>0.2986111111111111</v>
      </c>
      <c r="H572">
        <v>0.30625000000000002</v>
      </c>
      <c r="I572">
        <v>8</v>
      </c>
      <c r="J572" s="5" t="s">
        <v>18</v>
      </c>
      <c r="K572" s="5" t="s">
        <v>19</v>
      </c>
      <c r="L572">
        <v>2489</v>
      </c>
      <c r="M572" s="5">
        <v>11</v>
      </c>
      <c r="N572" s="5" t="s">
        <v>1676</v>
      </c>
      <c r="O572" s="5" t="s">
        <v>1662</v>
      </c>
      <c r="P572">
        <v>1</v>
      </c>
      <c r="Q572" t="s">
        <v>1660</v>
      </c>
    </row>
    <row r="573" spans="1:18" x14ac:dyDescent="0.35">
      <c r="A573" s="5" t="s">
        <v>1076</v>
      </c>
      <c r="B573" s="6">
        <v>46106</v>
      </c>
      <c r="C573" s="5" t="s">
        <v>1077</v>
      </c>
      <c r="D573" s="5" t="s">
        <v>413</v>
      </c>
      <c r="E573" s="5" t="s">
        <v>197</v>
      </c>
      <c r="F573" s="5" t="s">
        <v>24</v>
      </c>
      <c r="G573">
        <v>0.39583333333333331</v>
      </c>
      <c r="H573">
        <v>0.3972222222222222</v>
      </c>
      <c r="I573">
        <v>12</v>
      </c>
      <c r="J573" s="5" t="s">
        <v>18</v>
      </c>
      <c r="K573" s="5" t="s">
        <v>19</v>
      </c>
      <c r="L573">
        <v>2470</v>
      </c>
      <c r="M573" s="5">
        <v>2</v>
      </c>
      <c r="N573" s="5" t="s">
        <v>1676</v>
      </c>
      <c r="O573" s="5" t="s">
        <v>1662</v>
      </c>
      <c r="P573">
        <v>1</v>
      </c>
      <c r="Q573" t="s">
        <v>1660</v>
      </c>
    </row>
    <row r="574" spans="1:18" x14ac:dyDescent="0.35">
      <c r="A574" s="5" t="s">
        <v>1078</v>
      </c>
      <c r="B574" s="6">
        <v>46107</v>
      </c>
      <c r="C574" s="5" t="s">
        <v>1079</v>
      </c>
      <c r="D574" s="5" t="s">
        <v>588</v>
      </c>
      <c r="E574" s="5" t="s">
        <v>71</v>
      </c>
      <c r="F574" s="5" t="s">
        <v>17</v>
      </c>
      <c r="G574">
        <v>0.64930555555555558</v>
      </c>
      <c r="H574">
        <v>0.65416666666666667</v>
      </c>
      <c r="I574">
        <v>3</v>
      </c>
      <c r="J574" s="5" t="s">
        <v>18</v>
      </c>
      <c r="K574" s="5" t="s">
        <v>19</v>
      </c>
      <c r="L574">
        <v>802</v>
      </c>
      <c r="M574" s="5">
        <v>7</v>
      </c>
      <c r="N574" s="5" t="s">
        <v>1676</v>
      </c>
      <c r="O574" s="5" t="s">
        <v>1664</v>
      </c>
      <c r="P574">
        <v>1</v>
      </c>
      <c r="Q574" t="s">
        <v>1663</v>
      </c>
    </row>
    <row r="575" spans="1:18" x14ac:dyDescent="0.35">
      <c r="A575" s="5" t="s">
        <v>1080</v>
      </c>
      <c r="B575" s="6">
        <v>46107</v>
      </c>
      <c r="C575" s="5" t="s">
        <v>1081</v>
      </c>
      <c r="D575" s="5" t="s">
        <v>71</v>
      </c>
      <c r="E575" s="5" t="s">
        <v>197</v>
      </c>
      <c r="F575" s="5" t="s">
        <v>24</v>
      </c>
      <c r="G575">
        <v>0.86458333333333337</v>
      </c>
      <c r="H575">
        <v>0.88541666666666663</v>
      </c>
      <c r="I575">
        <v>17</v>
      </c>
      <c r="J575" s="5" t="s">
        <v>54</v>
      </c>
      <c r="K575" s="5" t="s">
        <v>19</v>
      </c>
      <c r="L575">
        <v>738</v>
      </c>
      <c r="M575" s="5">
        <v>30</v>
      </c>
      <c r="N575" s="5" t="s">
        <v>1676</v>
      </c>
      <c r="O575" s="5" t="s">
        <v>1664</v>
      </c>
      <c r="P575">
        <v>0</v>
      </c>
      <c r="Q575" t="s">
        <v>1665</v>
      </c>
      <c r="R575" t="s">
        <v>1657</v>
      </c>
    </row>
    <row r="576" spans="1:18" x14ac:dyDescent="0.35">
      <c r="A576" s="5" t="s">
        <v>1082</v>
      </c>
      <c r="B576" s="6">
        <v>46108</v>
      </c>
      <c r="C576" s="5" t="s">
        <v>883</v>
      </c>
      <c r="D576" s="5" t="s">
        <v>71</v>
      </c>
      <c r="E576" s="5" t="s">
        <v>79</v>
      </c>
      <c r="F576" s="5" t="s">
        <v>17</v>
      </c>
      <c r="G576">
        <v>0.55902777777777779</v>
      </c>
      <c r="H576">
        <v>0.56180555555555556</v>
      </c>
      <c r="I576">
        <v>3</v>
      </c>
      <c r="J576" s="5" t="s">
        <v>18</v>
      </c>
      <c r="K576" s="5" t="s">
        <v>19</v>
      </c>
      <c r="L576">
        <v>606</v>
      </c>
      <c r="M576" s="5">
        <v>4</v>
      </c>
      <c r="N576" s="5" t="s">
        <v>1676</v>
      </c>
      <c r="O576" s="5" t="s">
        <v>1666</v>
      </c>
      <c r="P576">
        <v>1</v>
      </c>
      <c r="Q576" t="s">
        <v>1663</v>
      </c>
    </row>
    <row r="577" spans="1:18" x14ac:dyDescent="0.35">
      <c r="A577" s="5" t="s">
        <v>1083</v>
      </c>
      <c r="B577" s="6">
        <v>46108</v>
      </c>
      <c r="C577" s="5" t="s">
        <v>716</v>
      </c>
      <c r="D577" s="5" t="s">
        <v>197</v>
      </c>
      <c r="E577" s="5" t="s">
        <v>84</v>
      </c>
      <c r="F577" s="5" t="s">
        <v>28</v>
      </c>
      <c r="G577">
        <v>0.60069444444444442</v>
      </c>
      <c r="H577">
        <v>0.63888888888888884</v>
      </c>
      <c r="I577">
        <v>51</v>
      </c>
      <c r="J577" s="5" t="s">
        <v>60</v>
      </c>
      <c r="K577" s="5" t="s">
        <v>19</v>
      </c>
      <c r="L577">
        <v>2415</v>
      </c>
      <c r="M577" s="5"/>
      <c r="N577" s="5" t="s">
        <v>1676</v>
      </c>
      <c r="O577" s="5" t="s">
        <v>1666</v>
      </c>
      <c r="P577">
        <v>0</v>
      </c>
      <c r="Q577" t="s">
        <v>1663</v>
      </c>
      <c r="R577" t="s">
        <v>1657</v>
      </c>
    </row>
    <row r="578" spans="1:18" x14ac:dyDescent="0.35">
      <c r="A578" s="5" t="s">
        <v>1084</v>
      </c>
      <c r="B578" s="6">
        <v>46108</v>
      </c>
      <c r="C578" s="5" t="s">
        <v>1049</v>
      </c>
      <c r="D578" s="5" t="s">
        <v>71</v>
      </c>
      <c r="E578" s="5" t="s">
        <v>1549</v>
      </c>
      <c r="F578" s="5" t="s">
        <v>28</v>
      </c>
      <c r="G578">
        <v>0.72916666666666663</v>
      </c>
      <c r="H578">
        <v>0.73402777777777772</v>
      </c>
      <c r="I578">
        <v>-1</v>
      </c>
      <c r="J578" s="5" t="s">
        <v>18</v>
      </c>
      <c r="K578" s="5" t="s">
        <v>19</v>
      </c>
      <c r="L578">
        <v>864</v>
      </c>
      <c r="M578" s="5">
        <v>7</v>
      </c>
      <c r="N578" s="5" t="s">
        <v>1676</v>
      </c>
      <c r="O578" s="5" t="s">
        <v>1666</v>
      </c>
      <c r="P578">
        <v>1</v>
      </c>
      <c r="Q578" t="s">
        <v>1665</v>
      </c>
    </row>
    <row r="579" spans="1:18" x14ac:dyDescent="0.35">
      <c r="A579" s="5" t="s">
        <v>1085</v>
      </c>
      <c r="B579" s="6">
        <v>46109</v>
      </c>
      <c r="C579" s="5" t="s">
        <v>144</v>
      </c>
      <c r="D579" s="5" t="s">
        <v>546</v>
      </c>
      <c r="E579" s="5" t="s">
        <v>79</v>
      </c>
      <c r="F579" s="5" t="s">
        <v>38</v>
      </c>
      <c r="G579">
        <v>0.2673611111111111</v>
      </c>
      <c r="H579">
        <v>0.27986111111111112</v>
      </c>
      <c r="I579">
        <v>13</v>
      </c>
      <c r="J579" s="5" t="s">
        <v>54</v>
      </c>
      <c r="K579" s="5" t="s">
        <v>19</v>
      </c>
      <c r="L579">
        <v>1743</v>
      </c>
      <c r="M579" s="5">
        <v>18</v>
      </c>
      <c r="N579" s="5" t="s">
        <v>1676</v>
      </c>
      <c r="O579" s="5" t="s">
        <v>1667</v>
      </c>
      <c r="P579">
        <v>1</v>
      </c>
      <c r="Q579" t="s">
        <v>1660</v>
      </c>
      <c r="R579" t="s">
        <v>1657</v>
      </c>
    </row>
    <row r="580" spans="1:18" x14ac:dyDescent="0.35">
      <c r="A580" s="5" t="s">
        <v>1086</v>
      </c>
      <c r="B580" s="6">
        <v>46109</v>
      </c>
      <c r="C580" s="5" t="s">
        <v>986</v>
      </c>
      <c r="D580" s="5" t="s">
        <v>202</v>
      </c>
      <c r="E580" s="5" t="s">
        <v>413</v>
      </c>
      <c r="F580" s="5" t="s">
        <v>17</v>
      </c>
      <c r="G580">
        <v>0.33333333333333331</v>
      </c>
      <c r="H580">
        <v>0.33124999999999999</v>
      </c>
      <c r="I580">
        <v>-4</v>
      </c>
      <c r="J580" s="5" t="s">
        <v>18</v>
      </c>
      <c r="K580" s="5" t="s">
        <v>19</v>
      </c>
      <c r="L580">
        <v>2338</v>
      </c>
      <c r="M580" s="5">
        <v>-3</v>
      </c>
      <c r="N580" s="5" t="s">
        <v>1676</v>
      </c>
      <c r="O580" s="5" t="s">
        <v>1667</v>
      </c>
      <c r="P580">
        <v>1</v>
      </c>
      <c r="Q580" t="s">
        <v>1660</v>
      </c>
    </row>
    <row r="581" spans="1:18" x14ac:dyDescent="0.35">
      <c r="A581" s="5" t="s">
        <v>1087</v>
      </c>
      <c r="B581" s="6">
        <v>46109</v>
      </c>
      <c r="C581" s="5" t="s">
        <v>1037</v>
      </c>
      <c r="D581" s="5" t="s">
        <v>413</v>
      </c>
      <c r="E581" s="5" t="s">
        <v>71</v>
      </c>
      <c r="F581" s="5" t="s">
        <v>28</v>
      </c>
      <c r="G581">
        <v>0.41666666666666669</v>
      </c>
      <c r="H581">
        <v>0.43055555555555558</v>
      </c>
      <c r="I581">
        <v>7</v>
      </c>
      <c r="J581" s="5" t="s">
        <v>60</v>
      </c>
      <c r="K581" s="5" t="s">
        <v>19</v>
      </c>
      <c r="L581">
        <v>1742</v>
      </c>
      <c r="M581" s="5">
        <v>20</v>
      </c>
      <c r="N581" s="5" t="s">
        <v>1676</v>
      </c>
      <c r="O581" s="5" t="s">
        <v>1667</v>
      </c>
      <c r="P581">
        <v>1</v>
      </c>
      <c r="Q581" t="s">
        <v>1660</v>
      </c>
      <c r="R581" t="s">
        <v>1657</v>
      </c>
    </row>
    <row r="582" spans="1:18" x14ac:dyDescent="0.35">
      <c r="A582" s="5" t="s">
        <v>1088</v>
      </c>
      <c r="B582" s="6">
        <v>46109</v>
      </c>
      <c r="C582" s="5" t="s">
        <v>1089</v>
      </c>
      <c r="D582" s="5" t="s">
        <v>197</v>
      </c>
      <c r="E582" s="5" t="s">
        <v>1549</v>
      </c>
      <c r="F582" s="5" t="s">
        <v>38</v>
      </c>
      <c r="G582">
        <v>0.62152777777777779</v>
      </c>
      <c r="H582">
        <v>0.62222222222222223</v>
      </c>
      <c r="I582">
        <v>-8</v>
      </c>
      <c r="J582" s="5" t="s">
        <v>18</v>
      </c>
      <c r="K582" s="5" t="s">
        <v>19</v>
      </c>
      <c r="L582">
        <v>186</v>
      </c>
      <c r="M582" s="5">
        <v>1</v>
      </c>
      <c r="N582" s="5" t="s">
        <v>1676</v>
      </c>
      <c r="O582" s="5" t="s">
        <v>1667</v>
      </c>
      <c r="P582">
        <v>1</v>
      </c>
      <c r="Q582" t="s">
        <v>1663</v>
      </c>
    </row>
    <row r="583" spans="1:18" x14ac:dyDescent="0.35">
      <c r="A583" s="5" t="s">
        <v>1090</v>
      </c>
      <c r="B583" s="6">
        <v>46110</v>
      </c>
      <c r="C583" s="5" t="s">
        <v>1091</v>
      </c>
      <c r="D583" s="5" t="s">
        <v>84</v>
      </c>
      <c r="E583" s="5" t="s">
        <v>71</v>
      </c>
      <c r="F583" s="5" t="s">
        <v>17</v>
      </c>
      <c r="G583">
        <v>0.30902777777777779</v>
      </c>
      <c r="H583">
        <v>0.3347222222222222</v>
      </c>
      <c r="I583">
        <v>33</v>
      </c>
      <c r="J583" s="5" t="s">
        <v>129</v>
      </c>
      <c r="K583" s="5" t="s">
        <v>19</v>
      </c>
      <c r="L583">
        <v>1717</v>
      </c>
      <c r="M583" s="5">
        <v>37</v>
      </c>
      <c r="N583" s="5" t="s">
        <v>1676</v>
      </c>
      <c r="O583" s="5" t="s">
        <v>1668</v>
      </c>
      <c r="P583">
        <v>0</v>
      </c>
      <c r="Q583" t="s">
        <v>1660</v>
      </c>
      <c r="R583" t="s">
        <v>1670</v>
      </c>
    </row>
    <row r="584" spans="1:18" x14ac:dyDescent="0.35">
      <c r="A584" s="5" t="s">
        <v>1092</v>
      </c>
      <c r="B584" s="6">
        <v>46110</v>
      </c>
      <c r="C584" s="5" t="s">
        <v>1093</v>
      </c>
      <c r="D584" s="5" t="s">
        <v>197</v>
      </c>
      <c r="E584" s="5" t="s">
        <v>71</v>
      </c>
      <c r="F584" s="5" t="s">
        <v>24</v>
      </c>
      <c r="G584">
        <v>0.34722222222222221</v>
      </c>
      <c r="H584">
        <v>0.34236111111111112</v>
      </c>
      <c r="I584">
        <v>-12</v>
      </c>
      <c r="J584" s="5" t="s">
        <v>18</v>
      </c>
      <c r="K584" s="5" t="s">
        <v>19</v>
      </c>
      <c r="L584">
        <v>738</v>
      </c>
      <c r="M584" s="5">
        <v>-7</v>
      </c>
      <c r="N584" s="5" t="s">
        <v>1676</v>
      </c>
      <c r="O584" s="5" t="s">
        <v>1668</v>
      </c>
      <c r="P584">
        <v>1</v>
      </c>
      <c r="Q584" t="s">
        <v>1660</v>
      </c>
    </row>
    <row r="585" spans="1:18" x14ac:dyDescent="0.35">
      <c r="A585" s="5" t="s">
        <v>1094</v>
      </c>
      <c r="B585" s="6">
        <v>46110</v>
      </c>
      <c r="C585" s="5" t="s">
        <v>1095</v>
      </c>
      <c r="D585" s="5" t="s">
        <v>1549</v>
      </c>
      <c r="E585" s="5" t="s">
        <v>1295</v>
      </c>
      <c r="F585" s="5" t="s">
        <v>38</v>
      </c>
      <c r="G585">
        <v>0.53125</v>
      </c>
      <c r="H585">
        <v>0.53541666666666665</v>
      </c>
      <c r="I585">
        <v>14</v>
      </c>
      <c r="J585" s="5" t="s">
        <v>18</v>
      </c>
      <c r="K585" s="5" t="s">
        <v>19</v>
      </c>
      <c r="L585">
        <v>2698</v>
      </c>
      <c r="M585" s="5">
        <v>6</v>
      </c>
      <c r="N585" s="5" t="s">
        <v>1676</v>
      </c>
      <c r="O585" s="5" t="s">
        <v>1668</v>
      </c>
      <c r="P585">
        <v>1</v>
      </c>
      <c r="Q585" t="s">
        <v>1663</v>
      </c>
    </row>
    <row r="586" spans="1:18" x14ac:dyDescent="0.35">
      <c r="A586" s="5" t="s">
        <v>1096</v>
      </c>
      <c r="B586" s="6">
        <v>46111</v>
      </c>
      <c r="C586" s="5" t="s">
        <v>692</v>
      </c>
      <c r="D586" s="5" t="s">
        <v>546</v>
      </c>
      <c r="E586" s="5" t="s">
        <v>1549</v>
      </c>
      <c r="F586" s="5" t="s">
        <v>24</v>
      </c>
      <c r="G586">
        <v>0.27083333333333331</v>
      </c>
      <c r="H586">
        <v>0.26805555555555549</v>
      </c>
      <c r="I586">
        <v>-8</v>
      </c>
      <c r="J586" s="5" t="s">
        <v>18</v>
      </c>
      <c r="K586" s="5" t="s">
        <v>19</v>
      </c>
      <c r="L586">
        <v>2375</v>
      </c>
      <c r="M586" s="5">
        <v>-4</v>
      </c>
      <c r="N586" s="5" t="s">
        <v>1676</v>
      </c>
      <c r="O586" s="5" t="s">
        <v>1659</v>
      </c>
      <c r="P586">
        <v>1</v>
      </c>
      <c r="Q586" t="s">
        <v>1660</v>
      </c>
    </row>
    <row r="587" spans="1:18" x14ac:dyDescent="0.35">
      <c r="A587" s="5" t="s">
        <v>1097</v>
      </c>
      <c r="B587" s="6">
        <v>46111</v>
      </c>
      <c r="C587" s="5" t="s">
        <v>1098</v>
      </c>
      <c r="D587" s="5" t="s">
        <v>588</v>
      </c>
      <c r="E587" s="5" t="s">
        <v>84</v>
      </c>
      <c r="F587" s="5" t="s">
        <v>17</v>
      </c>
      <c r="G587">
        <v>0.58333333333333337</v>
      </c>
      <c r="H587">
        <v>0.59097222222222223</v>
      </c>
      <c r="I587">
        <v>3</v>
      </c>
      <c r="J587" s="5" t="s">
        <v>18</v>
      </c>
      <c r="K587" s="5" t="s">
        <v>19</v>
      </c>
      <c r="L587">
        <v>1658</v>
      </c>
      <c r="M587" s="5">
        <v>11</v>
      </c>
      <c r="N587" s="5" t="s">
        <v>1676</v>
      </c>
      <c r="O587" s="5" t="s">
        <v>1659</v>
      </c>
      <c r="P587">
        <v>1</v>
      </c>
      <c r="Q587" t="s">
        <v>1663</v>
      </c>
    </row>
    <row r="588" spans="1:18" x14ac:dyDescent="0.35">
      <c r="A588" s="5" t="s">
        <v>1099</v>
      </c>
      <c r="B588" s="6">
        <v>46112</v>
      </c>
      <c r="C588" s="5" t="s">
        <v>770</v>
      </c>
      <c r="D588" s="5" t="s">
        <v>79</v>
      </c>
      <c r="E588" s="5" t="s">
        <v>71</v>
      </c>
      <c r="F588" s="5" t="s">
        <v>24</v>
      </c>
      <c r="G588">
        <v>0.46180555555555558</v>
      </c>
      <c r="H588">
        <v>0.46597222222222218</v>
      </c>
      <c r="I588">
        <v>-1</v>
      </c>
      <c r="J588" s="5" t="s">
        <v>18</v>
      </c>
      <c r="K588" s="5" t="s">
        <v>19</v>
      </c>
      <c r="L588">
        <v>606</v>
      </c>
      <c r="M588" s="5">
        <v>6</v>
      </c>
      <c r="N588" s="5" t="s">
        <v>1676</v>
      </c>
      <c r="O588" s="5" t="s">
        <v>1661</v>
      </c>
      <c r="P588">
        <v>1</v>
      </c>
      <c r="Q588" t="s">
        <v>1660</v>
      </c>
    </row>
    <row r="589" spans="1:18" x14ac:dyDescent="0.35">
      <c r="A589" s="5" t="s">
        <v>1100</v>
      </c>
      <c r="B589" s="6">
        <v>46112</v>
      </c>
      <c r="C589" s="5" t="s">
        <v>1101</v>
      </c>
      <c r="D589" s="5" t="s">
        <v>197</v>
      </c>
      <c r="E589" s="5" t="s">
        <v>1295</v>
      </c>
      <c r="F589" s="5" t="s">
        <v>38</v>
      </c>
      <c r="G589">
        <v>0.70833333333333337</v>
      </c>
      <c r="H589">
        <v>0.7055555555555556</v>
      </c>
      <c r="I589">
        <v>-14</v>
      </c>
      <c r="J589" s="5" t="s">
        <v>18</v>
      </c>
      <c r="K589" s="5" t="s">
        <v>19</v>
      </c>
      <c r="L589">
        <v>2580</v>
      </c>
      <c r="M589" s="5">
        <v>-4</v>
      </c>
      <c r="N589" s="5" t="s">
        <v>1676</v>
      </c>
      <c r="O589" s="5" t="s">
        <v>1661</v>
      </c>
      <c r="P589">
        <v>1</v>
      </c>
      <c r="Q589" t="s">
        <v>1665</v>
      </c>
    </row>
    <row r="590" spans="1:18" x14ac:dyDescent="0.35">
      <c r="A590" s="5" t="s">
        <v>1102</v>
      </c>
      <c r="B590" s="6">
        <v>46113</v>
      </c>
      <c r="C590" s="5" t="s">
        <v>1101</v>
      </c>
      <c r="D590" s="5" t="s">
        <v>79</v>
      </c>
      <c r="E590" s="5" t="s">
        <v>84</v>
      </c>
      <c r="F590" s="5" t="s">
        <v>24</v>
      </c>
      <c r="G590">
        <v>0.40277777777777779</v>
      </c>
      <c r="H590">
        <v>0.4</v>
      </c>
      <c r="I590">
        <v>2</v>
      </c>
      <c r="J590" s="5" t="s">
        <v>18</v>
      </c>
      <c r="K590" s="5" t="s">
        <v>19</v>
      </c>
      <c r="L590">
        <v>2178</v>
      </c>
      <c r="M590" s="5">
        <v>-4</v>
      </c>
      <c r="N590" s="5" t="s">
        <v>1677</v>
      </c>
      <c r="O590" s="5" t="s">
        <v>1662</v>
      </c>
      <c r="P590">
        <v>1</v>
      </c>
      <c r="Q590" t="s">
        <v>1660</v>
      </c>
    </row>
    <row r="591" spans="1:18" x14ac:dyDescent="0.35">
      <c r="A591" s="5" t="s">
        <v>1103</v>
      </c>
      <c r="B591" s="6">
        <v>46113</v>
      </c>
      <c r="C591" s="5" t="s">
        <v>236</v>
      </c>
      <c r="D591" s="5" t="s">
        <v>71</v>
      </c>
      <c r="E591" s="5" t="s">
        <v>588</v>
      </c>
      <c r="F591" s="5" t="s">
        <v>28</v>
      </c>
      <c r="G591">
        <v>0.46527777777777779</v>
      </c>
      <c r="H591">
        <v>0.46666666666666667</v>
      </c>
      <c r="I591">
        <v>2</v>
      </c>
      <c r="J591" s="5" t="s">
        <v>18</v>
      </c>
      <c r="K591" s="5" t="s">
        <v>19</v>
      </c>
      <c r="L591">
        <v>802</v>
      </c>
      <c r="M591" s="5">
        <v>2</v>
      </c>
      <c r="N591" s="5" t="s">
        <v>1677</v>
      </c>
      <c r="O591" s="5" t="s">
        <v>1662</v>
      </c>
      <c r="P591">
        <v>1</v>
      </c>
      <c r="Q591" t="s">
        <v>1660</v>
      </c>
    </row>
    <row r="592" spans="1:18" x14ac:dyDescent="0.35">
      <c r="A592" s="5" t="s">
        <v>1104</v>
      </c>
      <c r="B592" s="6">
        <v>46113</v>
      </c>
      <c r="C592" s="5" t="s">
        <v>1105</v>
      </c>
      <c r="D592" s="5" t="s">
        <v>79</v>
      </c>
      <c r="E592" s="5" t="s">
        <v>197</v>
      </c>
      <c r="F592" s="5" t="s">
        <v>17</v>
      </c>
      <c r="G592">
        <v>0.53819444444444442</v>
      </c>
      <c r="H592">
        <v>0.54305555555555551</v>
      </c>
      <c r="I592">
        <v>5</v>
      </c>
      <c r="J592" s="5" t="s">
        <v>18</v>
      </c>
      <c r="K592" s="5" t="s">
        <v>19</v>
      </c>
      <c r="L592">
        <v>759</v>
      </c>
      <c r="M592" s="5">
        <v>7</v>
      </c>
      <c r="N592" s="5" t="s">
        <v>1677</v>
      </c>
      <c r="O592" s="5" t="s">
        <v>1662</v>
      </c>
      <c r="P592">
        <v>1</v>
      </c>
      <c r="Q592" t="s">
        <v>1663</v>
      </c>
    </row>
    <row r="593" spans="1:18" x14ac:dyDescent="0.35">
      <c r="A593" s="5" t="s">
        <v>1106</v>
      </c>
      <c r="B593" s="6">
        <v>46113</v>
      </c>
      <c r="C593" s="5" t="s">
        <v>218</v>
      </c>
      <c r="D593" s="5" t="s">
        <v>588</v>
      </c>
      <c r="E593" s="5" t="s">
        <v>1295</v>
      </c>
      <c r="F593" s="5" t="s">
        <v>38</v>
      </c>
      <c r="G593">
        <v>0.65625</v>
      </c>
      <c r="H593">
        <v>0.65486111111111112</v>
      </c>
      <c r="I593">
        <v>-6</v>
      </c>
      <c r="J593" s="5" t="s">
        <v>18</v>
      </c>
      <c r="K593" s="5" t="s">
        <v>19</v>
      </c>
      <c r="L593">
        <v>1462</v>
      </c>
      <c r="M593" s="5">
        <v>-2</v>
      </c>
      <c r="N593" s="5" t="s">
        <v>1677</v>
      </c>
      <c r="O593" s="5" t="s">
        <v>1662</v>
      </c>
      <c r="P593">
        <v>1</v>
      </c>
      <c r="Q593" t="s">
        <v>1663</v>
      </c>
    </row>
    <row r="594" spans="1:18" x14ac:dyDescent="0.35">
      <c r="A594" s="5" t="s">
        <v>1107</v>
      </c>
      <c r="B594" s="6">
        <v>46113</v>
      </c>
      <c r="C594" s="5" t="s">
        <v>278</v>
      </c>
      <c r="D594" s="5" t="s">
        <v>1549</v>
      </c>
      <c r="E594" s="5" t="s">
        <v>1171</v>
      </c>
      <c r="F594" s="5" t="s">
        <v>24</v>
      </c>
      <c r="G594">
        <v>0.87847222222222221</v>
      </c>
      <c r="H594">
        <v>0.89444444444444449</v>
      </c>
      <c r="I594">
        <v>11</v>
      </c>
      <c r="J594" s="5" t="s">
        <v>60</v>
      </c>
      <c r="K594" s="5" t="s">
        <v>19</v>
      </c>
      <c r="L594">
        <v>2295</v>
      </c>
      <c r="M594" s="5">
        <v>23</v>
      </c>
      <c r="N594" s="5" t="s">
        <v>1677</v>
      </c>
      <c r="O594" s="5" t="s">
        <v>1662</v>
      </c>
      <c r="P594">
        <v>1</v>
      </c>
      <c r="Q594" t="s">
        <v>1669</v>
      </c>
      <c r="R594" t="s">
        <v>1657</v>
      </c>
    </row>
    <row r="595" spans="1:18" x14ac:dyDescent="0.35">
      <c r="A595" s="5" t="s">
        <v>1108</v>
      </c>
      <c r="B595" s="6">
        <v>46114</v>
      </c>
      <c r="C595" s="5" t="s">
        <v>26</v>
      </c>
      <c r="D595" s="5" t="s">
        <v>1295</v>
      </c>
      <c r="E595" s="5" t="s">
        <v>79</v>
      </c>
      <c r="F595" s="5" t="s">
        <v>28</v>
      </c>
      <c r="G595">
        <v>0.46180555555555558</v>
      </c>
      <c r="H595">
        <v>0.50555555555555554</v>
      </c>
      <c r="I595">
        <v>67</v>
      </c>
      <c r="J595" s="5" t="s">
        <v>54</v>
      </c>
      <c r="K595" s="5" t="s">
        <v>19</v>
      </c>
      <c r="L595">
        <v>2134</v>
      </c>
      <c r="M595" s="5">
        <v>63</v>
      </c>
      <c r="N595" s="5" t="s">
        <v>1677</v>
      </c>
      <c r="O595" s="5" t="s">
        <v>1664</v>
      </c>
      <c r="P595">
        <v>0</v>
      </c>
      <c r="Q595" t="s">
        <v>1660</v>
      </c>
      <c r="R595" t="s">
        <v>1657</v>
      </c>
    </row>
    <row r="596" spans="1:18" x14ac:dyDescent="0.35">
      <c r="A596" s="5" t="s">
        <v>1109</v>
      </c>
      <c r="B596" s="6">
        <v>46115</v>
      </c>
      <c r="C596" s="5" t="s">
        <v>1110</v>
      </c>
      <c r="D596" s="5" t="s">
        <v>79</v>
      </c>
      <c r="E596" s="5" t="s">
        <v>1171</v>
      </c>
      <c r="F596" s="5" t="s">
        <v>28</v>
      </c>
      <c r="G596">
        <v>0.3611111111111111</v>
      </c>
      <c r="H596">
        <v>0.3611111111111111</v>
      </c>
      <c r="I596">
        <v>-12</v>
      </c>
      <c r="J596" s="5" t="s">
        <v>18</v>
      </c>
      <c r="K596" s="5" t="s">
        <v>19</v>
      </c>
      <c r="L596">
        <v>1584</v>
      </c>
      <c r="M596" s="5">
        <v>0</v>
      </c>
      <c r="N596" s="5" t="s">
        <v>1677</v>
      </c>
      <c r="O596" s="5" t="s">
        <v>1666</v>
      </c>
      <c r="P596">
        <v>1</v>
      </c>
      <c r="Q596" t="s">
        <v>1660</v>
      </c>
    </row>
    <row r="597" spans="1:18" x14ac:dyDescent="0.35">
      <c r="A597" s="5" t="s">
        <v>1111</v>
      </c>
      <c r="B597" s="6">
        <v>46115</v>
      </c>
      <c r="C597" s="5" t="s">
        <v>994</v>
      </c>
      <c r="D597" s="5" t="s">
        <v>79</v>
      </c>
      <c r="E597" s="5" t="s">
        <v>71</v>
      </c>
      <c r="F597" s="5" t="s">
        <v>17</v>
      </c>
      <c r="G597">
        <v>0.86111111111111116</v>
      </c>
      <c r="H597">
        <v>0.91388888888888886</v>
      </c>
      <c r="I597">
        <v>65</v>
      </c>
      <c r="J597" s="5" t="s">
        <v>477</v>
      </c>
      <c r="K597" s="5" t="s">
        <v>19</v>
      </c>
      <c r="L597">
        <v>606</v>
      </c>
      <c r="M597" s="5">
        <v>76</v>
      </c>
      <c r="N597" s="5" t="s">
        <v>1677</v>
      </c>
      <c r="O597" s="5" t="s">
        <v>1666</v>
      </c>
      <c r="P597">
        <v>0</v>
      </c>
      <c r="Q597" t="s">
        <v>1665</v>
      </c>
      <c r="R597" t="s">
        <v>1670</v>
      </c>
    </row>
    <row r="598" spans="1:18" x14ac:dyDescent="0.35">
      <c r="A598" s="5" t="s">
        <v>1112</v>
      </c>
      <c r="B598" s="6">
        <v>46116</v>
      </c>
      <c r="C598" s="5" t="s">
        <v>1113</v>
      </c>
      <c r="D598" s="5" t="s">
        <v>226</v>
      </c>
      <c r="E598" s="5" t="s">
        <v>1295</v>
      </c>
      <c r="F598" s="5" t="s">
        <v>17</v>
      </c>
      <c r="G598">
        <v>0.31597222222222221</v>
      </c>
      <c r="H598">
        <v>0.33055555555555549</v>
      </c>
      <c r="I598">
        <v>13</v>
      </c>
      <c r="J598" s="5" t="s">
        <v>477</v>
      </c>
      <c r="K598" s="5" t="s">
        <v>19</v>
      </c>
      <c r="L598">
        <v>965</v>
      </c>
      <c r="M598" s="5">
        <v>21</v>
      </c>
      <c r="N598" s="5" t="s">
        <v>1677</v>
      </c>
      <c r="O598" s="5" t="s">
        <v>1667</v>
      </c>
      <c r="P598">
        <v>1</v>
      </c>
      <c r="Q598" t="s">
        <v>1660</v>
      </c>
      <c r="R598" t="s">
        <v>1670</v>
      </c>
    </row>
    <row r="599" spans="1:18" x14ac:dyDescent="0.35">
      <c r="A599" s="5" t="s">
        <v>1114</v>
      </c>
      <c r="B599" s="6">
        <v>46116</v>
      </c>
      <c r="C599" s="5" t="s">
        <v>1115</v>
      </c>
      <c r="D599" s="5" t="s">
        <v>84</v>
      </c>
      <c r="E599" s="5" t="s">
        <v>1295</v>
      </c>
      <c r="F599" s="5" t="s">
        <v>24</v>
      </c>
      <c r="G599">
        <v>0.87152777777777779</v>
      </c>
      <c r="H599">
        <v>0.87291666666666667</v>
      </c>
      <c r="I599">
        <v>7</v>
      </c>
      <c r="J599" s="5" t="s">
        <v>18</v>
      </c>
      <c r="K599" s="5" t="s">
        <v>19</v>
      </c>
      <c r="L599">
        <v>679</v>
      </c>
      <c r="M599" s="5">
        <v>2</v>
      </c>
      <c r="N599" s="5" t="s">
        <v>1677</v>
      </c>
      <c r="O599" s="5" t="s">
        <v>1667</v>
      </c>
      <c r="P599">
        <v>1</v>
      </c>
      <c r="Q599" t="s">
        <v>1665</v>
      </c>
    </row>
    <row r="600" spans="1:18" x14ac:dyDescent="0.35">
      <c r="A600" s="5" t="s">
        <v>1116</v>
      </c>
      <c r="B600" s="6">
        <v>46117</v>
      </c>
      <c r="C600" s="5" t="s">
        <v>978</v>
      </c>
      <c r="D600" s="5" t="s">
        <v>413</v>
      </c>
      <c r="E600" s="5" t="s">
        <v>84</v>
      </c>
      <c r="F600" s="5" t="s">
        <v>17</v>
      </c>
      <c r="G600">
        <v>0.4548611111111111</v>
      </c>
      <c r="H600">
        <v>0.53541666666666665</v>
      </c>
      <c r="I600">
        <v>112</v>
      </c>
      <c r="J600" s="5" t="s">
        <v>129</v>
      </c>
      <c r="K600" s="5" t="s">
        <v>19</v>
      </c>
      <c r="L600">
        <v>955</v>
      </c>
      <c r="M600" s="5">
        <v>116</v>
      </c>
      <c r="N600" s="5" t="s">
        <v>1677</v>
      </c>
      <c r="O600" s="5" t="s">
        <v>1668</v>
      </c>
      <c r="P600">
        <v>0</v>
      </c>
      <c r="Q600" t="s">
        <v>1660</v>
      </c>
      <c r="R600" t="s">
        <v>1670</v>
      </c>
    </row>
    <row r="601" spans="1:18" x14ac:dyDescent="0.35">
      <c r="A601" s="5" t="s">
        <v>1117</v>
      </c>
      <c r="B601" s="6">
        <v>46117</v>
      </c>
      <c r="C601" s="5" t="s">
        <v>1118</v>
      </c>
      <c r="D601" s="5" t="s">
        <v>84</v>
      </c>
      <c r="E601" s="5" t="s">
        <v>1549</v>
      </c>
      <c r="F601" s="5" t="s">
        <v>17</v>
      </c>
      <c r="G601">
        <v>0.69444444444444442</v>
      </c>
      <c r="H601">
        <v>0.70902777777777781</v>
      </c>
      <c r="I601">
        <v>18</v>
      </c>
      <c r="J601" s="5" t="s">
        <v>60</v>
      </c>
      <c r="K601" s="5" t="s">
        <v>19</v>
      </c>
      <c r="L601">
        <v>2489</v>
      </c>
      <c r="M601" s="5">
        <v>21</v>
      </c>
      <c r="N601" s="5" t="s">
        <v>1677</v>
      </c>
      <c r="O601" s="5" t="s">
        <v>1668</v>
      </c>
      <c r="P601">
        <v>0</v>
      </c>
      <c r="Q601" t="s">
        <v>1663</v>
      </c>
      <c r="R601" t="s">
        <v>1657</v>
      </c>
    </row>
    <row r="602" spans="1:18" x14ac:dyDescent="0.35">
      <c r="A602" s="5" t="s">
        <v>1119</v>
      </c>
      <c r="B602" s="6">
        <v>46118</v>
      </c>
      <c r="C602" s="5" t="s">
        <v>1120</v>
      </c>
      <c r="D602" s="5" t="s">
        <v>226</v>
      </c>
      <c r="E602" s="5" t="s">
        <v>79</v>
      </c>
      <c r="F602" s="5" t="s">
        <v>17</v>
      </c>
      <c r="G602">
        <v>0.45833333333333331</v>
      </c>
      <c r="H602">
        <v>0.49236111111111108</v>
      </c>
      <c r="I602">
        <v>41</v>
      </c>
      <c r="J602" s="5" t="s">
        <v>129</v>
      </c>
      <c r="K602" s="5" t="s">
        <v>19</v>
      </c>
      <c r="L602">
        <v>1197</v>
      </c>
      <c r="M602" s="5">
        <v>49</v>
      </c>
      <c r="N602" s="5" t="s">
        <v>1677</v>
      </c>
      <c r="O602" s="5" t="s">
        <v>1659</v>
      </c>
      <c r="P602">
        <v>0</v>
      </c>
      <c r="Q602" t="s">
        <v>1660</v>
      </c>
      <c r="R602" t="s">
        <v>1670</v>
      </c>
    </row>
    <row r="603" spans="1:18" x14ac:dyDescent="0.35">
      <c r="A603" s="5" t="s">
        <v>1121</v>
      </c>
      <c r="B603" s="6">
        <v>46118</v>
      </c>
      <c r="C603" s="5" t="s">
        <v>125</v>
      </c>
      <c r="D603" s="5" t="s">
        <v>1171</v>
      </c>
      <c r="E603" s="5" t="s">
        <v>226</v>
      </c>
      <c r="F603" s="5" t="s">
        <v>38</v>
      </c>
      <c r="G603">
        <v>0.63194444444444442</v>
      </c>
      <c r="H603">
        <v>0.6333333333333333</v>
      </c>
      <c r="I603">
        <v>10</v>
      </c>
      <c r="J603" s="5" t="s">
        <v>18</v>
      </c>
      <c r="K603" s="5" t="s">
        <v>19</v>
      </c>
      <c r="L603">
        <v>602</v>
      </c>
      <c r="M603" s="5">
        <v>2</v>
      </c>
      <c r="N603" s="5" t="s">
        <v>1677</v>
      </c>
      <c r="O603" s="5" t="s">
        <v>1659</v>
      </c>
      <c r="P603">
        <v>1</v>
      </c>
      <c r="Q603" t="s">
        <v>1663</v>
      </c>
    </row>
    <row r="604" spans="1:18" x14ac:dyDescent="0.35">
      <c r="A604" s="5" t="s">
        <v>1122</v>
      </c>
      <c r="B604" s="6">
        <v>46118</v>
      </c>
      <c r="C604" s="5" t="s">
        <v>1123</v>
      </c>
      <c r="D604" s="5" t="s">
        <v>79</v>
      </c>
      <c r="E604" s="5" t="s">
        <v>226</v>
      </c>
      <c r="F604" s="5" t="s">
        <v>28</v>
      </c>
      <c r="G604">
        <v>0.66319444444444442</v>
      </c>
      <c r="H604">
        <v>0.66111111111111109</v>
      </c>
      <c r="I604">
        <v>-8</v>
      </c>
      <c r="J604" s="5" t="s">
        <v>18</v>
      </c>
      <c r="K604" s="5" t="s">
        <v>19</v>
      </c>
      <c r="L604">
        <v>1197</v>
      </c>
      <c r="M604" s="5">
        <v>-3</v>
      </c>
      <c r="N604" s="5" t="s">
        <v>1677</v>
      </c>
      <c r="O604" s="5" t="s">
        <v>1659</v>
      </c>
      <c r="P604">
        <v>1</v>
      </c>
      <c r="Q604" t="s">
        <v>1663</v>
      </c>
    </row>
    <row r="605" spans="1:18" x14ac:dyDescent="0.35">
      <c r="A605" s="5" t="s">
        <v>1124</v>
      </c>
      <c r="B605" s="6">
        <v>46118</v>
      </c>
      <c r="C605" s="5" t="s">
        <v>1125</v>
      </c>
      <c r="D605" s="5" t="s">
        <v>1171</v>
      </c>
      <c r="E605" s="5" t="s">
        <v>197</v>
      </c>
      <c r="F605" s="5" t="s">
        <v>24</v>
      </c>
      <c r="G605">
        <v>0.73958333333333337</v>
      </c>
      <c r="H605">
        <v>0.74236111111111114</v>
      </c>
      <c r="I605">
        <v>9</v>
      </c>
      <c r="J605" s="5" t="s">
        <v>18</v>
      </c>
      <c r="K605" s="5" t="s">
        <v>19</v>
      </c>
      <c r="L605">
        <v>2149</v>
      </c>
      <c r="M605" s="5">
        <v>4</v>
      </c>
      <c r="N605" s="5" t="s">
        <v>1677</v>
      </c>
      <c r="O605" s="5" t="s">
        <v>1659</v>
      </c>
      <c r="P605">
        <v>1</v>
      </c>
      <c r="Q605" t="s">
        <v>1665</v>
      </c>
    </row>
    <row r="606" spans="1:18" x14ac:dyDescent="0.35">
      <c r="A606" s="5" t="s">
        <v>1127</v>
      </c>
      <c r="B606" s="6">
        <v>46119</v>
      </c>
      <c r="C606" s="5" t="s">
        <v>282</v>
      </c>
      <c r="D606" s="5" t="s">
        <v>79</v>
      </c>
      <c r="E606" s="5" t="s">
        <v>413</v>
      </c>
      <c r="F606" s="5" t="s">
        <v>24</v>
      </c>
      <c r="G606">
        <v>0.26041666666666669</v>
      </c>
      <c r="H606">
        <v>0.25763888888888892</v>
      </c>
      <c r="I606">
        <v>-15</v>
      </c>
      <c r="J606" s="5" t="s">
        <v>18</v>
      </c>
      <c r="K606" s="5" t="s">
        <v>19</v>
      </c>
      <c r="L606">
        <v>1942</v>
      </c>
      <c r="M606" s="5">
        <v>-4</v>
      </c>
      <c r="N606" s="5" t="s">
        <v>1677</v>
      </c>
      <c r="O606" s="5" t="s">
        <v>1661</v>
      </c>
      <c r="P606">
        <v>1</v>
      </c>
      <c r="Q606" t="s">
        <v>1660</v>
      </c>
    </row>
    <row r="607" spans="1:18" x14ac:dyDescent="0.35">
      <c r="A607" s="5" t="s">
        <v>1128</v>
      </c>
      <c r="B607" s="6">
        <v>46119</v>
      </c>
      <c r="C607" s="5" t="s">
        <v>1129</v>
      </c>
      <c r="D607" s="5" t="s">
        <v>226</v>
      </c>
      <c r="E607" s="5" t="s">
        <v>413</v>
      </c>
      <c r="F607" s="5" t="s">
        <v>17</v>
      </c>
      <c r="G607">
        <v>0.51388888888888884</v>
      </c>
      <c r="H607">
        <v>0.52083333333333337</v>
      </c>
      <c r="I607">
        <v>9</v>
      </c>
      <c r="J607" s="5" t="s">
        <v>18</v>
      </c>
      <c r="K607" s="5" t="s">
        <v>19</v>
      </c>
      <c r="L607">
        <v>861</v>
      </c>
      <c r="M607" s="5">
        <v>10</v>
      </c>
      <c r="N607" s="5" t="s">
        <v>1677</v>
      </c>
      <c r="O607" s="5" t="s">
        <v>1661</v>
      </c>
      <c r="P607">
        <v>1</v>
      </c>
      <c r="Q607" t="s">
        <v>1663</v>
      </c>
    </row>
    <row r="608" spans="1:18" x14ac:dyDescent="0.35">
      <c r="A608" s="5" t="s">
        <v>1130</v>
      </c>
      <c r="B608" s="6">
        <v>46119</v>
      </c>
      <c r="C608" s="5" t="s">
        <v>1131</v>
      </c>
      <c r="D608" s="5" t="s">
        <v>588</v>
      </c>
      <c r="E608" s="5" t="s">
        <v>1549</v>
      </c>
      <c r="F608" s="5" t="s">
        <v>28</v>
      </c>
      <c r="G608">
        <v>0.51736111111111116</v>
      </c>
      <c r="H608">
        <v>0.5180555555555556</v>
      </c>
      <c r="I608">
        <v>4</v>
      </c>
      <c r="J608" s="5" t="s">
        <v>18</v>
      </c>
      <c r="K608" s="5" t="s">
        <v>19</v>
      </c>
      <c r="L608">
        <v>1559</v>
      </c>
      <c r="M608" s="5">
        <v>1</v>
      </c>
      <c r="N608" s="5" t="s">
        <v>1677</v>
      </c>
      <c r="O608" s="5" t="s">
        <v>1661</v>
      </c>
      <c r="P608">
        <v>1</v>
      </c>
      <c r="Q608" t="s">
        <v>1663</v>
      </c>
    </row>
    <row r="609" spans="1:18" x14ac:dyDescent="0.35">
      <c r="A609" s="5" t="s">
        <v>1132</v>
      </c>
      <c r="B609" s="6">
        <v>46119</v>
      </c>
      <c r="C609" s="5" t="s">
        <v>1012</v>
      </c>
      <c r="D609" s="5" t="s">
        <v>588</v>
      </c>
      <c r="E609" s="5" t="s">
        <v>71</v>
      </c>
      <c r="F609" s="5" t="s">
        <v>28</v>
      </c>
      <c r="G609">
        <v>0.58333333333333337</v>
      </c>
      <c r="H609">
        <v>0.60486111111111107</v>
      </c>
      <c r="I609">
        <v>21</v>
      </c>
      <c r="J609" s="5" t="s">
        <v>54</v>
      </c>
      <c r="K609" s="5" t="s">
        <v>19</v>
      </c>
      <c r="L609">
        <v>802</v>
      </c>
      <c r="M609" s="5">
        <v>31</v>
      </c>
      <c r="N609" s="5" t="s">
        <v>1677</v>
      </c>
      <c r="O609" s="5" t="s">
        <v>1661</v>
      </c>
      <c r="P609">
        <v>0</v>
      </c>
      <c r="Q609" t="s">
        <v>1663</v>
      </c>
      <c r="R609" t="s">
        <v>1657</v>
      </c>
    </row>
    <row r="610" spans="1:18" x14ac:dyDescent="0.35">
      <c r="A610" s="5" t="s">
        <v>1133</v>
      </c>
      <c r="B610" s="6">
        <v>46119</v>
      </c>
      <c r="C610" s="5" t="s">
        <v>1012</v>
      </c>
      <c r="D610" s="5" t="s">
        <v>202</v>
      </c>
      <c r="E610" s="5" t="s">
        <v>1549</v>
      </c>
      <c r="F610" s="5" t="s">
        <v>24</v>
      </c>
      <c r="G610">
        <v>0.76041666666666663</v>
      </c>
      <c r="H610">
        <v>0.75763888888888886</v>
      </c>
      <c r="I610">
        <v>4</v>
      </c>
      <c r="J610" s="5" t="s">
        <v>18</v>
      </c>
      <c r="K610" s="5" t="s">
        <v>19</v>
      </c>
      <c r="L610">
        <v>1260</v>
      </c>
      <c r="M610" s="5">
        <v>-4</v>
      </c>
      <c r="N610" s="5" t="s">
        <v>1677</v>
      </c>
      <c r="O610" s="5" t="s">
        <v>1661</v>
      </c>
      <c r="P610">
        <v>1</v>
      </c>
      <c r="Q610" t="s">
        <v>1665</v>
      </c>
    </row>
    <row r="611" spans="1:18" x14ac:dyDescent="0.35">
      <c r="A611" s="5" t="s">
        <v>1134</v>
      </c>
      <c r="B611" s="6">
        <v>46119</v>
      </c>
      <c r="C611" s="5" t="s">
        <v>773</v>
      </c>
      <c r="D611" s="5" t="s">
        <v>413</v>
      </c>
      <c r="E611" s="5" t="s">
        <v>71</v>
      </c>
      <c r="F611" s="5" t="s">
        <v>17</v>
      </c>
      <c r="G611">
        <v>0.86458333333333337</v>
      </c>
      <c r="H611">
        <v>0.90694444444444444</v>
      </c>
      <c r="I611">
        <v>49</v>
      </c>
      <c r="J611" s="5" t="s">
        <v>54</v>
      </c>
      <c r="K611" s="5" t="s">
        <v>19</v>
      </c>
      <c r="L611">
        <v>1742</v>
      </c>
      <c r="M611" s="5">
        <v>61</v>
      </c>
      <c r="N611" s="5" t="s">
        <v>1677</v>
      </c>
      <c r="O611" s="5" t="s">
        <v>1661</v>
      </c>
      <c r="P611">
        <v>0</v>
      </c>
      <c r="Q611" t="s">
        <v>1665</v>
      </c>
      <c r="R611" t="s">
        <v>1657</v>
      </c>
    </row>
    <row r="612" spans="1:18" x14ac:dyDescent="0.35">
      <c r="A612" s="5" t="s">
        <v>1135</v>
      </c>
      <c r="B612" s="6">
        <v>46120</v>
      </c>
      <c r="C612" s="5" t="s">
        <v>1060</v>
      </c>
      <c r="D612" s="5" t="s">
        <v>413</v>
      </c>
      <c r="E612" s="5" t="s">
        <v>588</v>
      </c>
      <c r="F612" s="5" t="s">
        <v>24</v>
      </c>
      <c r="G612">
        <v>0.59375</v>
      </c>
      <c r="H612">
        <v>0.58819444444444446</v>
      </c>
      <c r="I612">
        <v>-9</v>
      </c>
      <c r="J612" s="5" t="s">
        <v>18</v>
      </c>
      <c r="K612" s="5" t="s">
        <v>19</v>
      </c>
      <c r="L612">
        <v>1232</v>
      </c>
      <c r="M612" s="5">
        <v>-8</v>
      </c>
      <c r="N612" s="5" t="s">
        <v>1677</v>
      </c>
      <c r="O612" s="5" t="s">
        <v>1662</v>
      </c>
      <c r="P612">
        <v>1</v>
      </c>
      <c r="Q612" t="s">
        <v>1663</v>
      </c>
    </row>
    <row r="613" spans="1:18" x14ac:dyDescent="0.35">
      <c r="A613" s="5" t="s">
        <v>1136</v>
      </c>
      <c r="B613" s="6">
        <v>46120</v>
      </c>
      <c r="C613" s="5" t="s">
        <v>1137</v>
      </c>
      <c r="D613" s="5" t="s">
        <v>202</v>
      </c>
      <c r="E613" s="5" t="s">
        <v>71</v>
      </c>
      <c r="F613" s="5" t="s">
        <v>28</v>
      </c>
      <c r="G613">
        <v>0.64236111111111116</v>
      </c>
      <c r="H613">
        <v>0.64930555555555558</v>
      </c>
      <c r="I613">
        <v>16</v>
      </c>
      <c r="J613" s="5" t="s">
        <v>18</v>
      </c>
      <c r="K613" s="5" t="s">
        <v>19</v>
      </c>
      <c r="L613">
        <v>1199</v>
      </c>
      <c r="M613" s="5">
        <v>10</v>
      </c>
      <c r="N613" s="5" t="s">
        <v>1677</v>
      </c>
      <c r="O613" s="5" t="s">
        <v>1662</v>
      </c>
      <c r="P613">
        <v>0</v>
      </c>
      <c r="Q613" t="s">
        <v>1663</v>
      </c>
    </row>
    <row r="614" spans="1:18" x14ac:dyDescent="0.35">
      <c r="A614" s="5" t="s">
        <v>1138</v>
      </c>
      <c r="B614" s="6">
        <v>46121</v>
      </c>
      <c r="C614" s="5" t="s">
        <v>1017</v>
      </c>
      <c r="D614" s="5" t="s">
        <v>79</v>
      </c>
      <c r="E614" s="5" t="s">
        <v>588</v>
      </c>
      <c r="F614" s="5" t="s">
        <v>38</v>
      </c>
      <c r="G614">
        <v>0.79513888888888884</v>
      </c>
      <c r="H614">
        <v>0.7944444444444444</v>
      </c>
      <c r="I614">
        <v>-9</v>
      </c>
      <c r="J614" s="5" t="s">
        <v>18</v>
      </c>
      <c r="K614" s="5" t="s">
        <v>19</v>
      </c>
      <c r="L614">
        <v>730</v>
      </c>
      <c r="M614" s="5"/>
      <c r="N614" s="5" t="s">
        <v>1677</v>
      </c>
      <c r="O614" s="5" t="s">
        <v>1664</v>
      </c>
      <c r="P614">
        <v>1</v>
      </c>
      <c r="Q614" t="s">
        <v>1665</v>
      </c>
    </row>
    <row r="615" spans="1:18" x14ac:dyDescent="0.35">
      <c r="A615" s="5" t="s">
        <v>1139</v>
      </c>
      <c r="B615" s="6">
        <v>46122</v>
      </c>
      <c r="C615" s="5" t="s">
        <v>768</v>
      </c>
      <c r="D615" s="5" t="s">
        <v>84</v>
      </c>
      <c r="E615" s="5" t="s">
        <v>197</v>
      </c>
      <c r="F615" s="5" t="s">
        <v>38</v>
      </c>
      <c r="G615">
        <v>0.63888888888888884</v>
      </c>
      <c r="H615">
        <v>0.65069444444444446</v>
      </c>
      <c r="I615">
        <v>13</v>
      </c>
      <c r="J615" s="5" t="s">
        <v>60</v>
      </c>
      <c r="K615" s="5" t="s">
        <v>19</v>
      </c>
      <c r="L615">
        <v>2415</v>
      </c>
      <c r="M615" s="5">
        <v>17</v>
      </c>
      <c r="N615" s="5" t="s">
        <v>1677</v>
      </c>
      <c r="O615" s="5" t="s">
        <v>1666</v>
      </c>
      <c r="P615">
        <v>1</v>
      </c>
      <c r="Q615" t="s">
        <v>1663</v>
      </c>
      <c r="R615" t="s">
        <v>1657</v>
      </c>
    </row>
    <row r="616" spans="1:18" x14ac:dyDescent="0.35">
      <c r="A616" s="5" t="s">
        <v>1140</v>
      </c>
      <c r="B616" s="6">
        <v>46123</v>
      </c>
      <c r="C616" s="5" t="s">
        <v>180</v>
      </c>
      <c r="D616" s="5" t="s">
        <v>1295</v>
      </c>
      <c r="E616" s="5" t="s">
        <v>197</v>
      </c>
      <c r="F616" s="5" t="s">
        <v>24</v>
      </c>
      <c r="G616">
        <v>0.25347222222222221</v>
      </c>
      <c r="H616">
        <v>0.25347222222222221</v>
      </c>
      <c r="I616">
        <v>-1</v>
      </c>
      <c r="J616" s="5" t="s">
        <v>18</v>
      </c>
      <c r="K616" s="5" t="s">
        <v>19</v>
      </c>
      <c r="L616">
        <v>2580</v>
      </c>
      <c r="M616" s="5">
        <v>0</v>
      </c>
      <c r="N616" s="5" t="s">
        <v>1677</v>
      </c>
      <c r="O616" s="5" t="s">
        <v>1667</v>
      </c>
      <c r="P616">
        <v>1</v>
      </c>
      <c r="Q616" t="s">
        <v>1660</v>
      </c>
    </row>
    <row r="617" spans="1:18" x14ac:dyDescent="0.35">
      <c r="A617" s="5" t="s">
        <v>1141</v>
      </c>
      <c r="B617" s="6">
        <v>46123</v>
      </c>
      <c r="C617" s="5" t="s">
        <v>1142</v>
      </c>
      <c r="D617" s="5" t="s">
        <v>1549</v>
      </c>
      <c r="E617" s="5" t="s">
        <v>79</v>
      </c>
      <c r="F617" s="5" t="s">
        <v>38</v>
      </c>
      <c r="G617">
        <v>0.29166666666666669</v>
      </c>
      <c r="H617">
        <v>0.28958333333333341</v>
      </c>
      <c r="I617">
        <v>2</v>
      </c>
      <c r="J617" s="5" t="s">
        <v>18</v>
      </c>
      <c r="K617" s="5" t="s">
        <v>19</v>
      </c>
      <c r="L617">
        <v>945</v>
      </c>
      <c r="M617" s="5">
        <v>-3</v>
      </c>
      <c r="N617" s="5" t="s">
        <v>1677</v>
      </c>
      <c r="O617" s="5" t="s">
        <v>1667</v>
      </c>
      <c r="P617">
        <v>1</v>
      </c>
      <c r="Q617" t="s">
        <v>1660</v>
      </c>
    </row>
    <row r="618" spans="1:18" x14ac:dyDescent="0.35">
      <c r="A618" s="5" t="s">
        <v>1143</v>
      </c>
      <c r="B618" s="6">
        <v>46123</v>
      </c>
      <c r="C618" s="5" t="s">
        <v>1144</v>
      </c>
      <c r="D618" s="5" t="s">
        <v>197</v>
      </c>
      <c r="E618" s="5" t="s">
        <v>71</v>
      </c>
      <c r="F618" s="5" t="s">
        <v>28</v>
      </c>
      <c r="G618">
        <v>0.30555555555555558</v>
      </c>
      <c r="H618">
        <v>0.31388888888888888</v>
      </c>
      <c r="I618">
        <v>18</v>
      </c>
      <c r="J618" s="5" t="s">
        <v>18</v>
      </c>
      <c r="K618" s="5" t="s">
        <v>19</v>
      </c>
      <c r="L618">
        <v>738</v>
      </c>
      <c r="M618" s="5">
        <v>12</v>
      </c>
      <c r="N618" s="5" t="s">
        <v>1677</v>
      </c>
      <c r="O618" s="5" t="s">
        <v>1667</v>
      </c>
      <c r="P618">
        <v>0</v>
      </c>
      <c r="Q618" t="s">
        <v>1660</v>
      </c>
    </row>
    <row r="619" spans="1:18" x14ac:dyDescent="0.35">
      <c r="A619" s="5" t="s">
        <v>1145</v>
      </c>
      <c r="B619" s="6">
        <v>46123</v>
      </c>
      <c r="C619" s="5" t="s">
        <v>114</v>
      </c>
      <c r="D619" s="5" t="s">
        <v>226</v>
      </c>
      <c r="E619" s="5" t="s">
        <v>71</v>
      </c>
      <c r="F619" s="5" t="s">
        <v>17</v>
      </c>
      <c r="G619">
        <v>0.5625</v>
      </c>
      <c r="J619" s="5" t="s">
        <v>60</v>
      </c>
      <c r="K619" s="5" t="s">
        <v>254</v>
      </c>
      <c r="L619">
        <v>886</v>
      </c>
      <c r="M619" s="5"/>
      <c r="N619" s="5" t="s">
        <v>1677</v>
      </c>
      <c r="O619" s="5" t="s">
        <v>1667</v>
      </c>
      <c r="Q619" t="s">
        <v>1663</v>
      </c>
      <c r="R619" t="s">
        <v>1657</v>
      </c>
    </row>
    <row r="620" spans="1:18" x14ac:dyDescent="0.35">
      <c r="A620" s="5" t="s">
        <v>1146</v>
      </c>
      <c r="B620" s="6">
        <v>46123</v>
      </c>
      <c r="C620" s="5" t="s">
        <v>1147</v>
      </c>
      <c r="D620" s="5" t="s">
        <v>226</v>
      </c>
      <c r="E620" s="5" t="s">
        <v>202</v>
      </c>
      <c r="F620" s="5" t="s">
        <v>28</v>
      </c>
      <c r="G620">
        <v>0.82638888888888884</v>
      </c>
      <c r="H620">
        <v>0.83125000000000004</v>
      </c>
      <c r="I620">
        <v>8</v>
      </c>
      <c r="J620" s="5" t="s">
        <v>18</v>
      </c>
      <c r="K620" s="5" t="s">
        <v>19</v>
      </c>
      <c r="L620">
        <v>1708</v>
      </c>
      <c r="M620" s="5">
        <v>7</v>
      </c>
      <c r="N620" s="5" t="s">
        <v>1677</v>
      </c>
      <c r="O620" s="5" t="s">
        <v>1667</v>
      </c>
      <c r="P620">
        <v>1</v>
      </c>
      <c r="Q620" t="s">
        <v>1665</v>
      </c>
    </row>
    <row r="621" spans="1:18" x14ac:dyDescent="0.35">
      <c r="A621" s="5" t="s">
        <v>1148</v>
      </c>
      <c r="B621" s="6">
        <v>46124</v>
      </c>
      <c r="C621" s="5" t="s">
        <v>692</v>
      </c>
      <c r="D621" s="5" t="s">
        <v>71</v>
      </c>
      <c r="E621" s="5" t="s">
        <v>79</v>
      </c>
      <c r="F621" s="5" t="s">
        <v>24</v>
      </c>
      <c r="G621">
        <v>0.72916666666666663</v>
      </c>
      <c r="H621">
        <v>0.73333333333333328</v>
      </c>
      <c r="I621">
        <v>13</v>
      </c>
      <c r="J621" s="5" t="s">
        <v>18</v>
      </c>
      <c r="K621" s="5" t="s">
        <v>19</v>
      </c>
      <c r="L621">
        <v>606</v>
      </c>
      <c r="M621" s="5">
        <v>6</v>
      </c>
      <c r="N621" s="5" t="s">
        <v>1677</v>
      </c>
      <c r="O621" s="5" t="s">
        <v>1668</v>
      </c>
      <c r="P621">
        <v>1</v>
      </c>
      <c r="Q621" t="s">
        <v>1665</v>
      </c>
    </row>
    <row r="622" spans="1:18" x14ac:dyDescent="0.35">
      <c r="A622" s="5" t="s">
        <v>1149</v>
      </c>
      <c r="B622" s="6">
        <v>46124</v>
      </c>
      <c r="C622" s="5" t="s">
        <v>1150</v>
      </c>
      <c r="D622" s="5" t="s">
        <v>1171</v>
      </c>
      <c r="E622" s="5" t="s">
        <v>588</v>
      </c>
      <c r="F622" s="5" t="s">
        <v>24</v>
      </c>
      <c r="G622">
        <v>0.94444444444444442</v>
      </c>
      <c r="J622" s="5" t="s">
        <v>60</v>
      </c>
      <c r="K622" s="5" t="s">
        <v>254</v>
      </c>
      <c r="L622">
        <v>866</v>
      </c>
      <c r="M622" s="5"/>
      <c r="N622" s="5" t="s">
        <v>1677</v>
      </c>
      <c r="O622" s="5" t="s">
        <v>1668</v>
      </c>
      <c r="Q622" t="s">
        <v>1669</v>
      </c>
      <c r="R622" t="s">
        <v>1657</v>
      </c>
    </row>
    <row r="623" spans="1:18" x14ac:dyDescent="0.35">
      <c r="A623" s="5" t="s">
        <v>1151</v>
      </c>
      <c r="B623" s="6">
        <v>46125</v>
      </c>
      <c r="C623" s="5" t="s">
        <v>1152</v>
      </c>
      <c r="D623" s="5" t="s">
        <v>226</v>
      </c>
      <c r="E623" s="5" t="s">
        <v>413</v>
      </c>
      <c r="F623" s="5" t="s">
        <v>17</v>
      </c>
      <c r="G623">
        <v>0.4236111111111111</v>
      </c>
      <c r="H623">
        <v>0.42152777777777778</v>
      </c>
      <c r="I623">
        <v>0</v>
      </c>
      <c r="J623" s="5" t="s">
        <v>18</v>
      </c>
      <c r="K623" s="5" t="s">
        <v>19</v>
      </c>
      <c r="L623">
        <v>861</v>
      </c>
      <c r="M623" s="5">
        <v>-3</v>
      </c>
      <c r="N623" s="5" t="s">
        <v>1677</v>
      </c>
      <c r="O623" s="5" t="s">
        <v>1659</v>
      </c>
      <c r="P623">
        <v>1</v>
      </c>
      <c r="Q623" t="s">
        <v>1660</v>
      </c>
    </row>
    <row r="624" spans="1:18" x14ac:dyDescent="0.35">
      <c r="A624" s="5" t="s">
        <v>1153</v>
      </c>
      <c r="B624" s="6">
        <v>46125</v>
      </c>
      <c r="C624" s="5" t="s">
        <v>694</v>
      </c>
      <c r="D624" s="5" t="s">
        <v>79</v>
      </c>
      <c r="E624" s="5" t="s">
        <v>588</v>
      </c>
      <c r="F624" s="5" t="s">
        <v>38</v>
      </c>
      <c r="G624">
        <v>0.87847222222222221</v>
      </c>
      <c r="H624">
        <v>0.90555555555555556</v>
      </c>
      <c r="I624">
        <v>33</v>
      </c>
      <c r="J624" s="5" t="s">
        <v>54</v>
      </c>
      <c r="K624" s="5" t="s">
        <v>19</v>
      </c>
      <c r="L624">
        <v>730</v>
      </c>
      <c r="M624" s="5">
        <v>39</v>
      </c>
      <c r="N624" s="5" t="s">
        <v>1677</v>
      </c>
      <c r="O624" s="5" t="s">
        <v>1659</v>
      </c>
      <c r="P624">
        <v>0</v>
      </c>
      <c r="Q624" t="s">
        <v>1669</v>
      </c>
      <c r="R624" t="s">
        <v>1657</v>
      </c>
    </row>
    <row r="625" spans="1:18" x14ac:dyDescent="0.35">
      <c r="A625" s="5" t="s">
        <v>1154</v>
      </c>
      <c r="B625" s="6">
        <v>46125</v>
      </c>
      <c r="C625" s="5" t="s">
        <v>971</v>
      </c>
      <c r="D625" s="5" t="s">
        <v>71</v>
      </c>
      <c r="E625" s="5" t="s">
        <v>202</v>
      </c>
      <c r="F625" s="5" t="s">
        <v>28</v>
      </c>
      <c r="G625">
        <v>0.87847222222222221</v>
      </c>
      <c r="H625">
        <v>0.87777777777777777</v>
      </c>
      <c r="I625">
        <v>-5</v>
      </c>
      <c r="J625" s="5" t="s">
        <v>18</v>
      </c>
      <c r="K625" s="5" t="s">
        <v>19</v>
      </c>
      <c r="L625">
        <v>1199</v>
      </c>
      <c r="M625" s="5">
        <v>-1</v>
      </c>
      <c r="N625" s="5" t="s">
        <v>1677</v>
      </c>
      <c r="O625" s="5" t="s">
        <v>1659</v>
      </c>
      <c r="P625">
        <v>1</v>
      </c>
      <c r="Q625" t="s">
        <v>1669</v>
      </c>
    </row>
    <row r="626" spans="1:18" x14ac:dyDescent="0.35">
      <c r="A626" s="5" t="s">
        <v>1155</v>
      </c>
      <c r="B626" s="6">
        <v>46126</v>
      </c>
      <c r="C626" s="5" t="s">
        <v>118</v>
      </c>
      <c r="D626" s="5" t="s">
        <v>1549</v>
      </c>
      <c r="E626" s="5" t="s">
        <v>413</v>
      </c>
      <c r="F626" s="5" t="s">
        <v>28</v>
      </c>
      <c r="G626">
        <v>0.625</v>
      </c>
      <c r="H626">
        <v>0.63263888888888886</v>
      </c>
      <c r="I626">
        <v>8</v>
      </c>
      <c r="J626" s="5" t="s">
        <v>18</v>
      </c>
      <c r="K626" s="5" t="s">
        <v>19</v>
      </c>
      <c r="L626">
        <v>2606</v>
      </c>
      <c r="M626" s="5">
        <v>11</v>
      </c>
      <c r="N626" s="5" t="s">
        <v>1677</v>
      </c>
      <c r="O626" s="5" t="s">
        <v>1661</v>
      </c>
      <c r="P626">
        <v>1</v>
      </c>
      <c r="Q626" t="s">
        <v>1663</v>
      </c>
    </row>
    <row r="627" spans="1:18" x14ac:dyDescent="0.35">
      <c r="A627" s="5" t="s">
        <v>1156</v>
      </c>
      <c r="B627" s="6">
        <v>46126</v>
      </c>
      <c r="C627" s="5" t="s">
        <v>1157</v>
      </c>
      <c r="D627" s="5" t="s">
        <v>226</v>
      </c>
      <c r="E627" s="5" t="s">
        <v>546</v>
      </c>
      <c r="F627" s="5" t="s">
        <v>38</v>
      </c>
      <c r="G627">
        <v>0.75</v>
      </c>
      <c r="H627">
        <v>0.81736111111111109</v>
      </c>
      <c r="I627">
        <v>105</v>
      </c>
      <c r="J627" s="5" t="s">
        <v>54</v>
      </c>
      <c r="K627" s="5" t="s">
        <v>19</v>
      </c>
      <c r="L627">
        <v>627</v>
      </c>
      <c r="M627" s="5">
        <v>97</v>
      </c>
      <c r="N627" s="5" t="s">
        <v>1677</v>
      </c>
      <c r="O627" s="5" t="s">
        <v>1661</v>
      </c>
      <c r="P627">
        <v>0</v>
      </c>
      <c r="Q627" t="s">
        <v>1665</v>
      </c>
      <c r="R627" t="s">
        <v>1657</v>
      </c>
    </row>
    <row r="628" spans="1:18" x14ac:dyDescent="0.35">
      <c r="A628" s="5" t="s">
        <v>1158</v>
      </c>
      <c r="B628" s="6">
        <v>46126</v>
      </c>
      <c r="C628" s="5" t="s">
        <v>603</v>
      </c>
      <c r="D628" s="5" t="s">
        <v>79</v>
      </c>
      <c r="E628" s="5" t="s">
        <v>226</v>
      </c>
      <c r="F628" s="5" t="s">
        <v>17</v>
      </c>
      <c r="G628">
        <v>0.83333333333333337</v>
      </c>
      <c r="H628">
        <v>0.82777777777777772</v>
      </c>
      <c r="I628">
        <v>-2</v>
      </c>
      <c r="J628" s="5" t="s">
        <v>18</v>
      </c>
      <c r="K628" s="5" t="s">
        <v>19</v>
      </c>
      <c r="L628">
        <v>1197</v>
      </c>
      <c r="M628" s="5">
        <v>-8</v>
      </c>
      <c r="N628" s="5" t="s">
        <v>1677</v>
      </c>
      <c r="O628" s="5" t="s">
        <v>1661</v>
      </c>
      <c r="P628">
        <v>1</v>
      </c>
      <c r="Q628" t="s">
        <v>1665</v>
      </c>
    </row>
    <row r="629" spans="1:18" x14ac:dyDescent="0.35">
      <c r="A629" s="5" t="s">
        <v>1159</v>
      </c>
      <c r="B629" s="6">
        <v>46127</v>
      </c>
      <c r="C629" s="5" t="s">
        <v>754</v>
      </c>
      <c r="D629" s="5" t="s">
        <v>202</v>
      </c>
      <c r="E629" s="5" t="s">
        <v>71</v>
      </c>
      <c r="F629" s="5" t="s">
        <v>17</v>
      </c>
      <c r="G629">
        <v>0.3611111111111111</v>
      </c>
      <c r="H629">
        <v>0.36319444444444438</v>
      </c>
      <c r="I629">
        <v>11</v>
      </c>
      <c r="J629" s="5" t="s">
        <v>18</v>
      </c>
      <c r="K629" s="5" t="s">
        <v>19</v>
      </c>
      <c r="L629">
        <v>1199</v>
      </c>
      <c r="M629" s="5">
        <v>3</v>
      </c>
      <c r="N629" s="5" t="s">
        <v>1677</v>
      </c>
      <c r="O629" s="5" t="s">
        <v>1662</v>
      </c>
      <c r="P629">
        <v>1</v>
      </c>
      <c r="Q629" t="s">
        <v>1660</v>
      </c>
    </row>
    <row r="630" spans="1:18" x14ac:dyDescent="0.35">
      <c r="A630" s="5" t="s">
        <v>1160</v>
      </c>
      <c r="B630" s="6">
        <v>46127</v>
      </c>
      <c r="C630" s="5" t="s">
        <v>1161</v>
      </c>
      <c r="D630" s="5" t="s">
        <v>588</v>
      </c>
      <c r="E630" s="5" t="s">
        <v>79</v>
      </c>
      <c r="F630" s="5" t="s">
        <v>17</v>
      </c>
      <c r="G630">
        <v>0.46180555555555558</v>
      </c>
      <c r="H630">
        <v>0.45694444444444438</v>
      </c>
      <c r="I630">
        <v>-11</v>
      </c>
      <c r="J630" s="5" t="s">
        <v>18</v>
      </c>
      <c r="K630" s="5" t="s">
        <v>19</v>
      </c>
      <c r="L630">
        <v>730</v>
      </c>
      <c r="M630" s="5">
        <v>-7</v>
      </c>
      <c r="N630" s="5" t="s">
        <v>1677</v>
      </c>
      <c r="O630" s="5" t="s">
        <v>1662</v>
      </c>
      <c r="P630">
        <v>1</v>
      </c>
      <c r="Q630" t="s">
        <v>1660</v>
      </c>
    </row>
    <row r="631" spans="1:18" x14ac:dyDescent="0.35">
      <c r="A631" s="5" t="s">
        <v>1162</v>
      </c>
      <c r="B631" s="6">
        <v>46127</v>
      </c>
      <c r="C631" s="5" t="s">
        <v>454</v>
      </c>
      <c r="D631" s="5" t="s">
        <v>226</v>
      </c>
      <c r="E631" s="5" t="s">
        <v>202</v>
      </c>
      <c r="F631" s="5" t="s">
        <v>24</v>
      </c>
      <c r="G631">
        <v>0.47916666666666669</v>
      </c>
      <c r="H631">
        <v>0.47986111111111113</v>
      </c>
      <c r="I631">
        <v>3</v>
      </c>
      <c r="J631" s="5" t="s">
        <v>18</v>
      </c>
      <c r="K631" s="5" t="s">
        <v>19</v>
      </c>
      <c r="L631">
        <v>1708</v>
      </c>
      <c r="M631" s="5">
        <v>1</v>
      </c>
      <c r="N631" s="5" t="s">
        <v>1677</v>
      </c>
      <c r="O631" s="5" t="s">
        <v>1662</v>
      </c>
      <c r="P631">
        <v>1</v>
      </c>
      <c r="Q631" t="s">
        <v>1660</v>
      </c>
    </row>
    <row r="632" spans="1:18" x14ac:dyDescent="0.35">
      <c r="A632" s="5" t="s">
        <v>1163</v>
      </c>
      <c r="B632" s="6">
        <v>46127</v>
      </c>
      <c r="C632" s="5" t="s">
        <v>649</v>
      </c>
      <c r="D632" s="5" t="s">
        <v>413</v>
      </c>
      <c r="E632" s="5" t="s">
        <v>226</v>
      </c>
      <c r="F632" s="5" t="s">
        <v>17</v>
      </c>
      <c r="G632">
        <v>0.69444444444444442</v>
      </c>
      <c r="H632">
        <v>0.70277777777777772</v>
      </c>
      <c r="I632">
        <v>1</v>
      </c>
      <c r="J632" s="5" t="s">
        <v>18</v>
      </c>
      <c r="K632" s="5" t="s">
        <v>19</v>
      </c>
      <c r="L632">
        <v>861</v>
      </c>
      <c r="M632" s="5">
        <v>12</v>
      </c>
      <c r="N632" s="5" t="s">
        <v>1677</v>
      </c>
      <c r="O632" s="5" t="s">
        <v>1662</v>
      </c>
      <c r="P632">
        <v>1</v>
      </c>
      <c r="Q632" t="s">
        <v>1663</v>
      </c>
    </row>
    <row r="633" spans="1:18" x14ac:dyDescent="0.35">
      <c r="A633" s="5" t="s">
        <v>1164</v>
      </c>
      <c r="B633" s="6">
        <v>46127</v>
      </c>
      <c r="C633" s="5" t="s">
        <v>677</v>
      </c>
      <c r="D633" s="5" t="s">
        <v>1171</v>
      </c>
      <c r="E633" s="5" t="s">
        <v>84</v>
      </c>
      <c r="F633" s="5" t="s">
        <v>17</v>
      </c>
      <c r="G633">
        <v>0.72916666666666663</v>
      </c>
      <c r="H633">
        <v>0.74097222222222225</v>
      </c>
      <c r="I633">
        <v>13</v>
      </c>
      <c r="J633" s="5" t="s">
        <v>54</v>
      </c>
      <c r="K633" s="5" t="s">
        <v>19</v>
      </c>
      <c r="L633">
        <v>1108</v>
      </c>
      <c r="M633" s="5">
        <v>17</v>
      </c>
      <c r="N633" s="5" t="s">
        <v>1677</v>
      </c>
      <c r="O633" s="5" t="s">
        <v>1662</v>
      </c>
      <c r="P633">
        <v>1</v>
      </c>
      <c r="Q633" t="s">
        <v>1665</v>
      </c>
      <c r="R633" t="s">
        <v>1657</v>
      </c>
    </row>
    <row r="634" spans="1:18" x14ac:dyDescent="0.35">
      <c r="A634" s="5" t="s">
        <v>1165</v>
      </c>
      <c r="B634" s="6">
        <v>46128</v>
      </c>
      <c r="C634" s="5" t="s">
        <v>752</v>
      </c>
      <c r="D634" s="5" t="s">
        <v>197</v>
      </c>
      <c r="E634" s="5" t="s">
        <v>1549</v>
      </c>
      <c r="F634" s="5" t="s">
        <v>17</v>
      </c>
      <c r="G634">
        <v>0.33333333333333331</v>
      </c>
      <c r="H634">
        <v>0.32916666666666672</v>
      </c>
      <c r="I634">
        <v>-16</v>
      </c>
      <c r="J634" s="5" t="s">
        <v>18</v>
      </c>
      <c r="K634" s="5" t="s">
        <v>19</v>
      </c>
      <c r="L634">
        <v>186</v>
      </c>
      <c r="M634" s="5">
        <v>-6</v>
      </c>
      <c r="N634" s="5" t="s">
        <v>1677</v>
      </c>
      <c r="O634" s="5" t="s">
        <v>1664</v>
      </c>
      <c r="P634">
        <v>1</v>
      </c>
      <c r="Q634" t="s">
        <v>1660</v>
      </c>
    </row>
    <row r="635" spans="1:18" x14ac:dyDescent="0.35">
      <c r="A635" s="5" t="s">
        <v>1166</v>
      </c>
      <c r="B635" s="6">
        <v>46128</v>
      </c>
      <c r="C635" s="5" t="s">
        <v>1167</v>
      </c>
      <c r="D635" s="5" t="s">
        <v>79</v>
      </c>
      <c r="E635" s="5" t="s">
        <v>413</v>
      </c>
      <c r="F635" s="5" t="s">
        <v>17</v>
      </c>
      <c r="G635">
        <v>0.63194444444444442</v>
      </c>
      <c r="J635" s="5" t="s">
        <v>60</v>
      </c>
      <c r="K635" s="5" t="s">
        <v>254</v>
      </c>
      <c r="L635">
        <v>1942</v>
      </c>
      <c r="M635" s="5"/>
      <c r="N635" s="5" t="s">
        <v>1677</v>
      </c>
      <c r="O635" s="5" t="s">
        <v>1664</v>
      </c>
      <c r="Q635" t="s">
        <v>1663</v>
      </c>
      <c r="R635" t="s">
        <v>1657</v>
      </c>
    </row>
    <row r="636" spans="1:18" x14ac:dyDescent="0.35">
      <c r="A636" s="5" t="s">
        <v>1168</v>
      </c>
      <c r="B636" s="6">
        <v>46129</v>
      </c>
      <c r="C636" s="5" t="s">
        <v>919</v>
      </c>
      <c r="D636" s="5" t="s">
        <v>413</v>
      </c>
      <c r="E636" s="5" t="s">
        <v>197</v>
      </c>
      <c r="F636" s="5" t="s">
        <v>24</v>
      </c>
      <c r="G636">
        <v>0.32291666666666669</v>
      </c>
      <c r="H636">
        <v>0.31805555555555548</v>
      </c>
      <c r="I636">
        <v>-12</v>
      </c>
      <c r="J636" s="5" t="s">
        <v>18</v>
      </c>
      <c r="K636" s="5" t="s">
        <v>19</v>
      </c>
      <c r="L636">
        <v>2470</v>
      </c>
      <c r="M636" s="5">
        <v>-7</v>
      </c>
      <c r="N636" s="5" t="s">
        <v>1677</v>
      </c>
      <c r="O636" s="5" t="s">
        <v>1666</v>
      </c>
      <c r="P636">
        <v>1</v>
      </c>
      <c r="Q636" t="s">
        <v>1660</v>
      </c>
    </row>
    <row r="637" spans="1:18" x14ac:dyDescent="0.35">
      <c r="A637" s="5" t="s">
        <v>1169</v>
      </c>
      <c r="B637" s="6">
        <v>46129</v>
      </c>
      <c r="C637" s="5" t="s">
        <v>378</v>
      </c>
      <c r="D637" s="5" t="s">
        <v>202</v>
      </c>
      <c r="E637" s="5" t="s">
        <v>413</v>
      </c>
      <c r="F637" s="5" t="s">
        <v>28</v>
      </c>
      <c r="G637">
        <v>0.67361111111111116</v>
      </c>
      <c r="H637">
        <v>0.67291666666666672</v>
      </c>
      <c r="I637">
        <v>-7</v>
      </c>
      <c r="J637" s="5" t="s">
        <v>18</v>
      </c>
      <c r="K637" s="5" t="s">
        <v>19</v>
      </c>
      <c r="L637">
        <v>2338</v>
      </c>
      <c r="M637" s="5">
        <v>-1</v>
      </c>
      <c r="N637" s="5" t="s">
        <v>1677</v>
      </c>
      <c r="O637" s="5" t="s">
        <v>1666</v>
      </c>
      <c r="P637">
        <v>1</v>
      </c>
      <c r="Q637" t="s">
        <v>1663</v>
      </c>
    </row>
    <row r="638" spans="1:18" x14ac:dyDescent="0.35">
      <c r="A638" s="5" t="s">
        <v>1170</v>
      </c>
      <c r="B638" s="6">
        <v>46129</v>
      </c>
      <c r="C638" s="5" t="s">
        <v>322</v>
      </c>
      <c r="D638" s="5" t="s">
        <v>1171</v>
      </c>
      <c r="E638" s="5" t="s">
        <v>226</v>
      </c>
      <c r="F638" s="5" t="s">
        <v>28</v>
      </c>
      <c r="G638">
        <v>0.71180555555555558</v>
      </c>
      <c r="H638">
        <v>0.71111111111111114</v>
      </c>
      <c r="I638">
        <v>-6</v>
      </c>
      <c r="J638" s="5" t="s">
        <v>18</v>
      </c>
      <c r="K638" s="5" t="s">
        <v>19</v>
      </c>
      <c r="L638">
        <v>602</v>
      </c>
      <c r="M638" s="5">
        <v>-1</v>
      </c>
      <c r="N638" s="5" t="s">
        <v>1677</v>
      </c>
      <c r="O638" s="5" t="s">
        <v>1666</v>
      </c>
      <c r="P638">
        <v>1</v>
      </c>
      <c r="Q638" t="s">
        <v>1665</v>
      </c>
    </row>
    <row r="639" spans="1:18" x14ac:dyDescent="0.35">
      <c r="A639" s="5" t="s">
        <v>1172</v>
      </c>
      <c r="B639" s="6">
        <v>46130</v>
      </c>
      <c r="C639" s="5" t="s">
        <v>1173</v>
      </c>
      <c r="D639" s="5" t="s">
        <v>413</v>
      </c>
      <c r="E639" s="5" t="s">
        <v>197</v>
      </c>
      <c r="F639" s="5" t="s">
        <v>17</v>
      </c>
      <c r="G639">
        <v>0.51041666666666663</v>
      </c>
      <c r="H639">
        <v>0.50972222222222219</v>
      </c>
      <c r="I639">
        <v>9</v>
      </c>
      <c r="J639" s="5" t="s">
        <v>18</v>
      </c>
      <c r="K639" s="5" t="s">
        <v>19</v>
      </c>
      <c r="L639">
        <v>2470</v>
      </c>
      <c r="M639" s="5">
        <v>-1</v>
      </c>
      <c r="N639" s="5" t="s">
        <v>1677</v>
      </c>
      <c r="O639" s="5" t="s">
        <v>1667</v>
      </c>
      <c r="P639">
        <v>1</v>
      </c>
      <c r="Q639" t="s">
        <v>1663</v>
      </c>
    </row>
    <row r="640" spans="1:18" x14ac:dyDescent="0.35">
      <c r="A640" s="5" t="s">
        <v>1174</v>
      </c>
      <c r="B640" s="6">
        <v>46130</v>
      </c>
      <c r="C640" s="5" t="s">
        <v>1175</v>
      </c>
      <c r="D640" s="5" t="s">
        <v>71</v>
      </c>
      <c r="E640" s="5" t="s">
        <v>413</v>
      </c>
      <c r="F640" s="5" t="s">
        <v>17</v>
      </c>
      <c r="G640">
        <v>0.63541666666666663</v>
      </c>
      <c r="H640">
        <v>0.7416666666666667</v>
      </c>
      <c r="I640">
        <v>148</v>
      </c>
      <c r="J640" s="5" t="s">
        <v>60</v>
      </c>
      <c r="K640" s="5" t="s">
        <v>19</v>
      </c>
      <c r="L640">
        <v>1742</v>
      </c>
      <c r="M640" s="5">
        <v>153</v>
      </c>
      <c r="N640" s="5" t="s">
        <v>1677</v>
      </c>
      <c r="O640" s="5" t="s">
        <v>1667</v>
      </c>
      <c r="P640">
        <v>0</v>
      </c>
      <c r="Q640" t="s">
        <v>1663</v>
      </c>
      <c r="R640" t="s">
        <v>1657</v>
      </c>
    </row>
    <row r="641" spans="1:18" x14ac:dyDescent="0.35">
      <c r="A641" s="5" t="s">
        <v>1176</v>
      </c>
      <c r="B641" s="6">
        <v>46130</v>
      </c>
      <c r="C641" s="5" t="s">
        <v>1075</v>
      </c>
      <c r="D641" s="5" t="s">
        <v>79</v>
      </c>
      <c r="E641" s="5" t="s">
        <v>1549</v>
      </c>
      <c r="F641" s="5" t="s">
        <v>28</v>
      </c>
      <c r="G641">
        <v>0.74652777777777779</v>
      </c>
      <c r="H641">
        <v>0.75208333333333333</v>
      </c>
      <c r="I641">
        <v>11</v>
      </c>
      <c r="J641" s="5" t="s">
        <v>18</v>
      </c>
      <c r="K641" s="5" t="s">
        <v>19</v>
      </c>
      <c r="L641">
        <v>945</v>
      </c>
      <c r="M641" s="5">
        <v>8</v>
      </c>
      <c r="N641" s="5" t="s">
        <v>1677</v>
      </c>
      <c r="O641" s="5" t="s">
        <v>1667</v>
      </c>
      <c r="P641">
        <v>1</v>
      </c>
      <c r="Q641" t="s">
        <v>1665</v>
      </c>
    </row>
    <row r="642" spans="1:18" x14ac:dyDescent="0.35">
      <c r="A642" s="5" t="s">
        <v>1177</v>
      </c>
      <c r="B642" s="6">
        <v>46131</v>
      </c>
      <c r="C642" s="5" t="s">
        <v>1178</v>
      </c>
      <c r="D642" s="5" t="s">
        <v>1171</v>
      </c>
      <c r="E642" s="5" t="s">
        <v>413</v>
      </c>
      <c r="F642" s="5" t="s">
        <v>38</v>
      </c>
      <c r="G642">
        <v>0.47916666666666669</v>
      </c>
      <c r="H642">
        <v>0.47361111111111109</v>
      </c>
      <c r="I642">
        <v>0</v>
      </c>
      <c r="J642" s="5" t="s">
        <v>18</v>
      </c>
      <c r="K642" s="5" t="s">
        <v>19</v>
      </c>
      <c r="L642">
        <v>370</v>
      </c>
      <c r="M642" s="5">
        <v>-8</v>
      </c>
      <c r="N642" s="5" t="s">
        <v>1677</v>
      </c>
      <c r="O642" s="5" t="s">
        <v>1668</v>
      </c>
      <c r="P642">
        <v>1</v>
      </c>
      <c r="Q642" t="s">
        <v>1660</v>
      </c>
    </row>
    <row r="643" spans="1:18" x14ac:dyDescent="0.35">
      <c r="A643" s="5" t="s">
        <v>1179</v>
      </c>
      <c r="B643" s="6">
        <v>46131</v>
      </c>
      <c r="C643" s="5" t="s">
        <v>446</v>
      </c>
      <c r="D643" s="5" t="s">
        <v>71</v>
      </c>
      <c r="E643" s="5" t="s">
        <v>79</v>
      </c>
      <c r="F643" s="5" t="s">
        <v>38</v>
      </c>
      <c r="G643">
        <v>0.50694444444444442</v>
      </c>
      <c r="H643">
        <v>0.51875000000000004</v>
      </c>
      <c r="I643">
        <v>2</v>
      </c>
      <c r="J643" s="5" t="s">
        <v>54</v>
      </c>
      <c r="K643" s="5" t="s">
        <v>19</v>
      </c>
      <c r="L643">
        <v>606</v>
      </c>
      <c r="M643" s="5">
        <v>17</v>
      </c>
      <c r="N643" s="5" t="s">
        <v>1677</v>
      </c>
      <c r="O643" s="5" t="s">
        <v>1668</v>
      </c>
      <c r="P643">
        <v>1</v>
      </c>
      <c r="Q643" t="s">
        <v>1663</v>
      </c>
      <c r="R643" t="s">
        <v>1657</v>
      </c>
    </row>
    <row r="644" spans="1:18" x14ac:dyDescent="0.35">
      <c r="A644" s="5" t="s">
        <v>1180</v>
      </c>
      <c r="B644" s="6">
        <v>46131</v>
      </c>
      <c r="C644" s="5" t="s">
        <v>756</v>
      </c>
      <c r="D644" s="5" t="s">
        <v>79</v>
      </c>
      <c r="E644" s="5" t="s">
        <v>1549</v>
      </c>
      <c r="F644" s="5" t="s">
        <v>24</v>
      </c>
      <c r="G644">
        <v>0.68402777777777779</v>
      </c>
      <c r="H644">
        <v>0.68402777777777779</v>
      </c>
      <c r="I644">
        <v>-12</v>
      </c>
      <c r="J644" s="5" t="s">
        <v>18</v>
      </c>
      <c r="K644" s="5" t="s">
        <v>19</v>
      </c>
      <c r="L644">
        <v>945</v>
      </c>
      <c r="M644" s="5">
        <v>0</v>
      </c>
      <c r="N644" s="5" t="s">
        <v>1677</v>
      </c>
      <c r="O644" s="5" t="s">
        <v>1668</v>
      </c>
      <c r="P644">
        <v>1</v>
      </c>
      <c r="Q644" t="s">
        <v>1663</v>
      </c>
    </row>
    <row r="645" spans="1:18" x14ac:dyDescent="0.35">
      <c r="A645" s="5" t="s">
        <v>1181</v>
      </c>
      <c r="B645" s="6">
        <v>46131</v>
      </c>
      <c r="C645" s="5" t="s">
        <v>596</v>
      </c>
      <c r="D645" s="5" t="s">
        <v>79</v>
      </c>
      <c r="E645" s="5" t="s">
        <v>1295</v>
      </c>
      <c r="F645" s="5" t="s">
        <v>24</v>
      </c>
      <c r="G645">
        <v>0.72916666666666663</v>
      </c>
      <c r="H645">
        <v>0.72361111111111109</v>
      </c>
      <c r="I645">
        <v>-1</v>
      </c>
      <c r="J645" s="5" t="s">
        <v>18</v>
      </c>
      <c r="K645" s="5" t="s">
        <v>19</v>
      </c>
      <c r="L645">
        <v>2134</v>
      </c>
      <c r="M645" s="5">
        <v>-8</v>
      </c>
      <c r="N645" s="5" t="s">
        <v>1677</v>
      </c>
      <c r="O645" s="5" t="s">
        <v>1668</v>
      </c>
      <c r="P645">
        <v>1</v>
      </c>
      <c r="Q645" t="s">
        <v>1665</v>
      </c>
    </row>
    <row r="646" spans="1:18" x14ac:dyDescent="0.35">
      <c r="A646" s="5" t="s">
        <v>1182</v>
      </c>
      <c r="B646" s="6">
        <v>46132</v>
      </c>
      <c r="C646" s="5" t="s">
        <v>1183</v>
      </c>
      <c r="D646" s="5" t="s">
        <v>71</v>
      </c>
      <c r="E646" s="5" t="s">
        <v>197</v>
      </c>
      <c r="F646" s="5" t="s">
        <v>24</v>
      </c>
      <c r="G646">
        <v>0.22569444444444439</v>
      </c>
      <c r="H646">
        <v>0.22638888888888889</v>
      </c>
      <c r="I646">
        <v>0</v>
      </c>
      <c r="J646" s="5" t="s">
        <v>18</v>
      </c>
      <c r="K646" s="5" t="s">
        <v>19</v>
      </c>
      <c r="L646">
        <v>738</v>
      </c>
      <c r="M646" s="5">
        <v>1</v>
      </c>
      <c r="N646" s="5" t="s">
        <v>1677</v>
      </c>
      <c r="O646" s="5" t="s">
        <v>1659</v>
      </c>
      <c r="P646">
        <v>1</v>
      </c>
      <c r="Q646" t="s">
        <v>1660</v>
      </c>
    </row>
    <row r="647" spans="1:18" x14ac:dyDescent="0.35">
      <c r="A647" s="5" t="s">
        <v>1184</v>
      </c>
      <c r="B647" s="6">
        <v>46132</v>
      </c>
      <c r="C647" s="5" t="s">
        <v>1185</v>
      </c>
      <c r="D647" s="5" t="s">
        <v>1171</v>
      </c>
      <c r="E647" s="5" t="s">
        <v>413</v>
      </c>
      <c r="F647" s="5" t="s">
        <v>17</v>
      </c>
      <c r="G647">
        <v>0.37847222222222221</v>
      </c>
      <c r="H647">
        <v>0.37638888888888888</v>
      </c>
      <c r="I647">
        <v>2</v>
      </c>
      <c r="J647" s="5" t="s">
        <v>18</v>
      </c>
      <c r="K647" s="5" t="s">
        <v>19</v>
      </c>
      <c r="L647">
        <v>370</v>
      </c>
      <c r="M647" s="5">
        <v>-3</v>
      </c>
      <c r="N647" s="5" t="s">
        <v>1677</v>
      </c>
      <c r="O647" s="5" t="s">
        <v>1659</v>
      </c>
      <c r="P647">
        <v>1</v>
      </c>
      <c r="Q647" t="s">
        <v>1660</v>
      </c>
    </row>
    <row r="648" spans="1:18" x14ac:dyDescent="0.35">
      <c r="A648" s="5" t="s">
        <v>1186</v>
      </c>
      <c r="B648" s="6">
        <v>46132</v>
      </c>
      <c r="C648" s="5" t="s">
        <v>1115</v>
      </c>
      <c r="D648" s="5" t="s">
        <v>226</v>
      </c>
      <c r="E648" s="5" t="s">
        <v>71</v>
      </c>
      <c r="F648" s="5" t="s">
        <v>28</v>
      </c>
      <c r="G648">
        <v>0.63888888888888884</v>
      </c>
      <c r="H648">
        <v>0.64236111111111116</v>
      </c>
      <c r="I648">
        <v>3</v>
      </c>
      <c r="J648" s="5" t="s">
        <v>18</v>
      </c>
      <c r="K648" s="5" t="s">
        <v>19</v>
      </c>
      <c r="L648">
        <v>886</v>
      </c>
      <c r="M648" s="5">
        <v>5</v>
      </c>
      <c r="N648" s="5" t="s">
        <v>1677</v>
      </c>
      <c r="O648" s="5" t="s">
        <v>1659</v>
      </c>
      <c r="P648">
        <v>1</v>
      </c>
      <c r="Q648" t="s">
        <v>1663</v>
      </c>
    </row>
    <row r="649" spans="1:18" x14ac:dyDescent="0.35">
      <c r="A649" s="5" t="s">
        <v>1187</v>
      </c>
      <c r="B649" s="6">
        <v>46132</v>
      </c>
      <c r="C649" s="5" t="s">
        <v>1188</v>
      </c>
      <c r="D649" s="5" t="s">
        <v>71</v>
      </c>
      <c r="E649" s="5" t="s">
        <v>413</v>
      </c>
      <c r="F649" s="5" t="s">
        <v>28</v>
      </c>
      <c r="G649">
        <v>0.71180555555555558</v>
      </c>
      <c r="I649">
        <v>-3</v>
      </c>
      <c r="J649" s="5" t="s">
        <v>18</v>
      </c>
      <c r="K649" s="5" t="s">
        <v>19</v>
      </c>
      <c r="L649">
        <v>1742</v>
      </c>
      <c r="M649" s="5">
        <v>2</v>
      </c>
      <c r="N649" s="5" t="s">
        <v>1677</v>
      </c>
      <c r="O649" s="5" t="s">
        <v>1659</v>
      </c>
      <c r="P649">
        <v>1</v>
      </c>
      <c r="Q649" t="s">
        <v>1665</v>
      </c>
    </row>
    <row r="650" spans="1:18" x14ac:dyDescent="0.35">
      <c r="A650" s="5" t="s">
        <v>1189</v>
      </c>
      <c r="B650" s="6">
        <v>46133</v>
      </c>
      <c r="C650" s="5" t="s">
        <v>278</v>
      </c>
      <c r="D650" s="5" t="s">
        <v>79</v>
      </c>
      <c r="E650" s="5" t="s">
        <v>71</v>
      </c>
      <c r="F650" s="5" t="s">
        <v>17</v>
      </c>
      <c r="G650">
        <v>0.60416666666666663</v>
      </c>
      <c r="H650">
        <v>0.6166666666666667</v>
      </c>
      <c r="I650">
        <v>7</v>
      </c>
      <c r="J650" s="5" t="s">
        <v>54</v>
      </c>
      <c r="K650" s="5" t="s">
        <v>19</v>
      </c>
      <c r="L650">
        <v>606</v>
      </c>
      <c r="M650" s="5">
        <v>18</v>
      </c>
      <c r="N650" s="5" t="s">
        <v>1677</v>
      </c>
      <c r="O650" s="5" t="s">
        <v>1661</v>
      </c>
      <c r="P650">
        <v>1</v>
      </c>
      <c r="Q650" t="s">
        <v>1663</v>
      </c>
      <c r="R650" t="s">
        <v>1657</v>
      </c>
    </row>
    <row r="651" spans="1:18" x14ac:dyDescent="0.35">
      <c r="A651" s="5" t="s">
        <v>1190</v>
      </c>
      <c r="B651" s="6">
        <v>46133</v>
      </c>
      <c r="C651" s="5" t="s">
        <v>817</v>
      </c>
      <c r="D651" s="5" t="s">
        <v>588</v>
      </c>
      <c r="E651" s="5" t="s">
        <v>413</v>
      </c>
      <c r="F651" s="5" t="s">
        <v>28</v>
      </c>
      <c r="G651">
        <v>0.62847222222222221</v>
      </c>
      <c r="J651" s="5" t="s">
        <v>129</v>
      </c>
      <c r="K651" s="5" t="s">
        <v>254</v>
      </c>
      <c r="L651">
        <v>1232</v>
      </c>
      <c r="M651" s="5"/>
      <c r="N651" s="5" t="s">
        <v>1677</v>
      </c>
      <c r="O651" s="5" t="s">
        <v>1661</v>
      </c>
      <c r="Q651" t="s">
        <v>1663</v>
      </c>
      <c r="R651" t="s">
        <v>1670</v>
      </c>
    </row>
    <row r="652" spans="1:18" x14ac:dyDescent="0.35">
      <c r="A652" s="5" t="s">
        <v>1191</v>
      </c>
      <c r="B652" s="6">
        <v>46133</v>
      </c>
      <c r="C652" s="5" t="s">
        <v>294</v>
      </c>
      <c r="D652" s="5" t="s">
        <v>84</v>
      </c>
      <c r="E652" s="5" t="s">
        <v>1549</v>
      </c>
      <c r="F652" s="5" t="s">
        <v>17</v>
      </c>
      <c r="G652">
        <v>0.86458333333333337</v>
      </c>
      <c r="H652">
        <v>0.85972222222222228</v>
      </c>
      <c r="I652">
        <v>-12</v>
      </c>
      <c r="J652" s="5" t="s">
        <v>18</v>
      </c>
      <c r="K652" s="5" t="s">
        <v>19</v>
      </c>
      <c r="L652">
        <v>2489</v>
      </c>
      <c r="M652" s="5">
        <v>-7</v>
      </c>
      <c r="N652" s="5" t="s">
        <v>1677</v>
      </c>
      <c r="O652" s="5" t="s">
        <v>1661</v>
      </c>
      <c r="P652">
        <v>1</v>
      </c>
      <c r="Q652" t="s">
        <v>1665</v>
      </c>
    </row>
    <row r="653" spans="1:18" x14ac:dyDescent="0.35">
      <c r="A653" s="5" t="s">
        <v>1192</v>
      </c>
      <c r="B653" s="6">
        <v>46134</v>
      </c>
      <c r="C653" s="5" t="s">
        <v>1193</v>
      </c>
      <c r="D653" s="5" t="s">
        <v>79</v>
      </c>
      <c r="E653" s="5" t="s">
        <v>202</v>
      </c>
      <c r="F653" s="5" t="s">
        <v>17</v>
      </c>
      <c r="G653">
        <v>0.31944444444444442</v>
      </c>
      <c r="H653">
        <v>0.32291666666666669</v>
      </c>
      <c r="I653">
        <v>-1</v>
      </c>
      <c r="J653" s="5" t="s">
        <v>18</v>
      </c>
      <c r="K653" s="5" t="s">
        <v>19</v>
      </c>
      <c r="L653">
        <v>596</v>
      </c>
      <c r="M653" s="5">
        <v>5</v>
      </c>
      <c r="N653" s="5" t="s">
        <v>1677</v>
      </c>
      <c r="O653" s="5" t="s">
        <v>1662</v>
      </c>
      <c r="P653">
        <v>1</v>
      </c>
      <c r="Q653" t="s">
        <v>1660</v>
      </c>
    </row>
    <row r="654" spans="1:18" x14ac:dyDescent="0.35">
      <c r="A654" s="5" t="s">
        <v>1194</v>
      </c>
      <c r="B654" s="6">
        <v>46134</v>
      </c>
      <c r="C654" s="5" t="s">
        <v>1195</v>
      </c>
      <c r="D654" s="5" t="s">
        <v>413</v>
      </c>
      <c r="E654" s="5" t="s">
        <v>71</v>
      </c>
      <c r="F654" s="5" t="s">
        <v>24</v>
      </c>
      <c r="G654">
        <v>0.53125</v>
      </c>
      <c r="H654">
        <v>0.53333333333333333</v>
      </c>
      <c r="I654">
        <v>13</v>
      </c>
      <c r="J654" s="5" t="s">
        <v>18</v>
      </c>
      <c r="K654" s="5" t="s">
        <v>19</v>
      </c>
      <c r="L654">
        <v>1742</v>
      </c>
      <c r="M654" s="5">
        <v>3</v>
      </c>
      <c r="N654" s="5" t="s">
        <v>1677</v>
      </c>
      <c r="O654" s="5" t="s">
        <v>1662</v>
      </c>
      <c r="P654">
        <v>1</v>
      </c>
      <c r="Q654" t="s">
        <v>1663</v>
      </c>
    </row>
    <row r="655" spans="1:18" x14ac:dyDescent="0.35">
      <c r="A655" s="5" t="s">
        <v>1196</v>
      </c>
      <c r="B655" s="6">
        <v>46134</v>
      </c>
      <c r="C655" s="5" t="s">
        <v>171</v>
      </c>
      <c r="D655" s="5" t="s">
        <v>546</v>
      </c>
      <c r="E655" s="5" t="s">
        <v>79</v>
      </c>
      <c r="F655" s="5" t="s">
        <v>17</v>
      </c>
      <c r="G655">
        <v>0.59027777777777779</v>
      </c>
      <c r="H655">
        <v>0.59652777777777777</v>
      </c>
      <c r="I655">
        <v>6</v>
      </c>
      <c r="J655" s="5" t="s">
        <v>18</v>
      </c>
      <c r="K655" s="5" t="s">
        <v>19</v>
      </c>
      <c r="L655">
        <v>1743</v>
      </c>
      <c r="M655" s="5">
        <v>9</v>
      </c>
      <c r="N655" s="5" t="s">
        <v>1677</v>
      </c>
      <c r="O655" s="5" t="s">
        <v>1662</v>
      </c>
      <c r="P655">
        <v>1</v>
      </c>
      <c r="Q655" t="s">
        <v>1663</v>
      </c>
    </row>
    <row r="656" spans="1:18" x14ac:dyDescent="0.35">
      <c r="A656" s="5" t="s">
        <v>1197</v>
      </c>
      <c r="B656" s="6">
        <v>46135</v>
      </c>
      <c r="C656" s="5" t="s">
        <v>819</v>
      </c>
      <c r="D656" s="5" t="s">
        <v>202</v>
      </c>
      <c r="E656" s="5" t="s">
        <v>84</v>
      </c>
      <c r="F656" s="5" t="s">
        <v>28</v>
      </c>
      <c r="G656">
        <v>0.46180555555555558</v>
      </c>
      <c r="H656">
        <v>0.46597222222222218</v>
      </c>
      <c r="I656">
        <v>1</v>
      </c>
      <c r="J656" s="5" t="s">
        <v>18</v>
      </c>
      <c r="K656" s="5" t="s">
        <v>19</v>
      </c>
      <c r="L656">
        <v>2722</v>
      </c>
      <c r="M656" s="5">
        <v>6</v>
      </c>
      <c r="N656" s="5" t="s">
        <v>1677</v>
      </c>
      <c r="O656" s="5" t="s">
        <v>1664</v>
      </c>
      <c r="P656">
        <v>1</v>
      </c>
      <c r="Q656" t="s">
        <v>1660</v>
      </c>
    </row>
    <row r="657" spans="1:18" x14ac:dyDescent="0.35">
      <c r="A657" s="5" t="s">
        <v>1198</v>
      </c>
      <c r="B657" s="6">
        <v>46135</v>
      </c>
      <c r="C657" s="5" t="s">
        <v>1027</v>
      </c>
      <c r="D657" s="5" t="s">
        <v>84</v>
      </c>
      <c r="E657" s="5" t="s">
        <v>588</v>
      </c>
      <c r="F657" s="5" t="s">
        <v>17</v>
      </c>
      <c r="G657">
        <v>0.625</v>
      </c>
      <c r="H657">
        <v>0.64652777777777781</v>
      </c>
      <c r="I657">
        <v>23</v>
      </c>
      <c r="J657" s="5" t="s">
        <v>477</v>
      </c>
      <c r="K657" s="5" t="s">
        <v>19</v>
      </c>
      <c r="L657">
        <v>1658</v>
      </c>
      <c r="M657" s="5">
        <v>31</v>
      </c>
      <c r="N657" s="5" t="s">
        <v>1677</v>
      </c>
      <c r="O657" s="5" t="s">
        <v>1664</v>
      </c>
      <c r="P657">
        <v>0</v>
      </c>
      <c r="Q657" t="s">
        <v>1663</v>
      </c>
      <c r="R657" t="s">
        <v>1670</v>
      </c>
    </row>
    <row r="658" spans="1:18" x14ac:dyDescent="0.35">
      <c r="A658" s="5" t="s">
        <v>1199</v>
      </c>
      <c r="B658" s="6">
        <v>46135</v>
      </c>
      <c r="C658" s="5" t="s">
        <v>548</v>
      </c>
      <c r="D658" s="5" t="s">
        <v>197</v>
      </c>
      <c r="E658" s="5" t="s">
        <v>71</v>
      </c>
      <c r="F658" s="5" t="s">
        <v>24</v>
      </c>
      <c r="G658">
        <v>0.79513888888888884</v>
      </c>
      <c r="H658">
        <v>0.80277777777777781</v>
      </c>
      <c r="I658">
        <v>3</v>
      </c>
      <c r="J658" s="5" t="s">
        <v>18</v>
      </c>
      <c r="K658" s="5" t="s">
        <v>19</v>
      </c>
      <c r="L658">
        <v>738</v>
      </c>
      <c r="M658" s="5">
        <v>11</v>
      </c>
      <c r="N658" s="5" t="s">
        <v>1677</v>
      </c>
      <c r="O658" s="5" t="s">
        <v>1664</v>
      </c>
      <c r="P658">
        <v>1</v>
      </c>
      <c r="Q658" t="s">
        <v>1665</v>
      </c>
    </row>
    <row r="659" spans="1:18" x14ac:dyDescent="0.35">
      <c r="A659" s="5" t="s">
        <v>1200</v>
      </c>
      <c r="B659" s="6">
        <v>46135</v>
      </c>
      <c r="C659" s="5" t="s">
        <v>1201</v>
      </c>
      <c r="D659" s="5" t="s">
        <v>71</v>
      </c>
      <c r="E659" s="5" t="s">
        <v>1171</v>
      </c>
      <c r="F659" s="5" t="s">
        <v>24</v>
      </c>
      <c r="G659">
        <v>0.81597222222222221</v>
      </c>
      <c r="H659">
        <v>0.8125</v>
      </c>
      <c r="I659">
        <v>-10</v>
      </c>
      <c r="J659" s="5" t="s">
        <v>18</v>
      </c>
      <c r="K659" s="5" t="s">
        <v>19</v>
      </c>
      <c r="L659">
        <v>1438</v>
      </c>
      <c r="M659" s="5">
        <v>-5</v>
      </c>
      <c r="N659" s="5" t="s">
        <v>1677</v>
      </c>
      <c r="O659" s="5" t="s">
        <v>1664</v>
      </c>
      <c r="P659">
        <v>1</v>
      </c>
      <c r="Q659" t="s">
        <v>1665</v>
      </c>
    </row>
    <row r="660" spans="1:18" x14ac:dyDescent="0.35">
      <c r="A660" s="5" t="s">
        <v>1202</v>
      </c>
      <c r="B660" s="6">
        <v>46136</v>
      </c>
      <c r="C660" s="5" t="s">
        <v>207</v>
      </c>
      <c r="D660" s="5" t="s">
        <v>79</v>
      </c>
      <c r="E660" s="5" t="s">
        <v>1549</v>
      </c>
      <c r="F660" s="5" t="s">
        <v>28</v>
      </c>
      <c r="G660">
        <v>0.46527777777777779</v>
      </c>
      <c r="H660">
        <v>0.46805555555555561</v>
      </c>
      <c r="I660">
        <v>14</v>
      </c>
      <c r="J660" s="5" t="s">
        <v>18</v>
      </c>
      <c r="K660" s="5" t="s">
        <v>19</v>
      </c>
      <c r="L660">
        <v>945</v>
      </c>
      <c r="M660" s="5">
        <v>4</v>
      </c>
      <c r="N660" s="5" t="s">
        <v>1677</v>
      </c>
      <c r="O660" s="5" t="s">
        <v>1666</v>
      </c>
      <c r="P660">
        <v>1</v>
      </c>
      <c r="Q660" t="s">
        <v>1660</v>
      </c>
    </row>
    <row r="661" spans="1:18" x14ac:dyDescent="0.35">
      <c r="A661" s="5" t="s">
        <v>1203</v>
      </c>
      <c r="B661" s="6">
        <v>46136</v>
      </c>
      <c r="C661" s="5" t="s">
        <v>770</v>
      </c>
      <c r="D661" s="5" t="s">
        <v>71</v>
      </c>
      <c r="E661" s="5" t="s">
        <v>546</v>
      </c>
      <c r="F661" s="5" t="s">
        <v>28</v>
      </c>
      <c r="G661">
        <v>0.53819444444444442</v>
      </c>
      <c r="H661">
        <v>0.56111111111111112</v>
      </c>
      <c r="I661">
        <v>25</v>
      </c>
      <c r="J661" s="5" t="s">
        <v>477</v>
      </c>
      <c r="K661" s="5" t="s">
        <v>19</v>
      </c>
      <c r="L661">
        <v>1511</v>
      </c>
      <c r="M661" s="5">
        <v>33</v>
      </c>
      <c r="N661" s="5" t="s">
        <v>1677</v>
      </c>
      <c r="O661" s="5" t="s">
        <v>1666</v>
      </c>
      <c r="P661">
        <v>0</v>
      </c>
      <c r="Q661" t="s">
        <v>1663</v>
      </c>
      <c r="R661" t="s">
        <v>1670</v>
      </c>
    </row>
    <row r="662" spans="1:18" x14ac:dyDescent="0.35">
      <c r="A662" s="5" t="s">
        <v>1204</v>
      </c>
      <c r="B662" s="6">
        <v>46136</v>
      </c>
      <c r="C662" s="5" t="s">
        <v>146</v>
      </c>
      <c r="D662" s="5" t="s">
        <v>588</v>
      </c>
      <c r="E662" s="5" t="s">
        <v>71</v>
      </c>
      <c r="F662" s="5" t="s">
        <v>38</v>
      </c>
      <c r="G662">
        <v>0.73611111111111116</v>
      </c>
      <c r="H662">
        <v>0.8208333333333333</v>
      </c>
      <c r="I662">
        <v>127</v>
      </c>
      <c r="J662" s="5" t="s">
        <v>129</v>
      </c>
      <c r="K662" s="5" t="s">
        <v>19</v>
      </c>
      <c r="L662">
        <v>802</v>
      </c>
      <c r="M662" s="5">
        <v>122</v>
      </c>
      <c r="N662" s="5" t="s">
        <v>1677</v>
      </c>
      <c r="O662" s="5" t="s">
        <v>1666</v>
      </c>
      <c r="P662">
        <v>0</v>
      </c>
      <c r="Q662" t="s">
        <v>1665</v>
      </c>
      <c r="R662" t="s">
        <v>1670</v>
      </c>
    </row>
    <row r="663" spans="1:18" x14ac:dyDescent="0.35">
      <c r="A663" s="5" t="s">
        <v>1205</v>
      </c>
      <c r="B663" s="6">
        <v>46137</v>
      </c>
      <c r="C663" s="5" t="s">
        <v>167</v>
      </c>
      <c r="D663" s="5" t="s">
        <v>413</v>
      </c>
      <c r="E663" s="5" t="s">
        <v>546</v>
      </c>
      <c r="F663" s="5" t="s">
        <v>28</v>
      </c>
      <c r="G663">
        <v>0.25347222222222221</v>
      </c>
      <c r="H663">
        <v>0.25069444444444439</v>
      </c>
      <c r="I663">
        <v>6</v>
      </c>
      <c r="J663" s="5" t="s">
        <v>18</v>
      </c>
      <c r="K663" s="5" t="s">
        <v>19</v>
      </c>
      <c r="L663">
        <v>236</v>
      </c>
      <c r="M663" s="5">
        <v>-4</v>
      </c>
      <c r="N663" s="5" t="s">
        <v>1677</v>
      </c>
      <c r="O663" s="5" t="s">
        <v>1667</v>
      </c>
      <c r="P663">
        <v>1</v>
      </c>
      <c r="Q663" t="s">
        <v>1660</v>
      </c>
    </row>
    <row r="664" spans="1:18" x14ac:dyDescent="0.35">
      <c r="A664" s="5" t="s">
        <v>1206</v>
      </c>
      <c r="B664" s="6">
        <v>46137</v>
      </c>
      <c r="C664" s="5" t="s">
        <v>1207</v>
      </c>
      <c r="D664" s="5" t="s">
        <v>71</v>
      </c>
      <c r="E664" s="5" t="s">
        <v>79</v>
      </c>
      <c r="F664" s="5" t="s">
        <v>17</v>
      </c>
      <c r="G664">
        <v>0.57638888888888884</v>
      </c>
      <c r="H664">
        <v>0.58263888888888893</v>
      </c>
      <c r="I664">
        <v>0</v>
      </c>
      <c r="J664" s="5" t="s">
        <v>18</v>
      </c>
      <c r="K664" s="5" t="s">
        <v>19</v>
      </c>
      <c r="L664">
        <v>606</v>
      </c>
      <c r="M664" s="5">
        <v>9</v>
      </c>
      <c r="N664" s="5" t="s">
        <v>1677</v>
      </c>
      <c r="O664" s="5" t="s">
        <v>1667</v>
      </c>
      <c r="P664">
        <v>1</v>
      </c>
      <c r="Q664" t="s">
        <v>1663</v>
      </c>
    </row>
    <row r="665" spans="1:18" x14ac:dyDescent="0.35">
      <c r="A665" s="5" t="s">
        <v>1208</v>
      </c>
      <c r="B665" s="6">
        <v>46137</v>
      </c>
      <c r="C665" s="5" t="s">
        <v>748</v>
      </c>
      <c r="D665" s="5" t="s">
        <v>413</v>
      </c>
      <c r="E665" s="5" t="s">
        <v>226</v>
      </c>
      <c r="F665" s="5" t="s">
        <v>24</v>
      </c>
      <c r="G665">
        <v>0.68055555555555558</v>
      </c>
      <c r="H665">
        <v>0.69791666666666663</v>
      </c>
      <c r="I665">
        <v>20</v>
      </c>
      <c r="J665" s="5" t="s">
        <v>60</v>
      </c>
      <c r="K665" s="5" t="s">
        <v>19</v>
      </c>
      <c r="L665">
        <v>861</v>
      </c>
      <c r="M665" s="5">
        <v>25</v>
      </c>
      <c r="N665" s="5" t="s">
        <v>1677</v>
      </c>
      <c r="O665" s="5" t="s">
        <v>1667</v>
      </c>
      <c r="P665">
        <v>0</v>
      </c>
      <c r="Q665" t="s">
        <v>1663</v>
      </c>
      <c r="R665" t="s">
        <v>1657</v>
      </c>
    </row>
    <row r="666" spans="1:18" x14ac:dyDescent="0.35">
      <c r="A666" s="5" t="s">
        <v>1209</v>
      </c>
      <c r="B666" s="6">
        <v>46138</v>
      </c>
      <c r="C666" s="5" t="s">
        <v>1210</v>
      </c>
      <c r="D666" s="5" t="s">
        <v>71</v>
      </c>
      <c r="E666" s="5" t="s">
        <v>588</v>
      </c>
      <c r="F666" s="5" t="s">
        <v>28</v>
      </c>
      <c r="G666">
        <v>0.64236111111111116</v>
      </c>
      <c r="H666">
        <v>0.64375000000000004</v>
      </c>
      <c r="I666">
        <v>9</v>
      </c>
      <c r="J666" s="5" t="s">
        <v>18</v>
      </c>
      <c r="K666" s="5" t="s">
        <v>19</v>
      </c>
      <c r="L666">
        <v>802</v>
      </c>
      <c r="M666" s="5">
        <v>2</v>
      </c>
      <c r="N666" s="5" t="s">
        <v>1677</v>
      </c>
      <c r="O666" s="5" t="s">
        <v>1668</v>
      </c>
      <c r="P666">
        <v>1</v>
      </c>
      <c r="Q666" t="s">
        <v>1663</v>
      </c>
    </row>
    <row r="667" spans="1:18" x14ac:dyDescent="0.35">
      <c r="A667" s="5" t="s">
        <v>1211</v>
      </c>
      <c r="B667" s="6">
        <v>46139</v>
      </c>
      <c r="C667" s="5" t="s">
        <v>1212</v>
      </c>
      <c r="D667" s="5" t="s">
        <v>71</v>
      </c>
      <c r="E667" s="5" t="s">
        <v>79</v>
      </c>
      <c r="F667" s="5" t="s">
        <v>24</v>
      </c>
      <c r="G667">
        <v>0.2673611111111111</v>
      </c>
      <c r="H667">
        <v>0.26805555555555549</v>
      </c>
      <c r="I667">
        <v>10</v>
      </c>
      <c r="J667" s="5" t="s">
        <v>18</v>
      </c>
      <c r="K667" s="5" t="s">
        <v>19</v>
      </c>
      <c r="L667">
        <v>606</v>
      </c>
      <c r="M667" s="5">
        <v>1</v>
      </c>
      <c r="N667" s="5" t="s">
        <v>1677</v>
      </c>
      <c r="O667" s="5" t="s">
        <v>1659</v>
      </c>
      <c r="P667">
        <v>1</v>
      </c>
      <c r="Q667" t="s">
        <v>1660</v>
      </c>
    </row>
    <row r="668" spans="1:18" x14ac:dyDescent="0.35">
      <c r="A668" s="5" t="s">
        <v>1213</v>
      </c>
      <c r="B668" s="6">
        <v>46139</v>
      </c>
      <c r="C668" s="5" t="s">
        <v>1214</v>
      </c>
      <c r="D668" s="5" t="s">
        <v>588</v>
      </c>
      <c r="E668" s="5" t="s">
        <v>413</v>
      </c>
      <c r="F668" s="5" t="s">
        <v>24</v>
      </c>
      <c r="G668">
        <v>0.82291666666666663</v>
      </c>
      <c r="H668">
        <v>0.83125000000000004</v>
      </c>
      <c r="I668">
        <v>8</v>
      </c>
      <c r="J668" s="5" t="s">
        <v>18</v>
      </c>
      <c r="K668" s="5" t="s">
        <v>19</v>
      </c>
      <c r="L668">
        <v>1232</v>
      </c>
      <c r="M668" s="5">
        <v>12</v>
      </c>
      <c r="N668" s="5" t="s">
        <v>1677</v>
      </c>
      <c r="O668" s="5" t="s">
        <v>1659</v>
      </c>
      <c r="P668">
        <v>1</v>
      </c>
      <c r="Q668" t="s">
        <v>1665</v>
      </c>
    </row>
    <row r="669" spans="1:18" x14ac:dyDescent="0.35">
      <c r="A669" s="5" t="s">
        <v>1215</v>
      </c>
      <c r="B669" s="6">
        <v>46140</v>
      </c>
      <c r="C669" s="5" t="s">
        <v>823</v>
      </c>
      <c r="D669" s="5" t="s">
        <v>202</v>
      </c>
      <c r="E669" s="5" t="s">
        <v>79</v>
      </c>
      <c r="F669" s="5" t="s">
        <v>17</v>
      </c>
      <c r="G669">
        <v>0.41666666666666669</v>
      </c>
      <c r="H669">
        <v>0.42152777777777778</v>
      </c>
      <c r="I669">
        <v>8</v>
      </c>
      <c r="J669" s="5" t="s">
        <v>18</v>
      </c>
      <c r="K669" s="5" t="s">
        <v>19</v>
      </c>
      <c r="L669">
        <v>596</v>
      </c>
      <c r="M669" s="5">
        <v>7</v>
      </c>
      <c r="N669" s="5" t="s">
        <v>1677</v>
      </c>
      <c r="O669" s="5" t="s">
        <v>1661</v>
      </c>
      <c r="P669">
        <v>1</v>
      </c>
      <c r="Q669" t="s">
        <v>1660</v>
      </c>
    </row>
    <row r="670" spans="1:18" x14ac:dyDescent="0.35">
      <c r="A670" s="5" t="s">
        <v>1216</v>
      </c>
      <c r="B670" s="6">
        <v>46140</v>
      </c>
      <c r="C670" s="5" t="s">
        <v>1217</v>
      </c>
      <c r="D670" s="5" t="s">
        <v>197</v>
      </c>
      <c r="E670" s="5" t="s">
        <v>546</v>
      </c>
      <c r="F670" s="5" t="s">
        <v>24</v>
      </c>
      <c r="G670">
        <v>0.50347222222222221</v>
      </c>
      <c r="H670">
        <v>0.5083333333333333</v>
      </c>
      <c r="I670">
        <v>-4</v>
      </c>
      <c r="J670" s="5" t="s">
        <v>18</v>
      </c>
      <c r="K670" s="5" t="s">
        <v>19</v>
      </c>
      <c r="L670">
        <v>2243</v>
      </c>
      <c r="M670" s="5">
        <v>7</v>
      </c>
      <c r="N670" s="5" t="s">
        <v>1677</v>
      </c>
      <c r="O670" s="5" t="s">
        <v>1661</v>
      </c>
      <c r="P670">
        <v>1</v>
      </c>
      <c r="Q670" t="s">
        <v>1663</v>
      </c>
    </row>
    <row r="671" spans="1:18" x14ac:dyDescent="0.35">
      <c r="A671" s="5" t="s">
        <v>1218</v>
      </c>
      <c r="B671" s="6">
        <v>46140</v>
      </c>
      <c r="C671" s="5" t="s">
        <v>1219</v>
      </c>
      <c r="D671" s="5" t="s">
        <v>79</v>
      </c>
      <c r="E671" s="5" t="s">
        <v>1295</v>
      </c>
      <c r="F671" s="5" t="s">
        <v>17</v>
      </c>
      <c r="G671">
        <v>0.59375</v>
      </c>
      <c r="H671">
        <v>0.59097222222222223</v>
      </c>
      <c r="I671">
        <v>-5</v>
      </c>
      <c r="J671" s="5" t="s">
        <v>18</v>
      </c>
      <c r="K671" s="5" t="s">
        <v>19</v>
      </c>
      <c r="L671">
        <v>2134</v>
      </c>
      <c r="M671" s="5">
        <v>-4</v>
      </c>
      <c r="N671" s="5" t="s">
        <v>1677</v>
      </c>
      <c r="O671" s="5" t="s">
        <v>1661</v>
      </c>
      <c r="P671">
        <v>1</v>
      </c>
      <c r="Q671" t="s">
        <v>1663</v>
      </c>
    </row>
    <row r="672" spans="1:18" x14ac:dyDescent="0.35">
      <c r="A672" s="5" t="s">
        <v>1220</v>
      </c>
      <c r="B672" s="6">
        <v>46140</v>
      </c>
      <c r="C672" s="5" t="s">
        <v>819</v>
      </c>
      <c r="D672" s="5" t="s">
        <v>413</v>
      </c>
      <c r="E672" s="5" t="s">
        <v>588</v>
      </c>
      <c r="F672" s="5" t="s">
        <v>24</v>
      </c>
      <c r="G672">
        <v>0.67708333333333337</v>
      </c>
      <c r="H672">
        <v>0.67361111111111116</v>
      </c>
      <c r="I672">
        <v>-4</v>
      </c>
      <c r="J672" s="5" t="s">
        <v>18</v>
      </c>
      <c r="K672" s="5" t="s">
        <v>19</v>
      </c>
      <c r="L672">
        <v>1232</v>
      </c>
      <c r="M672" s="5">
        <v>-5</v>
      </c>
      <c r="N672" s="5" t="s">
        <v>1677</v>
      </c>
      <c r="O672" s="5" t="s">
        <v>1661</v>
      </c>
      <c r="P672">
        <v>1</v>
      </c>
      <c r="Q672" t="s">
        <v>1663</v>
      </c>
    </row>
    <row r="673" spans="1:18" x14ac:dyDescent="0.35">
      <c r="A673" s="5" t="s">
        <v>1221</v>
      </c>
      <c r="B673" s="6">
        <v>46140</v>
      </c>
      <c r="C673" s="5" t="s">
        <v>100</v>
      </c>
      <c r="D673" s="5" t="s">
        <v>413</v>
      </c>
      <c r="E673" s="5" t="s">
        <v>84</v>
      </c>
      <c r="F673" s="5" t="s">
        <v>38</v>
      </c>
      <c r="G673">
        <v>0.80208333333333337</v>
      </c>
      <c r="H673">
        <v>0.80347222222222225</v>
      </c>
      <c r="I673">
        <v>-10</v>
      </c>
      <c r="J673" s="5" t="s">
        <v>18</v>
      </c>
      <c r="K673" s="5" t="s">
        <v>19</v>
      </c>
      <c r="L673">
        <v>955</v>
      </c>
      <c r="M673" s="5">
        <v>2</v>
      </c>
      <c r="N673" s="5" t="s">
        <v>1677</v>
      </c>
      <c r="O673" s="5" t="s">
        <v>1661</v>
      </c>
      <c r="P673">
        <v>1</v>
      </c>
      <c r="Q673" t="s">
        <v>1665</v>
      </c>
    </row>
    <row r="674" spans="1:18" x14ac:dyDescent="0.35">
      <c r="A674" s="5" t="s">
        <v>1222</v>
      </c>
      <c r="B674" s="6">
        <v>46140</v>
      </c>
      <c r="C674" s="5" t="s">
        <v>1223</v>
      </c>
      <c r="D674" s="5" t="s">
        <v>79</v>
      </c>
      <c r="E674" s="5" t="s">
        <v>1171</v>
      </c>
      <c r="F674" s="5" t="s">
        <v>24</v>
      </c>
      <c r="G674">
        <v>0.82638888888888884</v>
      </c>
      <c r="H674">
        <v>0.8208333333333333</v>
      </c>
      <c r="I674">
        <v>-5</v>
      </c>
      <c r="J674" s="5" t="s">
        <v>18</v>
      </c>
      <c r="K674" s="5" t="s">
        <v>19</v>
      </c>
      <c r="L674">
        <v>1584</v>
      </c>
      <c r="M674" s="5">
        <v>-8</v>
      </c>
      <c r="N674" s="5" t="s">
        <v>1677</v>
      </c>
      <c r="O674" s="5" t="s">
        <v>1661</v>
      </c>
      <c r="P674">
        <v>1</v>
      </c>
      <c r="Q674" t="s">
        <v>1665</v>
      </c>
    </row>
    <row r="675" spans="1:18" x14ac:dyDescent="0.35">
      <c r="A675" s="5" t="s">
        <v>1224</v>
      </c>
      <c r="B675" s="6">
        <v>46141</v>
      </c>
      <c r="C675" s="5" t="s">
        <v>1225</v>
      </c>
      <c r="D675" s="5" t="s">
        <v>197</v>
      </c>
      <c r="E675" s="5" t="s">
        <v>1171</v>
      </c>
      <c r="F675" s="5" t="s">
        <v>24</v>
      </c>
      <c r="G675">
        <v>0.3888888888888889</v>
      </c>
      <c r="H675">
        <v>0.38958333333333328</v>
      </c>
      <c r="I675">
        <v>-9</v>
      </c>
      <c r="J675" s="5" t="s">
        <v>18</v>
      </c>
      <c r="K675" s="5" t="s">
        <v>19</v>
      </c>
      <c r="L675">
        <v>2149</v>
      </c>
      <c r="M675" s="5">
        <v>1</v>
      </c>
      <c r="N675" s="5" t="s">
        <v>1677</v>
      </c>
      <c r="O675" s="5" t="s">
        <v>1662</v>
      </c>
      <c r="P675">
        <v>1</v>
      </c>
      <c r="Q675" t="s">
        <v>1660</v>
      </c>
    </row>
    <row r="676" spans="1:18" x14ac:dyDescent="0.35">
      <c r="A676" s="5" t="s">
        <v>1226</v>
      </c>
      <c r="B676" s="6">
        <v>46141</v>
      </c>
      <c r="C676" s="5" t="s">
        <v>760</v>
      </c>
      <c r="D676" s="5" t="s">
        <v>413</v>
      </c>
      <c r="E676" s="5" t="s">
        <v>84</v>
      </c>
      <c r="F676" s="5" t="s">
        <v>28</v>
      </c>
      <c r="G676">
        <v>0.66666666666666663</v>
      </c>
      <c r="H676">
        <v>0.67222222222222228</v>
      </c>
      <c r="I676">
        <v>0</v>
      </c>
      <c r="J676" s="5" t="s">
        <v>18</v>
      </c>
      <c r="K676" s="5" t="s">
        <v>19</v>
      </c>
      <c r="L676">
        <v>955</v>
      </c>
      <c r="M676" s="5">
        <v>8</v>
      </c>
      <c r="N676" s="5" t="s">
        <v>1677</v>
      </c>
      <c r="O676" s="5" t="s">
        <v>1662</v>
      </c>
      <c r="P676">
        <v>1</v>
      </c>
      <c r="Q676" t="s">
        <v>1663</v>
      </c>
    </row>
    <row r="677" spans="1:18" x14ac:dyDescent="0.35">
      <c r="A677" s="5" t="s">
        <v>1227</v>
      </c>
      <c r="B677" s="6">
        <v>46141</v>
      </c>
      <c r="C677" s="5" t="s">
        <v>137</v>
      </c>
      <c r="D677" s="5" t="s">
        <v>197</v>
      </c>
      <c r="E677" s="5" t="s">
        <v>84</v>
      </c>
      <c r="F677" s="5" t="s">
        <v>24</v>
      </c>
      <c r="G677">
        <v>0.73263888888888884</v>
      </c>
      <c r="H677">
        <v>0.72777777777777775</v>
      </c>
      <c r="I677">
        <v>-13</v>
      </c>
      <c r="J677" s="5" t="s">
        <v>18</v>
      </c>
      <c r="K677" s="5" t="s">
        <v>19</v>
      </c>
      <c r="L677">
        <v>2415</v>
      </c>
      <c r="M677" s="5">
        <v>-7</v>
      </c>
      <c r="N677" s="5" t="s">
        <v>1677</v>
      </c>
      <c r="O677" s="5" t="s">
        <v>1662</v>
      </c>
      <c r="P677">
        <v>1</v>
      </c>
      <c r="Q677" t="s">
        <v>1665</v>
      </c>
    </row>
    <row r="678" spans="1:18" x14ac:dyDescent="0.35">
      <c r="A678" s="5" t="s">
        <v>1228</v>
      </c>
      <c r="B678" s="6">
        <v>46142</v>
      </c>
      <c r="C678" s="5" t="s">
        <v>1229</v>
      </c>
      <c r="D678" s="5" t="s">
        <v>226</v>
      </c>
      <c r="E678" s="5" t="s">
        <v>71</v>
      </c>
      <c r="F678" s="5" t="s">
        <v>17</v>
      </c>
      <c r="G678">
        <v>0.59722222222222221</v>
      </c>
      <c r="H678">
        <v>0.6020833333333333</v>
      </c>
      <c r="I678">
        <v>11</v>
      </c>
      <c r="J678" s="5" t="s">
        <v>18</v>
      </c>
      <c r="K678" s="5" t="s">
        <v>19</v>
      </c>
      <c r="L678">
        <v>886</v>
      </c>
      <c r="M678" s="5">
        <v>7</v>
      </c>
      <c r="N678" s="5" t="s">
        <v>1677</v>
      </c>
      <c r="O678" s="5" t="s">
        <v>1664</v>
      </c>
      <c r="P678">
        <v>1</v>
      </c>
      <c r="Q678" t="s">
        <v>1663</v>
      </c>
    </row>
    <row r="679" spans="1:18" x14ac:dyDescent="0.35">
      <c r="A679" s="5" t="s">
        <v>1230</v>
      </c>
      <c r="B679" s="6">
        <v>46142</v>
      </c>
      <c r="C679" s="5" t="s">
        <v>1231</v>
      </c>
      <c r="D679" s="5" t="s">
        <v>71</v>
      </c>
      <c r="E679" s="5" t="s">
        <v>588</v>
      </c>
      <c r="F679" s="5" t="s">
        <v>28</v>
      </c>
      <c r="G679">
        <v>0.73611111111111116</v>
      </c>
      <c r="H679">
        <v>0.73958333333333337</v>
      </c>
      <c r="I679">
        <v>7</v>
      </c>
      <c r="J679" s="5" t="s">
        <v>18</v>
      </c>
      <c r="K679" s="5" t="s">
        <v>19</v>
      </c>
      <c r="L679">
        <v>802</v>
      </c>
      <c r="M679" s="5">
        <v>5</v>
      </c>
      <c r="N679" s="5" t="s">
        <v>1677</v>
      </c>
      <c r="O679" s="5" t="s">
        <v>1664</v>
      </c>
      <c r="P679">
        <v>1</v>
      </c>
      <c r="Q679" t="s">
        <v>1665</v>
      </c>
    </row>
    <row r="680" spans="1:18" x14ac:dyDescent="0.35">
      <c r="A680" s="5" t="s">
        <v>1232</v>
      </c>
      <c r="B680" s="6">
        <v>46142</v>
      </c>
      <c r="C680" s="5" t="s">
        <v>1233</v>
      </c>
      <c r="D680" s="5" t="s">
        <v>1549</v>
      </c>
      <c r="E680" s="5" t="s">
        <v>226</v>
      </c>
      <c r="F680" s="5" t="s">
        <v>17</v>
      </c>
      <c r="G680">
        <v>0.82291666666666663</v>
      </c>
      <c r="H680">
        <v>0.81874999999999998</v>
      </c>
      <c r="I680">
        <v>-6</v>
      </c>
      <c r="J680" s="5" t="s">
        <v>18</v>
      </c>
      <c r="K680" s="5" t="s">
        <v>19</v>
      </c>
      <c r="L680">
        <v>1749</v>
      </c>
      <c r="M680" s="5">
        <v>-6</v>
      </c>
      <c r="N680" s="5" t="s">
        <v>1677</v>
      </c>
      <c r="O680" s="5" t="s">
        <v>1664</v>
      </c>
      <c r="P680">
        <v>1</v>
      </c>
      <c r="Q680" t="s">
        <v>1665</v>
      </c>
    </row>
    <row r="681" spans="1:18" x14ac:dyDescent="0.35">
      <c r="A681" s="5" t="s">
        <v>1234</v>
      </c>
      <c r="B681" s="6">
        <v>46143</v>
      </c>
      <c r="C681" s="5" t="s">
        <v>609</v>
      </c>
      <c r="D681" s="5" t="s">
        <v>79</v>
      </c>
      <c r="E681" s="5" t="s">
        <v>546</v>
      </c>
      <c r="F681" s="5" t="s">
        <v>17</v>
      </c>
      <c r="G681">
        <v>0.3263888888888889</v>
      </c>
      <c r="H681">
        <v>0.3347222222222222</v>
      </c>
      <c r="I681">
        <v>12</v>
      </c>
      <c r="J681" s="5" t="s">
        <v>18</v>
      </c>
      <c r="K681" s="5" t="s">
        <v>19</v>
      </c>
      <c r="L681">
        <v>1743</v>
      </c>
      <c r="M681" s="5">
        <v>12</v>
      </c>
      <c r="N681" s="5" t="s">
        <v>1678</v>
      </c>
      <c r="O681" s="5" t="s">
        <v>1666</v>
      </c>
      <c r="P681">
        <v>1</v>
      </c>
      <c r="Q681" t="s">
        <v>1660</v>
      </c>
    </row>
    <row r="682" spans="1:18" x14ac:dyDescent="0.35">
      <c r="A682" s="5" t="s">
        <v>1235</v>
      </c>
      <c r="B682" s="6">
        <v>46143</v>
      </c>
      <c r="C682" s="5" t="s">
        <v>302</v>
      </c>
      <c r="D682" s="5" t="s">
        <v>226</v>
      </c>
      <c r="E682" s="5" t="s">
        <v>588</v>
      </c>
      <c r="F682" s="5" t="s">
        <v>24</v>
      </c>
      <c r="G682">
        <v>0.47916666666666669</v>
      </c>
      <c r="H682">
        <v>0.47430555555555548</v>
      </c>
      <c r="I682">
        <v>-10</v>
      </c>
      <c r="J682" s="5" t="s">
        <v>18</v>
      </c>
      <c r="K682" s="5" t="s">
        <v>19</v>
      </c>
      <c r="L682">
        <v>641</v>
      </c>
      <c r="M682" s="5">
        <v>-7</v>
      </c>
      <c r="N682" s="5" t="s">
        <v>1678</v>
      </c>
      <c r="O682" s="5" t="s">
        <v>1666</v>
      </c>
      <c r="P682">
        <v>1</v>
      </c>
      <c r="Q682" t="s">
        <v>1660</v>
      </c>
    </row>
    <row r="683" spans="1:18" x14ac:dyDescent="0.35">
      <c r="A683" s="5" t="s">
        <v>1236</v>
      </c>
      <c r="B683" s="6">
        <v>46143</v>
      </c>
      <c r="C683" s="5" t="s">
        <v>1237</v>
      </c>
      <c r="D683" s="5" t="s">
        <v>226</v>
      </c>
      <c r="E683" s="5" t="s">
        <v>1171</v>
      </c>
      <c r="F683" s="5" t="s">
        <v>38</v>
      </c>
      <c r="G683">
        <v>0.73263888888888884</v>
      </c>
      <c r="H683">
        <v>0.7270833333333333</v>
      </c>
      <c r="I683">
        <v>0</v>
      </c>
      <c r="J683" s="5" t="s">
        <v>18</v>
      </c>
      <c r="K683" s="5" t="s">
        <v>19</v>
      </c>
      <c r="L683">
        <v>602</v>
      </c>
      <c r="M683" s="5">
        <v>-8</v>
      </c>
      <c r="N683" s="5" t="s">
        <v>1678</v>
      </c>
      <c r="O683" s="5" t="s">
        <v>1666</v>
      </c>
      <c r="P683">
        <v>1</v>
      </c>
      <c r="Q683" t="s">
        <v>1665</v>
      </c>
    </row>
    <row r="684" spans="1:18" x14ac:dyDescent="0.35">
      <c r="A684" s="5" t="s">
        <v>1238</v>
      </c>
      <c r="B684" s="6">
        <v>46144</v>
      </c>
      <c r="C684" s="5" t="s">
        <v>1123</v>
      </c>
      <c r="D684" s="5" t="s">
        <v>413</v>
      </c>
      <c r="E684" s="5" t="s">
        <v>1171</v>
      </c>
      <c r="F684" s="5" t="s">
        <v>24</v>
      </c>
      <c r="G684">
        <v>0.40972222222222221</v>
      </c>
      <c r="H684">
        <v>0.41597222222222219</v>
      </c>
      <c r="I684">
        <v>19</v>
      </c>
      <c r="J684" s="5" t="s">
        <v>18</v>
      </c>
      <c r="K684" s="5" t="s">
        <v>19</v>
      </c>
      <c r="L684">
        <v>370</v>
      </c>
      <c r="M684" s="5">
        <v>9</v>
      </c>
      <c r="N684" s="5" t="s">
        <v>1678</v>
      </c>
      <c r="O684" s="5" t="s">
        <v>1667</v>
      </c>
      <c r="P684">
        <v>0</v>
      </c>
      <c r="Q684" t="s">
        <v>1660</v>
      </c>
    </row>
    <row r="685" spans="1:18" x14ac:dyDescent="0.35">
      <c r="A685" s="5" t="s">
        <v>1239</v>
      </c>
      <c r="B685" s="6">
        <v>46144</v>
      </c>
      <c r="C685" s="5" t="s">
        <v>519</v>
      </c>
      <c r="D685" s="5" t="s">
        <v>413</v>
      </c>
      <c r="E685" s="5" t="s">
        <v>588</v>
      </c>
      <c r="F685" s="5" t="s">
        <v>24</v>
      </c>
      <c r="G685">
        <v>0.70138888888888884</v>
      </c>
      <c r="J685" s="5" t="s">
        <v>129</v>
      </c>
      <c r="K685" s="5" t="s">
        <v>254</v>
      </c>
      <c r="L685">
        <v>1232</v>
      </c>
      <c r="M685" s="5"/>
      <c r="N685" s="5" t="s">
        <v>1678</v>
      </c>
      <c r="O685" s="5" t="s">
        <v>1667</v>
      </c>
      <c r="Q685" t="s">
        <v>1663</v>
      </c>
      <c r="R685" t="s">
        <v>1670</v>
      </c>
    </row>
    <row r="686" spans="1:18" x14ac:dyDescent="0.35">
      <c r="A686" s="5" t="s">
        <v>1240</v>
      </c>
      <c r="B686" s="6">
        <v>46144</v>
      </c>
      <c r="C686" s="5" t="s">
        <v>791</v>
      </c>
      <c r="D686" s="5" t="s">
        <v>226</v>
      </c>
      <c r="E686" s="5" t="s">
        <v>413</v>
      </c>
      <c r="F686" s="5" t="s">
        <v>28</v>
      </c>
      <c r="G686">
        <v>0.83680555555555558</v>
      </c>
      <c r="H686">
        <v>0.83680555555555558</v>
      </c>
      <c r="I686">
        <v>-9</v>
      </c>
      <c r="J686" s="5" t="s">
        <v>18</v>
      </c>
      <c r="K686" s="5" t="s">
        <v>19</v>
      </c>
      <c r="L686">
        <v>861</v>
      </c>
      <c r="M686" s="5">
        <v>0</v>
      </c>
      <c r="N686" s="5" t="s">
        <v>1678</v>
      </c>
      <c r="O686" s="5" t="s">
        <v>1667</v>
      </c>
      <c r="P686">
        <v>1</v>
      </c>
      <c r="Q686" t="s">
        <v>1665</v>
      </c>
    </row>
    <row r="687" spans="1:18" x14ac:dyDescent="0.35">
      <c r="A687" s="5" t="s">
        <v>1241</v>
      </c>
      <c r="B687" s="6">
        <v>46145</v>
      </c>
      <c r="C687" s="5" t="s">
        <v>1242</v>
      </c>
      <c r="D687" s="5" t="s">
        <v>546</v>
      </c>
      <c r="E687" s="5" t="s">
        <v>71</v>
      </c>
      <c r="F687" s="5" t="s">
        <v>38</v>
      </c>
      <c r="G687">
        <v>0.45833333333333331</v>
      </c>
      <c r="H687">
        <v>0.50972222222222219</v>
      </c>
      <c r="I687">
        <v>72</v>
      </c>
      <c r="J687" s="5" t="s">
        <v>60</v>
      </c>
      <c r="K687" s="5" t="s">
        <v>19</v>
      </c>
      <c r="L687">
        <v>1511</v>
      </c>
      <c r="M687" s="5">
        <v>74</v>
      </c>
      <c r="N687" s="5" t="s">
        <v>1678</v>
      </c>
      <c r="O687" s="5" t="s">
        <v>1668</v>
      </c>
      <c r="P687">
        <v>0</v>
      </c>
      <c r="Q687" t="s">
        <v>1660</v>
      </c>
      <c r="R687" t="s">
        <v>1657</v>
      </c>
    </row>
    <row r="688" spans="1:18" x14ac:dyDescent="0.35">
      <c r="A688" s="5" t="s">
        <v>1243</v>
      </c>
      <c r="B688" s="6">
        <v>46145</v>
      </c>
      <c r="C688" s="5" t="s">
        <v>357</v>
      </c>
      <c r="D688" s="5" t="s">
        <v>79</v>
      </c>
      <c r="E688" s="5" t="s">
        <v>71</v>
      </c>
      <c r="F688" s="5" t="s">
        <v>28</v>
      </c>
      <c r="G688">
        <v>0.47569444444444442</v>
      </c>
      <c r="H688">
        <v>0.47708333333333341</v>
      </c>
      <c r="I688">
        <v>4</v>
      </c>
      <c r="J688" s="5" t="s">
        <v>18</v>
      </c>
      <c r="K688" s="5" t="s">
        <v>19</v>
      </c>
      <c r="L688">
        <v>606</v>
      </c>
      <c r="M688" s="5">
        <v>2</v>
      </c>
      <c r="N688" s="5" t="s">
        <v>1678</v>
      </c>
      <c r="O688" s="5" t="s">
        <v>1668</v>
      </c>
      <c r="P688">
        <v>1</v>
      </c>
      <c r="Q688" t="s">
        <v>1660</v>
      </c>
    </row>
    <row r="689" spans="1:18" x14ac:dyDescent="0.35">
      <c r="A689" s="5" t="s">
        <v>1244</v>
      </c>
      <c r="B689" s="6">
        <v>46145</v>
      </c>
      <c r="C689" s="5" t="s">
        <v>746</v>
      </c>
      <c r="D689" s="5" t="s">
        <v>79</v>
      </c>
      <c r="E689" s="5" t="s">
        <v>202</v>
      </c>
      <c r="F689" s="5" t="s">
        <v>17</v>
      </c>
      <c r="G689">
        <v>0.58333333333333337</v>
      </c>
      <c r="H689">
        <v>0.63541666666666663</v>
      </c>
      <c r="I689">
        <v>63</v>
      </c>
      <c r="J689" s="5" t="s">
        <v>54</v>
      </c>
      <c r="K689" s="5" t="s">
        <v>19</v>
      </c>
      <c r="L689">
        <v>596</v>
      </c>
      <c r="M689" s="5">
        <v>75</v>
      </c>
      <c r="N689" s="5" t="s">
        <v>1678</v>
      </c>
      <c r="O689" s="5" t="s">
        <v>1668</v>
      </c>
      <c r="P689">
        <v>0</v>
      </c>
      <c r="Q689" t="s">
        <v>1663</v>
      </c>
      <c r="R689" t="s">
        <v>1657</v>
      </c>
    </row>
    <row r="690" spans="1:18" x14ac:dyDescent="0.35">
      <c r="A690" s="5" t="s">
        <v>1245</v>
      </c>
      <c r="B690" s="6">
        <v>46145</v>
      </c>
      <c r="C690" s="5" t="s">
        <v>794</v>
      </c>
      <c r="D690" s="5" t="s">
        <v>1549</v>
      </c>
      <c r="E690" s="5" t="s">
        <v>79</v>
      </c>
      <c r="F690" s="5" t="s">
        <v>17</v>
      </c>
      <c r="G690">
        <v>0.69097222222222221</v>
      </c>
      <c r="H690">
        <v>0.68819444444444444</v>
      </c>
      <c r="I690">
        <v>6</v>
      </c>
      <c r="J690" s="5" t="s">
        <v>18</v>
      </c>
      <c r="K690" s="5" t="s">
        <v>19</v>
      </c>
      <c r="L690">
        <v>945</v>
      </c>
      <c r="M690" s="5">
        <v>-4</v>
      </c>
      <c r="N690" s="5" t="s">
        <v>1678</v>
      </c>
      <c r="O690" s="5" t="s">
        <v>1668</v>
      </c>
      <c r="P690">
        <v>1</v>
      </c>
      <c r="Q690" t="s">
        <v>1663</v>
      </c>
    </row>
    <row r="691" spans="1:18" x14ac:dyDescent="0.35">
      <c r="A691" s="5" t="s">
        <v>1246</v>
      </c>
      <c r="B691" s="6">
        <v>46146</v>
      </c>
      <c r="C691" s="5" t="s">
        <v>773</v>
      </c>
      <c r="D691" s="5" t="s">
        <v>226</v>
      </c>
      <c r="E691" s="5" t="s">
        <v>202</v>
      </c>
      <c r="F691" s="5" t="s">
        <v>24</v>
      </c>
      <c r="G691">
        <v>0.25347222222222221</v>
      </c>
      <c r="H691">
        <v>0.25138888888888888</v>
      </c>
      <c r="I691">
        <v>7</v>
      </c>
      <c r="J691" s="5" t="s">
        <v>18</v>
      </c>
      <c r="K691" s="5" t="s">
        <v>19</v>
      </c>
      <c r="L691">
        <v>1708</v>
      </c>
      <c r="M691" s="5">
        <v>-3</v>
      </c>
      <c r="N691" s="5" t="s">
        <v>1678</v>
      </c>
      <c r="O691" s="5" t="s">
        <v>1659</v>
      </c>
      <c r="P691">
        <v>1</v>
      </c>
      <c r="Q691" t="s">
        <v>1660</v>
      </c>
    </row>
    <row r="692" spans="1:18" x14ac:dyDescent="0.35">
      <c r="A692" s="5" t="s">
        <v>1247</v>
      </c>
      <c r="B692" s="6">
        <v>46146</v>
      </c>
      <c r="C692" s="5" t="s">
        <v>282</v>
      </c>
      <c r="D692" s="5" t="s">
        <v>202</v>
      </c>
      <c r="E692" s="5" t="s">
        <v>588</v>
      </c>
      <c r="F692" s="5" t="s">
        <v>24</v>
      </c>
      <c r="G692">
        <v>0.2951388888888889</v>
      </c>
      <c r="H692">
        <v>0.29652777777777778</v>
      </c>
      <c r="I692">
        <v>8</v>
      </c>
      <c r="J692" s="5" t="s">
        <v>18</v>
      </c>
      <c r="K692" s="5" t="s">
        <v>19</v>
      </c>
      <c r="L692">
        <v>1120</v>
      </c>
      <c r="M692" s="5">
        <v>2</v>
      </c>
      <c r="N692" s="5" t="s">
        <v>1678</v>
      </c>
      <c r="O692" s="5" t="s">
        <v>1659</v>
      </c>
      <c r="P692">
        <v>1</v>
      </c>
      <c r="Q692" t="s">
        <v>1660</v>
      </c>
    </row>
    <row r="693" spans="1:18" x14ac:dyDescent="0.35">
      <c r="A693" s="5" t="s">
        <v>1248</v>
      </c>
      <c r="B693" s="6">
        <v>46147</v>
      </c>
      <c r="C693" s="5" t="s">
        <v>986</v>
      </c>
      <c r="D693" s="5" t="s">
        <v>226</v>
      </c>
      <c r="E693" s="5" t="s">
        <v>197</v>
      </c>
      <c r="F693" s="5" t="s">
        <v>17</v>
      </c>
      <c r="G693">
        <v>0.24305555555555561</v>
      </c>
      <c r="H693">
        <v>0.25138888888888888</v>
      </c>
      <c r="I693">
        <v>1</v>
      </c>
      <c r="J693" s="5" t="s">
        <v>18</v>
      </c>
      <c r="K693" s="5" t="s">
        <v>19</v>
      </c>
      <c r="L693">
        <v>1622</v>
      </c>
      <c r="M693" s="5">
        <v>12</v>
      </c>
      <c r="N693" s="5" t="s">
        <v>1678</v>
      </c>
      <c r="O693" s="5" t="s">
        <v>1661</v>
      </c>
      <c r="P693">
        <v>1</v>
      </c>
      <c r="Q693" t="s">
        <v>1660</v>
      </c>
    </row>
    <row r="694" spans="1:18" x14ac:dyDescent="0.35">
      <c r="A694" s="5" t="s">
        <v>1249</v>
      </c>
      <c r="B694" s="6">
        <v>46147</v>
      </c>
      <c r="C694" s="5" t="s">
        <v>1250</v>
      </c>
      <c r="D694" s="5" t="s">
        <v>79</v>
      </c>
      <c r="E694" s="5" t="s">
        <v>197</v>
      </c>
      <c r="F694" s="5" t="s">
        <v>38</v>
      </c>
      <c r="G694">
        <v>0.71527777777777779</v>
      </c>
      <c r="H694">
        <v>0.81180555555555556</v>
      </c>
      <c r="I694">
        <v>124</v>
      </c>
      <c r="J694" s="5" t="s">
        <v>477</v>
      </c>
      <c r="K694" s="5" t="s">
        <v>19</v>
      </c>
      <c r="L694">
        <v>759</v>
      </c>
      <c r="M694" s="5">
        <v>139</v>
      </c>
      <c r="N694" s="5" t="s">
        <v>1678</v>
      </c>
      <c r="O694" s="5" t="s">
        <v>1661</v>
      </c>
      <c r="P694">
        <v>0</v>
      </c>
      <c r="Q694" t="s">
        <v>1665</v>
      </c>
      <c r="R694" t="s">
        <v>1670</v>
      </c>
    </row>
    <row r="695" spans="1:18" x14ac:dyDescent="0.35">
      <c r="A695" s="5" t="s">
        <v>1251</v>
      </c>
      <c r="B695" s="6">
        <v>46147</v>
      </c>
      <c r="C695" s="5" t="s">
        <v>1252</v>
      </c>
      <c r="D695" s="5" t="s">
        <v>588</v>
      </c>
      <c r="E695" s="5" t="s">
        <v>197</v>
      </c>
      <c r="F695" s="5" t="s">
        <v>17</v>
      </c>
      <c r="G695">
        <v>0.78472222222222221</v>
      </c>
      <c r="H695">
        <v>0.78888888888888886</v>
      </c>
      <c r="I695">
        <v>3</v>
      </c>
      <c r="J695" s="5" t="s">
        <v>18</v>
      </c>
      <c r="K695" s="5" t="s">
        <v>19</v>
      </c>
      <c r="L695">
        <v>1389</v>
      </c>
      <c r="M695" s="5">
        <v>6</v>
      </c>
      <c r="N695" s="5" t="s">
        <v>1678</v>
      </c>
      <c r="O695" s="5" t="s">
        <v>1661</v>
      </c>
      <c r="P695">
        <v>1</v>
      </c>
      <c r="Q695" t="s">
        <v>1665</v>
      </c>
    </row>
    <row r="696" spans="1:18" x14ac:dyDescent="0.35">
      <c r="A696" s="5" t="s">
        <v>1253</v>
      </c>
      <c r="B696" s="6">
        <v>46148</v>
      </c>
      <c r="C696" s="5" t="s">
        <v>913</v>
      </c>
      <c r="D696" s="5" t="s">
        <v>71</v>
      </c>
      <c r="E696" s="5" t="s">
        <v>79</v>
      </c>
      <c r="F696" s="5" t="s">
        <v>24</v>
      </c>
      <c r="G696">
        <v>0.3263888888888889</v>
      </c>
      <c r="H696">
        <v>0.36249999999999999</v>
      </c>
      <c r="I696">
        <v>41</v>
      </c>
      <c r="J696" s="5" t="s">
        <v>54</v>
      </c>
      <c r="K696" s="5" t="s">
        <v>19</v>
      </c>
      <c r="L696">
        <v>606</v>
      </c>
      <c r="M696" s="5">
        <v>52</v>
      </c>
      <c r="N696" s="5" t="s">
        <v>1678</v>
      </c>
      <c r="O696" s="5" t="s">
        <v>1662</v>
      </c>
      <c r="P696">
        <v>0</v>
      </c>
      <c r="Q696" t="s">
        <v>1660</v>
      </c>
      <c r="R696" t="s">
        <v>1657</v>
      </c>
    </row>
    <row r="697" spans="1:18" x14ac:dyDescent="0.35">
      <c r="A697" s="5" t="s">
        <v>1254</v>
      </c>
      <c r="B697" s="6">
        <v>46148</v>
      </c>
      <c r="C697" s="5" t="s">
        <v>577</v>
      </c>
      <c r="D697" s="5" t="s">
        <v>1295</v>
      </c>
      <c r="E697" s="5" t="s">
        <v>197</v>
      </c>
      <c r="F697" s="5" t="s">
        <v>24</v>
      </c>
      <c r="G697">
        <v>0.51736111111111116</v>
      </c>
      <c r="I697">
        <v>32</v>
      </c>
      <c r="J697" s="5" t="s">
        <v>54</v>
      </c>
      <c r="K697" s="5" t="s">
        <v>19</v>
      </c>
      <c r="L697">
        <v>2580</v>
      </c>
      <c r="M697" s="5">
        <v>28</v>
      </c>
      <c r="N697" s="5" t="s">
        <v>1678</v>
      </c>
      <c r="O697" s="5" t="s">
        <v>1662</v>
      </c>
      <c r="P697">
        <v>0</v>
      </c>
      <c r="Q697" t="s">
        <v>1663</v>
      </c>
      <c r="R697" t="s">
        <v>1657</v>
      </c>
    </row>
    <row r="698" spans="1:18" x14ac:dyDescent="0.35">
      <c r="A698" s="5" t="s">
        <v>1255</v>
      </c>
      <c r="B698" s="6">
        <v>46148</v>
      </c>
      <c r="C698" s="5" t="s">
        <v>1113</v>
      </c>
      <c r="D698" s="5" t="s">
        <v>226</v>
      </c>
      <c r="E698" s="5" t="s">
        <v>413</v>
      </c>
      <c r="F698" s="5" t="s">
        <v>17</v>
      </c>
      <c r="G698">
        <v>0.61111111111111116</v>
      </c>
      <c r="H698">
        <v>0.60972222222222228</v>
      </c>
      <c r="I698">
        <v>-12</v>
      </c>
      <c r="J698" s="5" t="s">
        <v>18</v>
      </c>
      <c r="K698" s="5" t="s">
        <v>19</v>
      </c>
      <c r="L698">
        <v>861</v>
      </c>
      <c r="M698" s="5">
        <v>-2</v>
      </c>
      <c r="N698" s="5" t="s">
        <v>1678</v>
      </c>
      <c r="O698" s="5" t="s">
        <v>1662</v>
      </c>
      <c r="P698">
        <v>1</v>
      </c>
      <c r="Q698" t="s">
        <v>1663</v>
      </c>
    </row>
    <row r="699" spans="1:18" x14ac:dyDescent="0.35">
      <c r="A699" s="5" t="s">
        <v>1256</v>
      </c>
      <c r="B699" s="6">
        <v>46148</v>
      </c>
      <c r="C699" s="5" t="s">
        <v>1257</v>
      </c>
      <c r="D699" s="5" t="s">
        <v>588</v>
      </c>
      <c r="E699" s="5" t="s">
        <v>79</v>
      </c>
      <c r="F699" s="5" t="s">
        <v>17</v>
      </c>
      <c r="G699">
        <v>0.63888888888888884</v>
      </c>
      <c r="H699">
        <v>0.66597222222222219</v>
      </c>
      <c r="J699" s="5" t="s">
        <v>60</v>
      </c>
      <c r="K699" s="5" t="s">
        <v>19</v>
      </c>
      <c r="L699">
        <v>730</v>
      </c>
      <c r="M699" s="5">
        <v>39</v>
      </c>
      <c r="N699" s="5" t="s">
        <v>1678</v>
      </c>
      <c r="O699" s="5" t="s">
        <v>1662</v>
      </c>
      <c r="Q699" t="s">
        <v>1663</v>
      </c>
      <c r="R699" t="s">
        <v>1657</v>
      </c>
    </row>
    <row r="700" spans="1:18" x14ac:dyDescent="0.35">
      <c r="A700" s="5" t="s">
        <v>1258</v>
      </c>
      <c r="B700" s="6">
        <v>46149</v>
      </c>
      <c r="C700" s="5" t="s">
        <v>1259</v>
      </c>
      <c r="D700" s="5" t="s">
        <v>1171</v>
      </c>
      <c r="E700" s="5" t="s">
        <v>546</v>
      </c>
      <c r="F700" s="5" t="s">
        <v>24</v>
      </c>
      <c r="G700">
        <v>0.31944444444444442</v>
      </c>
      <c r="H700">
        <v>0.32500000000000001</v>
      </c>
      <c r="I700">
        <v>5</v>
      </c>
      <c r="J700" s="5" t="s">
        <v>18</v>
      </c>
      <c r="K700" s="5" t="s">
        <v>19</v>
      </c>
      <c r="L700">
        <v>256</v>
      </c>
      <c r="M700" s="5">
        <v>8</v>
      </c>
      <c r="N700" s="5" t="s">
        <v>1678</v>
      </c>
      <c r="O700" s="5" t="s">
        <v>1664</v>
      </c>
      <c r="P700">
        <v>1</v>
      </c>
      <c r="Q700" t="s">
        <v>1660</v>
      </c>
    </row>
    <row r="701" spans="1:18" x14ac:dyDescent="0.35">
      <c r="A701" s="5" t="s">
        <v>1260</v>
      </c>
      <c r="B701" s="6">
        <v>46149</v>
      </c>
      <c r="C701" s="5" t="s">
        <v>1261</v>
      </c>
      <c r="D701" s="5" t="s">
        <v>413</v>
      </c>
      <c r="E701" s="5" t="s">
        <v>226</v>
      </c>
      <c r="F701" s="5" t="s">
        <v>38</v>
      </c>
      <c r="G701">
        <v>0.36805555555555558</v>
      </c>
      <c r="H701">
        <v>0.36319444444444438</v>
      </c>
      <c r="I701">
        <v>-3</v>
      </c>
      <c r="J701" s="5" t="s">
        <v>18</v>
      </c>
      <c r="K701" s="5" t="s">
        <v>19</v>
      </c>
      <c r="L701">
        <v>861</v>
      </c>
      <c r="M701" s="5">
        <v>-7</v>
      </c>
      <c r="N701" s="5" t="s">
        <v>1678</v>
      </c>
      <c r="O701" s="5" t="s">
        <v>1664</v>
      </c>
      <c r="P701">
        <v>1</v>
      </c>
      <c r="Q701" t="s">
        <v>1660</v>
      </c>
    </row>
    <row r="702" spans="1:18" x14ac:dyDescent="0.35">
      <c r="A702" s="5" t="s">
        <v>1262</v>
      </c>
      <c r="B702" s="6">
        <v>46149</v>
      </c>
      <c r="C702" s="5" t="s">
        <v>770</v>
      </c>
      <c r="D702" s="5" t="s">
        <v>588</v>
      </c>
      <c r="E702" s="5" t="s">
        <v>226</v>
      </c>
      <c r="F702" s="5" t="s">
        <v>17</v>
      </c>
      <c r="G702">
        <v>0.64236111111111116</v>
      </c>
      <c r="H702">
        <v>0.64166666666666672</v>
      </c>
      <c r="I702">
        <v>-9</v>
      </c>
      <c r="J702" s="5" t="s">
        <v>18</v>
      </c>
      <c r="K702" s="5" t="s">
        <v>19</v>
      </c>
      <c r="L702">
        <v>641</v>
      </c>
      <c r="M702" s="5">
        <v>-1</v>
      </c>
      <c r="N702" s="5" t="s">
        <v>1678</v>
      </c>
      <c r="O702" s="5" t="s">
        <v>1664</v>
      </c>
      <c r="P702">
        <v>1</v>
      </c>
      <c r="Q702" t="s">
        <v>1663</v>
      </c>
    </row>
    <row r="703" spans="1:18" x14ac:dyDescent="0.35">
      <c r="A703" s="5" t="s">
        <v>1263</v>
      </c>
      <c r="B703" s="6">
        <v>46149</v>
      </c>
      <c r="C703" s="5" t="s">
        <v>422</v>
      </c>
      <c r="D703" s="5" t="s">
        <v>202</v>
      </c>
      <c r="E703" s="5" t="s">
        <v>71</v>
      </c>
      <c r="F703" s="5" t="s">
        <v>38</v>
      </c>
      <c r="G703">
        <v>0.65277777777777779</v>
      </c>
      <c r="H703">
        <v>0.66111111111111109</v>
      </c>
      <c r="I703">
        <v>5</v>
      </c>
      <c r="J703" s="5" t="s">
        <v>18</v>
      </c>
      <c r="K703" s="5" t="s">
        <v>19</v>
      </c>
      <c r="L703">
        <v>1199</v>
      </c>
      <c r="M703" s="5">
        <v>12</v>
      </c>
      <c r="N703" s="5" t="s">
        <v>1678</v>
      </c>
      <c r="O703" s="5" t="s">
        <v>1664</v>
      </c>
      <c r="P703">
        <v>1</v>
      </c>
      <c r="Q703" t="s">
        <v>1663</v>
      </c>
    </row>
    <row r="704" spans="1:18" x14ac:dyDescent="0.35">
      <c r="A704" s="5" t="s">
        <v>1264</v>
      </c>
      <c r="B704" s="6">
        <v>46150</v>
      </c>
      <c r="C704" s="5" t="s">
        <v>1225</v>
      </c>
      <c r="D704" s="5" t="s">
        <v>1295</v>
      </c>
      <c r="E704" s="5" t="s">
        <v>226</v>
      </c>
      <c r="F704" s="5" t="s">
        <v>17</v>
      </c>
      <c r="G704">
        <v>0.59027777777777779</v>
      </c>
      <c r="H704">
        <v>0.58680555555555558</v>
      </c>
      <c r="I704">
        <v>-4</v>
      </c>
      <c r="J704" s="5" t="s">
        <v>18</v>
      </c>
      <c r="K704" s="5" t="s">
        <v>19</v>
      </c>
      <c r="L704">
        <v>965</v>
      </c>
      <c r="M704" s="5">
        <v>-5</v>
      </c>
      <c r="N704" s="5" t="s">
        <v>1678</v>
      </c>
      <c r="O704" s="5" t="s">
        <v>1666</v>
      </c>
      <c r="P704">
        <v>1</v>
      </c>
      <c r="Q704" t="s">
        <v>1663</v>
      </c>
    </row>
    <row r="705" spans="1:18" x14ac:dyDescent="0.35">
      <c r="A705" s="5" t="s">
        <v>1265</v>
      </c>
      <c r="B705" s="6">
        <v>46150</v>
      </c>
      <c r="C705" s="5" t="s">
        <v>835</v>
      </c>
      <c r="D705" s="5" t="s">
        <v>1295</v>
      </c>
      <c r="E705" s="5" t="s">
        <v>79</v>
      </c>
      <c r="F705" s="5" t="s">
        <v>17</v>
      </c>
      <c r="G705">
        <v>0.67013888888888884</v>
      </c>
      <c r="H705">
        <v>0.6645833333333333</v>
      </c>
      <c r="I705">
        <v>1</v>
      </c>
      <c r="J705" s="5" t="s">
        <v>18</v>
      </c>
      <c r="K705" s="5" t="s">
        <v>19</v>
      </c>
      <c r="L705">
        <v>2134</v>
      </c>
      <c r="M705" s="5">
        <v>-8</v>
      </c>
      <c r="N705" s="5" t="s">
        <v>1678</v>
      </c>
      <c r="O705" s="5" t="s">
        <v>1666</v>
      </c>
      <c r="P705">
        <v>1</v>
      </c>
      <c r="Q705" t="s">
        <v>1663</v>
      </c>
    </row>
    <row r="706" spans="1:18" x14ac:dyDescent="0.35">
      <c r="A706" s="5" t="s">
        <v>1266</v>
      </c>
      <c r="B706" s="6">
        <v>46151</v>
      </c>
      <c r="C706" s="5" t="s">
        <v>670</v>
      </c>
      <c r="D706" s="5" t="s">
        <v>197</v>
      </c>
      <c r="E706" s="5" t="s">
        <v>588</v>
      </c>
      <c r="F706" s="5" t="s">
        <v>17</v>
      </c>
      <c r="G706">
        <v>0.42708333333333331</v>
      </c>
      <c r="H706">
        <v>0.43402777777777779</v>
      </c>
      <c r="I706">
        <v>13</v>
      </c>
      <c r="J706" s="5" t="s">
        <v>18</v>
      </c>
      <c r="K706" s="5" t="s">
        <v>19</v>
      </c>
      <c r="L706">
        <v>1389</v>
      </c>
      <c r="M706" s="5">
        <v>10</v>
      </c>
      <c r="N706" s="5" t="s">
        <v>1678</v>
      </c>
      <c r="O706" s="5" t="s">
        <v>1667</v>
      </c>
      <c r="P706">
        <v>1</v>
      </c>
      <c r="Q706" t="s">
        <v>1660</v>
      </c>
    </row>
    <row r="707" spans="1:18" x14ac:dyDescent="0.35">
      <c r="A707" s="5" t="s">
        <v>1267</v>
      </c>
      <c r="B707" s="6">
        <v>46151</v>
      </c>
      <c r="C707" s="5" t="s">
        <v>665</v>
      </c>
      <c r="D707" s="5" t="s">
        <v>1549</v>
      </c>
      <c r="E707" s="5" t="s">
        <v>588</v>
      </c>
      <c r="F707" s="5" t="s">
        <v>17</v>
      </c>
      <c r="G707">
        <v>0.61111111111111116</v>
      </c>
      <c r="H707">
        <v>0.60763888888888884</v>
      </c>
      <c r="I707">
        <v>2</v>
      </c>
      <c r="J707" s="5" t="s">
        <v>18</v>
      </c>
      <c r="K707" s="5" t="s">
        <v>19</v>
      </c>
      <c r="L707">
        <v>1559</v>
      </c>
      <c r="M707" s="5">
        <v>-5</v>
      </c>
      <c r="N707" s="5" t="s">
        <v>1678</v>
      </c>
      <c r="O707" s="5" t="s">
        <v>1667</v>
      </c>
      <c r="P707">
        <v>1</v>
      </c>
      <c r="Q707" t="s">
        <v>1663</v>
      </c>
    </row>
    <row r="708" spans="1:18" x14ac:dyDescent="0.35">
      <c r="A708" s="5" t="s">
        <v>1268</v>
      </c>
      <c r="B708" s="6">
        <v>46151</v>
      </c>
      <c r="C708" s="5" t="s">
        <v>859</v>
      </c>
      <c r="D708" s="5" t="s">
        <v>202</v>
      </c>
      <c r="E708" s="5" t="s">
        <v>588</v>
      </c>
      <c r="F708" s="5" t="s">
        <v>17</v>
      </c>
      <c r="G708">
        <v>0.70833333333333337</v>
      </c>
      <c r="H708">
        <v>0.73541666666666672</v>
      </c>
      <c r="I708">
        <v>41</v>
      </c>
      <c r="J708" s="5" t="s">
        <v>54</v>
      </c>
      <c r="K708" s="5" t="s">
        <v>19</v>
      </c>
      <c r="L708">
        <v>1120</v>
      </c>
      <c r="M708" s="5">
        <v>39</v>
      </c>
      <c r="N708" s="5" t="s">
        <v>1678</v>
      </c>
      <c r="O708" s="5" t="s">
        <v>1667</v>
      </c>
      <c r="P708">
        <v>0</v>
      </c>
      <c r="Q708" t="s">
        <v>1665</v>
      </c>
      <c r="R708" t="s">
        <v>1657</v>
      </c>
    </row>
    <row r="709" spans="1:18" x14ac:dyDescent="0.35">
      <c r="A709" s="5" t="s">
        <v>1269</v>
      </c>
      <c r="B709" s="6">
        <v>46152</v>
      </c>
      <c r="C709" s="5" t="s">
        <v>889</v>
      </c>
      <c r="D709" s="5" t="s">
        <v>1549</v>
      </c>
      <c r="E709" s="5" t="s">
        <v>1295</v>
      </c>
      <c r="F709" s="5" t="s">
        <v>24</v>
      </c>
      <c r="G709">
        <v>0.30208333333333331</v>
      </c>
      <c r="H709">
        <v>0.29722222222222222</v>
      </c>
      <c r="I709">
        <v>-14</v>
      </c>
      <c r="J709" s="5" t="s">
        <v>18</v>
      </c>
      <c r="K709" s="5" t="s">
        <v>19</v>
      </c>
      <c r="L709">
        <v>2698</v>
      </c>
      <c r="M709" s="5">
        <v>-7</v>
      </c>
      <c r="N709" s="5" t="s">
        <v>1678</v>
      </c>
      <c r="O709" s="5" t="s">
        <v>1668</v>
      </c>
      <c r="P709">
        <v>1</v>
      </c>
      <c r="Q709" t="s">
        <v>1660</v>
      </c>
    </row>
    <row r="710" spans="1:18" x14ac:dyDescent="0.35">
      <c r="A710" s="5" t="s">
        <v>1270</v>
      </c>
      <c r="B710" s="6">
        <v>46152</v>
      </c>
      <c r="C710" s="5" t="s">
        <v>355</v>
      </c>
      <c r="D710" s="5" t="s">
        <v>71</v>
      </c>
      <c r="E710" s="5" t="s">
        <v>1549</v>
      </c>
      <c r="F710" s="5" t="s">
        <v>38</v>
      </c>
      <c r="G710">
        <v>0.40972222222222221</v>
      </c>
      <c r="H710">
        <v>0.40694444444444439</v>
      </c>
      <c r="I710">
        <v>-6</v>
      </c>
      <c r="J710" s="5" t="s">
        <v>18</v>
      </c>
      <c r="K710" s="5" t="s">
        <v>19</v>
      </c>
      <c r="L710">
        <v>864</v>
      </c>
      <c r="M710" s="5">
        <v>-4</v>
      </c>
      <c r="N710" s="5" t="s">
        <v>1678</v>
      </c>
      <c r="O710" s="5" t="s">
        <v>1668</v>
      </c>
      <c r="P710">
        <v>1</v>
      </c>
      <c r="Q710" t="s">
        <v>1660</v>
      </c>
    </row>
    <row r="711" spans="1:18" x14ac:dyDescent="0.35">
      <c r="A711" s="5" t="s">
        <v>1271</v>
      </c>
      <c r="B711" s="6">
        <v>46152</v>
      </c>
      <c r="C711" s="5" t="s">
        <v>1272</v>
      </c>
      <c r="D711" s="5" t="s">
        <v>226</v>
      </c>
      <c r="E711" s="5" t="s">
        <v>588</v>
      </c>
      <c r="F711" s="5" t="s">
        <v>17</v>
      </c>
      <c r="G711">
        <v>0.63888888888888884</v>
      </c>
      <c r="H711">
        <v>0.66319444444444442</v>
      </c>
      <c r="I711">
        <v>36</v>
      </c>
      <c r="J711" s="5" t="s">
        <v>60</v>
      </c>
      <c r="K711" s="5" t="s">
        <v>19</v>
      </c>
      <c r="L711">
        <v>641</v>
      </c>
      <c r="M711" s="5">
        <v>35</v>
      </c>
      <c r="N711" s="5" t="s">
        <v>1678</v>
      </c>
      <c r="O711" s="5" t="s">
        <v>1668</v>
      </c>
      <c r="P711">
        <v>0</v>
      </c>
      <c r="Q711" t="s">
        <v>1663</v>
      </c>
      <c r="R711" t="s">
        <v>1657</v>
      </c>
    </row>
    <row r="712" spans="1:18" x14ac:dyDescent="0.35">
      <c r="A712" s="5" t="s">
        <v>1273</v>
      </c>
      <c r="B712" s="6">
        <v>46153</v>
      </c>
      <c r="C712" s="5" t="s">
        <v>1274</v>
      </c>
      <c r="D712" s="5" t="s">
        <v>197</v>
      </c>
      <c r="E712" s="5" t="s">
        <v>413</v>
      </c>
      <c r="F712" s="5" t="s">
        <v>24</v>
      </c>
      <c r="G712">
        <v>0.29166666666666669</v>
      </c>
      <c r="H712">
        <v>0.31180555555555561</v>
      </c>
      <c r="I712">
        <v>32</v>
      </c>
      <c r="J712" s="5" t="s">
        <v>54</v>
      </c>
      <c r="K712" s="5" t="s">
        <v>19</v>
      </c>
      <c r="L712">
        <v>2470</v>
      </c>
      <c r="M712" s="5">
        <v>29</v>
      </c>
      <c r="N712" s="5" t="s">
        <v>1678</v>
      </c>
      <c r="O712" s="5" t="s">
        <v>1659</v>
      </c>
      <c r="P712">
        <v>0</v>
      </c>
      <c r="Q712" t="s">
        <v>1660</v>
      </c>
      <c r="R712" t="s">
        <v>1657</v>
      </c>
    </row>
    <row r="713" spans="1:18" x14ac:dyDescent="0.35">
      <c r="A713" s="5" t="s">
        <v>1275</v>
      </c>
      <c r="B713" s="6">
        <v>46153</v>
      </c>
      <c r="C713" s="5" t="s">
        <v>454</v>
      </c>
      <c r="D713" s="5" t="s">
        <v>413</v>
      </c>
      <c r="E713" s="5" t="s">
        <v>79</v>
      </c>
      <c r="F713" s="5" t="s">
        <v>17</v>
      </c>
      <c r="G713">
        <v>0.61111111111111116</v>
      </c>
      <c r="H713">
        <v>0.6069444444444444</v>
      </c>
      <c r="I713">
        <v>-11</v>
      </c>
      <c r="J713" s="5" t="s">
        <v>18</v>
      </c>
      <c r="K713" s="5" t="s">
        <v>19</v>
      </c>
      <c r="L713">
        <v>1942</v>
      </c>
      <c r="M713" s="5">
        <v>-6</v>
      </c>
      <c r="N713" s="5" t="s">
        <v>1678</v>
      </c>
      <c r="O713" s="5" t="s">
        <v>1659</v>
      </c>
      <c r="P713">
        <v>1</v>
      </c>
      <c r="Q713" t="s">
        <v>1663</v>
      </c>
    </row>
    <row r="714" spans="1:18" x14ac:dyDescent="0.35">
      <c r="A714" s="5" t="s">
        <v>1276</v>
      </c>
      <c r="B714" s="6">
        <v>46154</v>
      </c>
      <c r="C714" s="5" t="s">
        <v>723</v>
      </c>
      <c r="D714" s="5" t="s">
        <v>202</v>
      </c>
      <c r="E714" s="5" t="s">
        <v>1171</v>
      </c>
      <c r="F714" s="5" t="s">
        <v>17</v>
      </c>
      <c r="G714">
        <v>0.43055555555555558</v>
      </c>
      <c r="H714">
        <v>0.42916666666666659</v>
      </c>
      <c r="I714">
        <v>-8</v>
      </c>
      <c r="J714" s="5" t="s">
        <v>18</v>
      </c>
      <c r="K714" s="5" t="s">
        <v>19</v>
      </c>
      <c r="L714">
        <v>1969</v>
      </c>
      <c r="M714" s="5">
        <v>-2</v>
      </c>
      <c r="N714" s="5" t="s">
        <v>1678</v>
      </c>
      <c r="O714" s="5" t="s">
        <v>1661</v>
      </c>
      <c r="P714">
        <v>1</v>
      </c>
      <c r="Q714" t="s">
        <v>1660</v>
      </c>
    </row>
    <row r="715" spans="1:18" x14ac:dyDescent="0.35">
      <c r="A715" s="5" t="s">
        <v>1277</v>
      </c>
      <c r="B715" s="6">
        <v>46154</v>
      </c>
      <c r="C715" s="5" t="s">
        <v>1278</v>
      </c>
      <c r="D715" s="5" t="s">
        <v>202</v>
      </c>
      <c r="E715" s="5" t="s">
        <v>1171</v>
      </c>
      <c r="F715" s="5" t="s">
        <v>24</v>
      </c>
      <c r="G715">
        <v>0.64583333333333337</v>
      </c>
      <c r="I715">
        <v>-4</v>
      </c>
      <c r="J715" s="5" t="s">
        <v>18</v>
      </c>
      <c r="K715" s="5" t="s">
        <v>19</v>
      </c>
      <c r="L715">
        <v>1969</v>
      </c>
      <c r="M715" s="5">
        <v>-2</v>
      </c>
      <c r="N715" s="5" t="s">
        <v>1678</v>
      </c>
      <c r="O715" s="5" t="s">
        <v>1661</v>
      </c>
      <c r="P715">
        <v>1</v>
      </c>
      <c r="Q715" t="s">
        <v>1663</v>
      </c>
    </row>
    <row r="716" spans="1:18" x14ac:dyDescent="0.35">
      <c r="A716" s="5" t="s">
        <v>1279</v>
      </c>
      <c r="B716" s="6">
        <v>46155</v>
      </c>
      <c r="C716" s="5" t="s">
        <v>146</v>
      </c>
      <c r="D716" s="5" t="s">
        <v>84</v>
      </c>
      <c r="E716" s="5" t="s">
        <v>1549</v>
      </c>
      <c r="F716" s="5" t="s">
        <v>17</v>
      </c>
      <c r="G716">
        <v>0.53472222222222221</v>
      </c>
      <c r="H716">
        <v>0.55625000000000002</v>
      </c>
      <c r="I716">
        <v>26</v>
      </c>
      <c r="J716" s="5" t="s">
        <v>60</v>
      </c>
      <c r="K716" s="5" t="s">
        <v>19</v>
      </c>
      <c r="L716">
        <v>2489</v>
      </c>
      <c r="M716" s="5">
        <v>31</v>
      </c>
      <c r="N716" s="5" t="s">
        <v>1678</v>
      </c>
      <c r="O716" s="5" t="s">
        <v>1662</v>
      </c>
      <c r="P716">
        <v>0</v>
      </c>
      <c r="Q716" t="s">
        <v>1663</v>
      </c>
      <c r="R716" t="s">
        <v>1657</v>
      </c>
    </row>
    <row r="717" spans="1:18" x14ac:dyDescent="0.35">
      <c r="A717" s="5" t="s">
        <v>1280</v>
      </c>
      <c r="B717" s="6">
        <v>46155</v>
      </c>
      <c r="C717" s="5" t="s">
        <v>768</v>
      </c>
      <c r="D717" s="5" t="s">
        <v>226</v>
      </c>
      <c r="E717" s="5" t="s">
        <v>84</v>
      </c>
      <c r="F717" s="5" t="s">
        <v>24</v>
      </c>
      <c r="G717">
        <v>0.73958333333333337</v>
      </c>
      <c r="H717">
        <v>0.74652777777777779</v>
      </c>
      <c r="I717">
        <v>10</v>
      </c>
      <c r="J717" s="5" t="s">
        <v>18</v>
      </c>
      <c r="K717" s="5" t="s">
        <v>19</v>
      </c>
      <c r="L717">
        <v>1023</v>
      </c>
      <c r="M717" s="5">
        <v>10</v>
      </c>
      <c r="N717" s="5" t="s">
        <v>1678</v>
      </c>
      <c r="O717" s="5" t="s">
        <v>1662</v>
      </c>
      <c r="P717">
        <v>1</v>
      </c>
      <c r="Q717" t="s">
        <v>1665</v>
      </c>
    </row>
    <row r="718" spans="1:18" x14ac:dyDescent="0.35">
      <c r="A718" s="5" t="s">
        <v>1281</v>
      </c>
      <c r="B718" s="6">
        <v>46155</v>
      </c>
      <c r="C718" s="5" t="s">
        <v>1060</v>
      </c>
      <c r="D718" s="5" t="s">
        <v>226</v>
      </c>
      <c r="E718" s="5" t="s">
        <v>197</v>
      </c>
      <c r="F718" s="5" t="s">
        <v>38</v>
      </c>
      <c r="G718">
        <v>0.74652777777777779</v>
      </c>
      <c r="H718">
        <v>0.75277777777777777</v>
      </c>
      <c r="I718">
        <v>15</v>
      </c>
      <c r="J718" s="5" t="s">
        <v>18</v>
      </c>
      <c r="K718" s="5" t="s">
        <v>19</v>
      </c>
      <c r="L718">
        <v>1622</v>
      </c>
      <c r="M718" s="5">
        <v>9</v>
      </c>
      <c r="N718" s="5" t="s">
        <v>1678</v>
      </c>
      <c r="O718" s="5" t="s">
        <v>1662</v>
      </c>
      <c r="P718">
        <v>1</v>
      </c>
      <c r="Q718" t="s">
        <v>1665</v>
      </c>
    </row>
    <row r="719" spans="1:18" x14ac:dyDescent="0.35">
      <c r="A719" s="5" t="s">
        <v>1282</v>
      </c>
      <c r="B719" s="6">
        <v>46156</v>
      </c>
      <c r="C719" s="5" t="s">
        <v>1283</v>
      </c>
      <c r="D719" s="5" t="s">
        <v>71</v>
      </c>
      <c r="E719" s="5" t="s">
        <v>546</v>
      </c>
      <c r="F719" s="5" t="s">
        <v>28</v>
      </c>
      <c r="G719">
        <v>0.39583333333333331</v>
      </c>
      <c r="H719">
        <v>0.39791666666666659</v>
      </c>
      <c r="I719">
        <v>-5</v>
      </c>
      <c r="J719" s="5" t="s">
        <v>18</v>
      </c>
      <c r="K719" s="5" t="s">
        <v>19</v>
      </c>
      <c r="L719">
        <v>1511</v>
      </c>
      <c r="M719" s="5">
        <v>3</v>
      </c>
      <c r="N719" s="5" t="s">
        <v>1678</v>
      </c>
      <c r="O719" s="5" t="s">
        <v>1664</v>
      </c>
      <c r="P719">
        <v>1</v>
      </c>
      <c r="Q719" t="s">
        <v>1660</v>
      </c>
    </row>
    <row r="720" spans="1:18" x14ac:dyDescent="0.35">
      <c r="A720" s="5" t="s">
        <v>1284</v>
      </c>
      <c r="B720" s="6">
        <v>46157</v>
      </c>
      <c r="C720" s="5" t="s">
        <v>1285</v>
      </c>
      <c r="D720" s="5" t="s">
        <v>588</v>
      </c>
      <c r="E720" s="5" t="s">
        <v>1295</v>
      </c>
      <c r="F720" s="5" t="s">
        <v>28</v>
      </c>
      <c r="G720">
        <v>0.5625</v>
      </c>
      <c r="H720">
        <v>0.56111111111111112</v>
      </c>
      <c r="I720">
        <v>0</v>
      </c>
      <c r="J720" s="5" t="s">
        <v>18</v>
      </c>
      <c r="K720" s="5" t="s">
        <v>19</v>
      </c>
      <c r="L720">
        <v>1462</v>
      </c>
      <c r="M720" s="5">
        <v>-2</v>
      </c>
      <c r="N720" s="5" t="s">
        <v>1678</v>
      </c>
      <c r="O720" s="5" t="s">
        <v>1666</v>
      </c>
      <c r="P720">
        <v>1</v>
      </c>
      <c r="Q720" t="s">
        <v>1663</v>
      </c>
    </row>
    <row r="721" spans="1:18" x14ac:dyDescent="0.35">
      <c r="A721" s="5" t="s">
        <v>1286</v>
      </c>
      <c r="B721" s="6">
        <v>46157</v>
      </c>
      <c r="C721" s="5" t="s">
        <v>1287</v>
      </c>
      <c r="D721" s="5" t="s">
        <v>588</v>
      </c>
      <c r="E721" s="5" t="s">
        <v>546</v>
      </c>
      <c r="F721" s="5" t="s">
        <v>17</v>
      </c>
      <c r="G721">
        <v>0.66319444444444442</v>
      </c>
      <c r="H721">
        <v>0.67013888888888884</v>
      </c>
      <c r="I721">
        <v>7</v>
      </c>
      <c r="J721" s="5" t="s">
        <v>18</v>
      </c>
      <c r="K721" s="5" t="s">
        <v>19</v>
      </c>
      <c r="L721">
        <v>1053</v>
      </c>
      <c r="M721" s="5">
        <v>10</v>
      </c>
      <c r="N721" s="5" t="s">
        <v>1678</v>
      </c>
      <c r="O721" s="5" t="s">
        <v>1666</v>
      </c>
      <c r="P721">
        <v>1</v>
      </c>
      <c r="Q721" t="s">
        <v>1663</v>
      </c>
    </row>
    <row r="722" spans="1:18" x14ac:dyDescent="0.35">
      <c r="A722" s="5" t="s">
        <v>1288</v>
      </c>
      <c r="B722" s="6">
        <v>46158</v>
      </c>
      <c r="C722" s="5" t="s">
        <v>171</v>
      </c>
      <c r="D722" s="5" t="s">
        <v>79</v>
      </c>
      <c r="E722" s="5" t="s">
        <v>71</v>
      </c>
      <c r="F722" s="5" t="s">
        <v>24</v>
      </c>
      <c r="G722">
        <v>0.4513888888888889</v>
      </c>
      <c r="H722">
        <v>0.45347222222222222</v>
      </c>
      <c r="I722">
        <v>3</v>
      </c>
      <c r="J722" s="5" t="s">
        <v>18</v>
      </c>
      <c r="K722" s="5" t="s">
        <v>19</v>
      </c>
      <c r="L722">
        <v>606</v>
      </c>
      <c r="M722" s="5">
        <v>3</v>
      </c>
      <c r="N722" s="5" t="s">
        <v>1678</v>
      </c>
      <c r="O722" s="5" t="s">
        <v>1667</v>
      </c>
      <c r="P722">
        <v>1</v>
      </c>
      <c r="Q722" t="s">
        <v>1660</v>
      </c>
    </row>
    <row r="723" spans="1:18" x14ac:dyDescent="0.35">
      <c r="A723" s="5" t="s">
        <v>1289</v>
      </c>
      <c r="B723" s="6">
        <v>46158</v>
      </c>
      <c r="C723" s="5" t="s">
        <v>383</v>
      </c>
      <c r="D723" s="5" t="s">
        <v>71</v>
      </c>
      <c r="E723" s="5" t="s">
        <v>84</v>
      </c>
      <c r="F723" s="5" t="s">
        <v>17</v>
      </c>
      <c r="G723">
        <v>0.67361111111111116</v>
      </c>
      <c r="H723">
        <v>0.68472222222222223</v>
      </c>
      <c r="I723">
        <v>13</v>
      </c>
      <c r="J723" s="5" t="s">
        <v>54</v>
      </c>
      <c r="K723" s="5" t="s">
        <v>19</v>
      </c>
      <c r="L723">
        <v>1717</v>
      </c>
      <c r="M723" s="5">
        <v>16</v>
      </c>
      <c r="N723" s="5" t="s">
        <v>1678</v>
      </c>
      <c r="O723" s="5" t="s">
        <v>1667</v>
      </c>
      <c r="P723">
        <v>1</v>
      </c>
      <c r="Q723" t="s">
        <v>1663</v>
      </c>
      <c r="R723" t="s">
        <v>1657</v>
      </c>
    </row>
    <row r="724" spans="1:18" x14ac:dyDescent="0.35">
      <c r="A724" s="5" t="s">
        <v>1290</v>
      </c>
      <c r="B724" s="6">
        <v>46160</v>
      </c>
      <c r="C724" s="5" t="s">
        <v>430</v>
      </c>
      <c r="D724" s="5" t="s">
        <v>1549</v>
      </c>
      <c r="E724" s="5" t="s">
        <v>197</v>
      </c>
      <c r="F724" s="5" t="s">
        <v>17</v>
      </c>
      <c r="G724">
        <v>0.3923611111111111</v>
      </c>
      <c r="H724">
        <v>0.38750000000000001</v>
      </c>
      <c r="I724">
        <v>-11</v>
      </c>
      <c r="J724" s="5" t="s">
        <v>18</v>
      </c>
      <c r="K724" s="5" t="s">
        <v>19</v>
      </c>
      <c r="L724">
        <v>186</v>
      </c>
      <c r="M724" s="5">
        <v>-7</v>
      </c>
      <c r="N724" s="5" t="s">
        <v>1678</v>
      </c>
      <c r="O724" s="5" t="s">
        <v>1659</v>
      </c>
      <c r="P724">
        <v>1</v>
      </c>
      <c r="Q724" t="s">
        <v>1660</v>
      </c>
    </row>
    <row r="725" spans="1:18" x14ac:dyDescent="0.35">
      <c r="A725" s="5" t="s">
        <v>1291</v>
      </c>
      <c r="B725" s="6">
        <v>46160</v>
      </c>
      <c r="C725" s="5" t="s">
        <v>723</v>
      </c>
      <c r="D725" s="5" t="s">
        <v>197</v>
      </c>
      <c r="E725" s="5" t="s">
        <v>588</v>
      </c>
      <c r="F725" s="5" t="s">
        <v>17</v>
      </c>
      <c r="G725">
        <v>0.69444444444444442</v>
      </c>
      <c r="H725">
        <v>0.69097222222222221</v>
      </c>
      <c r="I725">
        <v>3</v>
      </c>
      <c r="J725" s="5" t="s">
        <v>18</v>
      </c>
      <c r="K725" s="5" t="s">
        <v>19</v>
      </c>
      <c r="L725">
        <v>1389</v>
      </c>
      <c r="M725" s="5">
        <v>-5</v>
      </c>
      <c r="N725" s="5" t="s">
        <v>1678</v>
      </c>
      <c r="O725" s="5" t="s">
        <v>1659</v>
      </c>
      <c r="P725">
        <v>1</v>
      </c>
      <c r="Q725" t="s">
        <v>1663</v>
      </c>
    </row>
    <row r="726" spans="1:18" x14ac:dyDescent="0.35">
      <c r="A726" s="5" t="s">
        <v>1292</v>
      </c>
      <c r="B726" s="6">
        <v>46160</v>
      </c>
      <c r="C726" s="5" t="s">
        <v>228</v>
      </c>
      <c r="D726" s="5" t="s">
        <v>202</v>
      </c>
      <c r="E726" s="5" t="s">
        <v>71</v>
      </c>
      <c r="F726" s="5" t="s">
        <v>17</v>
      </c>
      <c r="G726">
        <v>0.85416666666666663</v>
      </c>
      <c r="H726">
        <v>0.90277777777777779</v>
      </c>
      <c r="I726">
        <v>61</v>
      </c>
      <c r="J726" s="5" t="s">
        <v>60</v>
      </c>
      <c r="K726" s="5" t="s">
        <v>19</v>
      </c>
      <c r="L726">
        <v>1199</v>
      </c>
      <c r="M726" s="5">
        <v>70</v>
      </c>
      <c r="N726" s="5" t="s">
        <v>1678</v>
      </c>
      <c r="O726" s="5" t="s">
        <v>1659</v>
      </c>
      <c r="P726">
        <v>0</v>
      </c>
      <c r="Q726" t="s">
        <v>1665</v>
      </c>
      <c r="R726" t="s">
        <v>1657</v>
      </c>
    </row>
    <row r="727" spans="1:18" x14ac:dyDescent="0.35">
      <c r="A727" s="5" t="s">
        <v>1293</v>
      </c>
      <c r="B727" s="6">
        <v>46161</v>
      </c>
      <c r="C727" s="5" t="s">
        <v>1294</v>
      </c>
      <c r="D727" s="5" t="s">
        <v>1295</v>
      </c>
      <c r="E727" s="5" t="s">
        <v>588</v>
      </c>
      <c r="F727" s="5" t="s">
        <v>28</v>
      </c>
      <c r="G727">
        <v>0.35069444444444442</v>
      </c>
      <c r="H727">
        <v>0.37916666666666671</v>
      </c>
      <c r="I727">
        <v>27</v>
      </c>
      <c r="J727" s="5" t="s">
        <v>60</v>
      </c>
      <c r="K727" s="5" t="s">
        <v>19</v>
      </c>
      <c r="L727">
        <v>1462</v>
      </c>
      <c r="M727" s="5">
        <v>41</v>
      </c>
      <c r="N727" s="5" t="s">
        <v>1678</v>
      </c>
      <c r="O727" s="5" t="s">
        <v>1661</v>
      </c>
      <c r="P727">
        <v>0</v>
      </c>
      <c r="Q727" t="s">
        <v>1660</v>
      </c>
      <c r="R727" t="s">
        <v>1657</v>
      </c>
    </row>
    <row r="728" spans="1:18" x14ac:dyDescent="0.35">
      <c r="A728" s="5" t="s">
        <v>1296</v>
      </c>
      <c r="B728" s="6">
        <v>46161</v>
      </c>
      <c r="C728" s="5" t="s">
        <v>986</v>
      </c>
      <c r="D728" s="5" t="s">
        <v>1295</v>
      </c>
      <c r="E728" s="5" t="s">
        <v>413</v>
      </c>
      <c r="F728" s="5" t="s">
        <v>24</v>
      </c>
      <c r="G728">
        <v>0.4236111111111111</v>
      </c>
      <c r="H728">
        <v>0.41805555555555562</v>
      </c>
      <c r="I728">
        <v>1</v>
      </c>
      <c r="J728" s="5" t="s">
        <v>18</v>
      </c>
      <c r="K728" s="5" t="s">
        <v>19</v>
      </c>
      <c r="L728">
        <v>338</v>
      </c>
      <c r="M728" s="5">
        <v>-8</v>
      </c>
      <c r="N728" s="5" t="s">
        <v>1678</v>
      </c>
      <c r="O728" s="5" t="s">
        <v>1661</v>
      </c>
      <c r="P728">
        <v>1</v>
      </c>
      <c r="Q728" t="s">
        <v>1660</v>
      </c>
    </row>
    <row r="729" spans="1:18" x14ac:dyDescent="0.35">
      <c r="A729" s="5" t="s">
        <v>1297</v>
      </c>
      <c r="B729" s="6">
        <v>46161</v>
      </c>
      <c r="C729" s="5" t="s">
        <v>412</v>
      </c>
      <c r="D729" s="5" t="s">
        <v>588</v>
      </c>
      <c r="E729" s="5" t="s">
        <v>71</v>
      </c>
      <c r="F729" s="5" t="s">
        <v>17</v>
      </c>
      <c r="G729">
        <v>0.56597222222222221</v>
      </c>
      <c r="H729">
        <v>0.56458333333333333</v>
      </c>
      <c r="I729">
        <v>6</v>
      </c>
      <c r="J729" s="5" t="s">
        <v>18</v>
      </c>
      <c r="K729" s="5" t="s">
        <v>19</v>
      </c>
      <c r="L729">
        <v>802</v>
      </c>
      <c r="M729" s="5">
        <v>-2</v>
      </c>
      <c r="N729" s="5" t="s">
        <v>1678</v>
      </c>
      <c r="O729" s="5" t="s">
        <v>1661</v>
      </c>
      <c r="P729">
        <v>1</v>
      </c>
      <c r="Q729" t="s">
        <v>1663</v>
      </c>
    </row>
    <row r="730" spans="1:18" x14ac:dyDescent="0.35">
      <c r="A730" s="5" t="s">
        <v>1298</v>
      </c>
      <c r="B730" s="6">
        <v>46162</v>
      </c>
      <c r="C730" s="5" t="s">
        <v>1299</v>
      </c>
      <c r="D730" s="5" t="s">
        <v>71</v>
      </c>
      <c r="E730" s="5" t="s">
        <v>1171</v>
      </c>
      <c r="F730" s="5" t="s">
        <v>38</v>
      </c>
      <c r="G730">
        <v>0.34722222222222221</v>
      </c>
      <c r="H730">
        <v>0.37569444444444439</v>
      </c>
      <c r="I730">
        <v>39</v>
      </c>
      <c r="J730" s="5" t="s">
        <v>54</v>
      </c>
      <c r="K730" s="5" t="s">
        <v>19</v>
      </c>
      <c r="L730">
        <v>1438</v>
      </c>
      <c r="M730" s="5">
        <v>41</v>
      </c>
      <c r="N730" s="5" t="s">
        <v>1678</v>
      </c>
      <c r="O730" s="5" t="s">
        <v>1662</v>
      </c>
      <c r="P730">
        <v>0</v>
      </c>
      <c r="Q730" t="s">
        <v>1660</v>
      </c>
      <c r="R730" t="s">
        <v>1657</v>
      </c>
    </row>
    <row r="731" spans="1:18" x14ac:dyDescent="0.35">
      <c r="A731" s="5" t="s">
        <v>1300</v>
      </c>
      <c r="B731" s="6">
        <v>46162</v>
      </c>
      <c r="C731" s="5" t="s">
        <v>1301</v>
      </c>
      <c r="D731" s="5" t="s">
        <v>71</v>
      </c>
      <c r="E731" s="5" t="s">
        <v>1295</v>
      </c>
      <c r="F731" s="5" t="s">
        <v>38</v>
      </c>
      <c r="G731">
        <v>0.53819444444444442</v>
      </c>
      <c r="H731">
        <v>0.54027777777777775</v>
      </c>
      <c r="I731">
        <v>-5</v>
      </c>
      <c r="J731" s="5" t="s">
        <v>18</v>
      </c>
      <c r="K731" s="5" t="s">
        <v>19</v>
      </c>
      <c r="L731">
        <v>1842</v>
      </c>
      <c r="M731" s="5">
        <v>3</v>
      </c>
      <c r="N731" s="5" t="s">
        <v>1678</v>
      </c>
      <c r="O731" s="5" t="s">
        <v>1662</v>
      </c>
      <c r="P731">
        <v>1</v>
      </c>
      <c r="Q731" t="s">
        <v>1663</v>
      </c>
    </row>
    <row r="732" spans="1:18" x14ac:dyDescent="0.35">
      <c r="A732" s="5" t="s">
        <v>1302</v>
      </c>
      <c r="B732" s="6">
        <v>46163</v>
      </c>
      <c r="C732" s="5" t="s">
        <v>1233</v>
      </c>
      <c r="D732" s="5" t="s">
        <v>226</v>
      </c>
      <c r="E732" s="5" t="s">
        <v>197</v>
      </c>
      <c r="F732" s="5" t="s">
        <v>28</v>
      </c>
      <c r="G732">
        <v>0.28819444444444442</v>
      </c>
      <c r="H732">
        <v>0.31944444444444442</v>
      </c>
      <c r="I732">
        <v>31</v>
      </c>
      <c r="J732" s="5" t="s">
        <v>54</v>
      </c>
      <c r="K732" s="5" t="s">
        <v>19</v>
      </c>
      <c r="L732">
        <v>1622</v>
      </c>
      <c r="M732" s="5">
        <v>45</v>
      </c>
      <c r="N732" s="5" t="s">
        <v>1678</v>
      </c>
      <c r="O732" s="5" t="s">
        <v>1664</v>
      </c>
      <c r="P732">
        <v>0</v>
      </c>
      <c r="Q732" t="s">
        <v>1660</v>
      </c>
      <c r="R732" t="s">
        <v>1657</v>
      </c>
    </row>
    <row r="733" spans="1:18" x14ac:dyDescent="0.35">
      <c r="A733" s="5" t="s">
        <v>1303</v>
      </c>
      <c r="B733" s="6">
        <v>46163</v>
      </c>
      <c r="C733" s="5" t="s">
        <v>1304</v>
      </c>
      <c r="D733" s="5" t="s">
        <v>84</v>
      </c>
      <c r="E733" s="5" t="s">
        <v>79</v>
      </c>
      <c r="F733" s="5" t="s">
        <v>17</v>
      </c>
      <c r="G733">
        <v>0.30555555555555558</v>
      </c>
      <c r="H733">
        <v>0.32708333333333328</v>
      </c>
      <c r="I733">
        <v>25</v>
      </c>
      <c r="J733" s="5" t="s">
        <v>60</v>
      </c>
      <c r="K733" s="5" t="s">
        <v>19</v>
      </c>
      <c r="L733">
        <v>2178</v>
      </c>
      <c r="M733" s="5">
        <v>31</v>
      </c>
      <c r="N733" s="5" t="s">
        <v>1678</v>
      </c>
      <c r="O733" s="5" t="s">
        <v>1664</v>
      </c>
      <c r="P733">
        <v>0</v>
      </c>
      <c r="Q733" t="s">
        <v>1660</v>
      </c>
      <c r="R733" t="s">
        <v>1657</v>
      </c>
    </row>
    <row r="734" spans="1:18" x14ac:dyDescent="0.35">
      <c r="A734" s="5" t="s">
        <v>1305</v>
      </c>
      <c r="B734" s="6">
        <v>46163</v>
      </c>
      <c r="C734" s="5" t="s">
        <v>1019</v>
      </c>
      <c r="D734" s="5" t="s">
        <v>71</v>
      </c>
      <c r="E734" s="5" t="s">
        <v>588</v>
      </c>
      <c r="F734" s="5" t="s">
        <v>24</v>
      </c>
      <c r="G734">
        <v>0.46875</v>
      </c>
      <c r="H734">
        <v>0.47638888888888892</v>
      </c>
      <c r="I734">
        <v>13</v>
      </c>
      <c r="J734" s="5" t="s">
        <v>18</v>
      </c>
      <c r="K734" s="5" t="s">
        <v>19</v>
      </c>
      <c r="L734">
        <v>802</v>
      </c>
      <c r="M734" s="5">
        <v>11</v>
      </c>
      <c r="N734" s="5" t="s">
        <v>1678</v>
      </c>
      <c r="O734" s="5" t="s">
        <v>1664</v>
      </c>
      <c r="P734">
        <v>1</v>
      </c>
      <c r="Q734" t="s">
        <v>1660</v>
      </c>
    </row>
    <row r="735" spans="1:18" x14ac:dyDescent="0.35">
      <c r="A735" s="5" t="s">
        <v>1306</v>
      </c>
      <c r="B735" s="6">
        <v>46163</v>
      </c>
      <c r="C735" s="5" t="s">
        <v>1307</v>
      </c>
      <c r="D735" s="5" t="s">
        <v>84</v>
      </c>
      <c r="E735" s="5" t="s">
        <v>79</v>
      </c>
      <c r="F735" s="5" t="s">
        <v>17</v>
      </c>
      <c r="G735">
        <v>0.53472222222222221</v>
      </c>
      <c r="H735">
        <v>0.57499999999999996</v>
      </c>
      <c r="J735" s="5" t="s">
        <v>129</v>
      </c>
      <c r="K735" s="5" t="s">
        <v>19</v>
      </c>
      <c r="L735">
        <v>2178</v>
      </c>
      <c r="M735" s="5">
        <v>58</v>
      </c>
      <c r="N735" s="5" t="s">
        <v>1678</v>
      </c>
      <c r="O735" s="5" t="s">
        <v>1664</v>
      </c>
      <c r="Q735" t="s">
        <v>1663</v>
      </c>
      <c r="R735" t="s">
        <v>1670</v>
      </c>
    </row>
    <row r="736" spans="1:18" x14ac:dyDescent="0.35">
      <c r="A736" s="5" t="s">
        <v>1308</v>
      </c>
      <c r="B736" s="6">
        <v>46163</v>
      </c>
      <c r="C736" s="5" t="s">
        <v>470</v>
      </c>
      <c r="D736" s="5" t="s">
        <v>71</v>
      </c>
      <c r="E736" s="5" t="s">
        <v>588</v>
      </c>
      <c r="F736" s="5" t="s">
        <v>28</v>
      </c>
      <c r="G736">
        <v>0.57986111111111116</v>
      </c>
      <c r="H736">
        <v>0.57777777777777772</v>
      </c>
      <c r="I736">
        <v>-5</v>
      </c>
      <c r="J736" s="5" t="s">
        <v>18</v>
      </c>
      <c r="K736" s="5" t="s">
        <v>19</v>
      </c>
      <c r="L736">
        <v>802</v>
      </c>
      <c r="M736" s="5">
        <v>-3</v>
      </c>
      <c r="N736" s="5" t="s">
        <v>1678</v>
      </c>
      <c r="O736" s="5" t="s">
        <v>1664</v>
      </c>
      <c r="P736">
        <v>1</v>
      </c>
      <c r="Q736" t="s">
        <v>1663</v>
      </c>
    </row>
    <row r="737" spans="1:18" x14ac:dyDescent="0.35">
      <c r="A737" s="5" t="s">
        <v>1309</v>
      </c>
      <c r="B737" s="6">
        <v>46163</v>
      </c>
      <c r="C737" s="5" t="s">
        <v>361</v>
      </c>
      <c r="D737" s="5" t="s">
        <v>197</v>
      </c>
      <c r="E737" s="5" t="s">
        <v>1549</v>
      </c>
      <c r="F737" s="5" t="s">
        <v>38</v>
      </c>
      <c r="G737">
        <v>0.71527777777777779</v>
      </c>
      <c r="H737">
        <v>0.70972222222222225</v>
      </c>
      <c r="I737">
        <v>-14</v>
      </c>
      <c r="J737" s="5" t="s">
        <v>18</v>
      </c>
      <c r="K737" s="5" t="s">
        <v>19</v>
      </c>
      <c r="L737">
        <v>186</v>
      </c>
      <c r="M737" s="5">
        <v>-8</v>
      </c>
      <c r="N737" s="5" t="s">
        <v>1678</v>
      </c>
      <c r="O737" s="5" t="s">
        <v>1664</v>
      </c>
      <c r="P737">
        <v>1</v>
      </c>
      <c r="Q737" t="s">
        <v>1665</v>
      </c>
    </row>
    <row r="738" spans="1:18" x14ac:dyDescent="0.35">
      <c r="A738" s="5" t="s">
        <v>1310</v>
      </c>
      <c r="B738" s="6">
        <v>46163</v>
      </c>
      <c r="C738" s="5" t="s">
        <v>1311</v>
      </c>
      <c r="D738" s="5" t="s">
        <v>197</v>
      </c>
      <c r="E738" s="5" t="s">
        <v>1295</v>
      </c>
      <c r="F738" s="5" t="s">
        <v>17</v>
      </c>
      <c r="G738">
        <v>0.875</v>
      </c>
      <c r="H738">
        <v>0.88055555555555554</v>
      </c>
      <c r="I738">
        <v>4</v>
      </c>
      <c r="J738" s="5" t="s">
        <v>18</v>
      </c>
      <c r="K738" s="5" t="s">
        <v>19</v>
      </c>
      <c r="L738">
        <v>2580</v>
      </c>
      <c r="M738" s="5">
        <v>8</v>
      </c>
      <c r="N738" s="5" t="s">
        <v>1678</v>
      </c>
      <c r="O738" s="5" t="s">
        <v>1664</v>
      </c>
      <c r="P738">
        <v>1</v>
      </c>
      <c r="Q738" t="s">
        <v>1669</v>
      </c>
    </row>
    <row r="739" spans="1:18" x14ac:dyDescent="0.35">
      <c r="A739" s="5" t="s">
        <v>1312</v>
      </c>
      <c r="B739" s="6">
        <v>46165</v>
      </c>
      <c r="C739" s="5" t="s">
        <v>1313</v>
      </c>
      <c r="D739" s="5" t="s">
        <v>546</v>
      </c>
      <c r="E739" s="5" t="s">
        <v>226</v>
      </c>
      <c r="F739" s="5" t="s">
        <v>28</v>
      </c>
      <c r="G739">
        <v>0.37847222222222221</v>
      </c>
      <c r="H739">
        <v>0.43472222222222218</v>
      </c>
      <c r="I739">
        <v>70</v>
      </c>
      <c r="J739" s="5" t="s">
        <v>54</v>
      </c>
      <c r="K739" s="5" t="s">
        <v>19</v>
      </c>
      <c r="L739">
        <v>627</v>
      </c>
      <c r="M739" s="5">
        <v>81</v>
      </c>
      <c r="N739" s="5" t="s">
        <v>1678</v>
      </c>
      <c r="O739" s="5" t="s">
        <v>1667</v>
      </c>
      <c r="P739">
        <v>0</v>
      </c>
      <c r="Q739" t="s">
        <v>1660</v>
      </c>
      <c r="R739" t="s">
        <v>1657</v>
      </c>
    </row>
    <row r="740" spans="1:18" x14ac:dyDescent="0.35">
      <c r="A740" s="5" t="s">
        <v>1314</v>
      </c>
      <c r="B740" s="6">
        <v>46165</v>
      </c>
      <c r="C740" s="5" t="s">
        <v>1315</v>
      </c>
      <c r="D740" s="5" t="s">
        <v>79</v>
      </c>
      <c r="E740" s="5" t="s">
        <v>546</v>
      </c>
      <c r="F740" s="5" t="s">
        <v>17</v>
      </c>
      <c r="G740">
        <v>0.51041666666666663</v>
      </c>
      <c r="H740">
        <v>0.51249999999999996</v>
      </c>
      <c r="I740">
        <v>-5</v>
      </c>
      <c r="J740" s="5" t="s">
        <v>18</v>
      </c>
      <c r="K740" s="5" t="s">
        <v>19</v>
      </c>
      <c r="L740">
        <v>1743</v>
      </c>
      <c r="M740" s="5">
        <v>3</v>
      </c>
      <c r="N740" s="5" t="s">
        <v>1678</v>
      </c>
      <c r="O740" s="5" t="s">
        <v>1667</v>
      </c>
      <c r="P740">
        <v>1</v>
      </c>
      <c r="Q740" t="s">
        <v>1663</v>
      </c>
    </row>
    <row r="741" spans="1:18" x14ac:dyDescent="0.35">
      <c r="A741" s="5" t="s">
        <v>1316</v>
      </c>
      <c r="B741" s="6">
        <v>46165</v>
      </c>
      <c r="C741" s="5" t="s">
        <v>49</v>
      </c>
      <c r="D741" s="5" t="s">
        <v>79</v>
      </c>
      <c r="E741" s="5" t="s">
        <v>84</v>
      </c>
      <c r="F741" s="5" t="s">
        <v>17</v>
      </c>
      <c r="G741">
        <v>0.52430555555555558</v>
      </c>
      <c r="H741">
        <v>0.53611111111111109</v>
      </c>
      <c r="I741">
        <v>21</v>
      </c>
      <c r="J741" s="5" t="s">
        <v>54</v>
      </c>
      <c r="K741" s="5" t="s">
        <v>19</v>
      </c>
      <c r="L741">
        <v>2178</v>
      </c>
      <c r="M741" s="5">
        <v>17</v>
      </c>
      <c r="N741" s="5" t="s">
        <v>1678</v>
      </c>
      <c r="O741" s="5" t="s">
        <v>1667</v>
      </c>
      <c r="P741">
        <v>0</v>
      </c>
      <c r="Q741" t="s">
        <v>1663</v>
      </c>
      <c r="R741" t="s">
        <v>1657</v>
      </c>
    </row>
    <row r="742" spans="1:18" x14ac:dyDescent="0.35">
      <c r="A742" s="5" t="s">
        <v>1317</v>
      </c>
      <c r="B742" s="6">
        <v>46165</v>
      </c>
      <c r="C742" s="5" t="s">
        <v>677</v>
      </c>
      <c r="D742" s="5" t="s">
        <v>202</v>
      </c>
      <c r="E742" s="5" t="s">
        <v>197</v>
      </c>
      <c r="F742" s="5" t="s">
        <v>17</v>
      </c>
      <c r="G742">
        <v>0.62152777777777779</v>
      </c>
      <c r="H742">
        <v>0.6166666666666667</v>
      </c>
      <c r="I742">
        <v>1</v>
      </c>
      <c r="J742" s="5" t="s">
        <v>18</v>
      </c>
      <c r="K742" s="5" t="s">
        <v>19</v>
      </c>
      <c r="L742">
        <v>1092</v>
      </c>
      <c r="M742" s="5">
        <v>-7</v>
      </c>
      <c r="N742" s="5" t="s">
        <v>1678</v>
      </c>
      <c r="O742" s="5" t="s">
        <v>1667</v>
      </c>
      <c r="P742">
        <v>1</v>
      </c>
      <c r="Q742" t="s">
        <v>1663</v>
      </c>
    </row>
    <row r="743" spans="1:18" x14ac:dyDescent="0.35">
      <c r="A743" s="5" t="s">
        <v>1318</v>
      </c>
      <c r="B743" s="6">
        <v>46165</v>
      </c>
      <c r="C743" s="5" t="s">
        <v>49</v>
      </c>
      <c r="D743" s="5" t="s">
        <v>546</v>
      </c>
      <c r="E743" s="5" t="s">
        <v>226</v>
      </c>
      <c r="F743" s="5" t="s">
        <v>17</v>
      </c>
      <c r="G743">
        <v>0.71180555555555558</v>
      </c>
      <c r="H743">
        <v>0.71736111111111112</v>
      </c>
      <c r="I743">
        <v>15</v>
      </c>
      <c r="J743" s="5" t="s">
        <v>18</v>
      </c>
      <c r="K743" s="5" t="s">
        <v>19</v>
      </c>
      <c r="L743">
        <v>627</v>
      </c>
      <c r="M743" s="5">
        <v>8</v>
      </c>
      <c r="N743" s="5" t="s">
        <v>1678</v>
      </c>
      <c r="O743" s="5" t="s">
        <v>1667</v>
      </c>
      <c r="P743">
        <v>1</v>
      </c>
      <c r="Q743" t="s">
        <v>1665</v>
      </c>
    </row>
    <row r="744" spans="1:18" x14ac:dyDescent="0.35">
      <c r="A744" s="5" t="s">
        <v>1319</v>
      </c>
      <c r="B744" s="6">
        <v>46167</v>
      </c>
      <c r="C744" s="5" t="s">
        <v>218</v>
      </c>
      <c r="D744" s="5" t="s">
        <v>1295</v>
      </c>
      <c r="E744" s="5" t="s">
        <v>1171</v>
      </c>
      <c r="F744" s="5" t="s">
        <v>24</v>
      </c>
      <c r="G744">
        <v>0.2951388888888889</v>
      </c>
      <c r="H744">
        <v>0.33680555555555558</v>
      </c>
      <c r="I744">
        <v>65</v>
      </c>
      <c r="J744" s="5" t="s">
        <v>60</v>
      </c>
      <c r="K744" s="5" t="s">
        <v>19</v>
      </c>
      <c r="L744">
        <v>651</v>
      </c>
      <c r="M744" s="5">
        <v>60</v>
      </c>
      <c r="N744" s="5" t="s">
        <v>1678</v>
      </c>
      <c r="O744" s="5" t="s">
        <v>1659</v>
      </c>
      <c r="P744">
        <v>0</v>
      </c>
      <c r="Q744" t="s">
        <v>1660</v>
      </c>
      <c r="R744" t="s">
        <v>1657</v>
      </c>
    </row>
    <row r="745" spans="1:18" x14ac:dyDescent="0.35">
      <c r="A745" s="5" t="s">
        <v>1320</v>
      </c>
      <c r="B745" s="6">
        <v>46167</v>
      </c>
      <c r="C745" s="5" t="s">
        <v>877</v>
      </c>
      <c r="D745" s="5" t="s">
        <v>1171</v>
      </c>
      <c r="E745" s="5" t="s">
        <v>202</v>
      </c>
      <c r="F745" s="5" t="s">
        <v>17</v>
      </c>
      <c r="G745">
        <v>0.38194444444444442</v>
      </c>
      <c r="H745">
        <v>0.41388888888888892</v>
      </c>
      <c r="I745">
        <v>50</v>
      </c>
      <c r="J745" s="5" t="s">
        <v>477</v>
      </c>
      <c r="K745" s="5" t="s">
        <v>19</v>
      </c>
      <c r="L745">
        <v>1969</v>
      </c>
      <c r="M745" s="5">
        <v>46</v>
      </c>
      <c r="N745" s="5" t="s">
        <v>1678</v>
      </c>
      <c r="O745" s="5" t="s">
        <v>1659</v>
      </c>
      <c r="P745">
        <v>0</v>
      </c>
      <c r="Q745" t="s">
        <v>1660</v>
      </c>
      <c r="R745" t="s">
        <v>1670</v>
      </c>
    </row>
    <row r="746" spans="1:18" x14ac:dyDescent="0.35">
      <c r="A746" s="5" t="s">
        <v>1321</v>
      </c>
      <c r="B746" s="6">
        <v>46167</v>
      </c>
      <c r="C746" s="5" t="s">
        <v>958</v>
      </c>
      <c r="D746" s="5" t="s">
        <v>413</v>
      </c>
      <c r="E746" s="5" t="s">
        <v>202</v>
      </c>
      <c r="F746" s="5" t="s">
        <v>38</v>
      </c>
      <c r="G746">
        <v>0.68055555555555558</v>
      </c>
      <c r="H746">
        <v>0.68819444444444444</v>
      </c>
      <c r="I746">
        <v>1</v>
      </c>
      <c r="J746" s="5" t="s">
        <v>18</v>
      </c>
      <c r="K746" s="5" t="s">
        <v>19</v>
      </c>
      <c r="L746">
        <v>2338</v>
      </c>
      <c r="M746" s="5">
        <v>11</v>
      </c>
      <c r="N746" s="5" t="s">
        <v>1678</v>
      </c>
      <c r="O746" s="5" t="s">
        <v>1659</v>
      </c>
      <c r="P746">
        <v>1</v>
      </c>
      <c r="Q746" t="s">
        <v>1663</v>
      </c>
    </row>
    <row r="747" spans="1:18" x14ac:dyDescent="0.35">
      <c r="A747" s="5" t="s">
        <v>1322</v>
      </c>
      <c r="B747" s="6">
        <v>46168</v>
      </c>
      <c r="C747" s="5" t="s">
        <v>1323</v>
      </c>
      <c r="D747" s="5" t="s">
        <v>588</v>
      </c>
      <c r="E747" s="5" t="s">
        <v>84</v>
      </c>
      <c r="F747" s="5" t="s">
        <v>38</v>
      </c>
      <c r="G747">
        <v>0.39930555555555558</v>
      </c>
      <c r="H747">
        <v>0.4284722222222222</v>
      </c>
      <c r="J747" s="5" t="s">
        <v>477</v>
      </c>
      <c r="K747" s="5" t="s">
        <v>19</v>
      </c>
      <c r="L747">
        <v>1658</v>
      </c>
      <c r="M747" s="5">
        <v>42</v>
      </c>
      <c r="N747" s="5" t="s">
        <v>1678</v>
      </c>
      <c r="O747" s="5" t="s">
        <v>1661</v>
      </c>
      <c r="Q747" t="s">
        <v>1660</v>
      </c>
      <c r="R747" t="s">
        <v>1670</v>
      </c>
    </row>
    <row r="748" spans="1:18" x14ac:dyDescent="0.35">
      <c r="A748" s="5" t="s">
        <v>1324</v>
      </c>
      <c r="B748" s="6">
        <v>46168</v>
      </c>
      <c r="C748" s="5" t="s">
        <v>1325</v>
      </c>
      <c r="D748" s="5" t="s">
        <v>79</v>
      </c>
      <c r="E748" s="5" t="s">
        <v>588</v>
      </c>
      <c r="F748" s="5" t="s">
        <v>38</v>
      </c>
      <c r="G748">
        <v>0.43402777777777779</v>
      </c>
      <c r="H748">
        <v>0.43194444444444452</v>
      </c>
      <c r="I748">
        <v>-15</v>
      </c>
      <c r="J748" s="5" t="s">
        <v>18</v>
      </c>
      <c r="K748" s="5" t="s">
        <v>19</v>
      </c>
      <c r="L748">
        <v>730</v>
      </c>
      <c r="M748" s="5">
        <v>-3</v>
      </c>
      <c r="N748" s="5" t="s">
        <v>1678</v>
      </c>
      <c r="O748" s="5" t="s">
        <v>1661</v>
      </c>
      <c r="P748">
        <v>1</v>
      </c>
      <c r="Q748" t="s">
        <v>1660</v>
      </c>
    </row>
    <row r="749" spans="1:18" x14ac:dyDescent="0.35">
      <c r="A749" s="5" t="s">
        <v>1326</v>
      </c>
      <c r="B749" s="6">
        <v>46168</v>
      </c>
      <c r="C749" s="5" t="s">
        <v>234</v>
      </c>
      <c r="D749" s="5" t="s">
        <v>546</v>
      </c>
      <c r="E749" s="5" t="s">
        <v>226</v>
      </c>
      <c r="F749" s="5" t="s">
        <v>17</v>
      </c>
      <c r="G749">
        <v>0.4375</v>
      </c>
      <c r="H749">
        <v>0.4375</v>
      </c>
      <c r="I749">
        <v>-2</v>
      </c>
      <c r="J749" s="5" t="s">
        <v>18</v>
      </c>
      <c r="K749" s="5" t="s">
        <v>19</v>
      </c>
      <c r="L749">
        <v>627</v>
      </c>
      <c r="M749" s="5">
        <v>0</v>
      </c>
      <c r="N749" s="5" t="s">
        <v>1678</v>
      </c>
      <c r="O749" s="5" t="s">
        <v>1661</v>
      </c>
      <c r="P749">
        <v>1</v>
      </c>
      <c r="Q749" t="s">
        <v>1660</v>
      </c>
    </row>
    <row r="750" spans="1:18" x14ac:dyDescent="0.35">
      <c r="A750" s="5" t="s">
        <v>1327</v>
      </c>
      <c r="B750" s="6">
        <v>46168</v>
      </c>
      <c r="C750" s="5" t="s">
        <v>815</v>
      </c>
      <c r="D750" s="5" t="s">
        <v>1171</v>
      </c>
      <c r="E750" s="5" t="s">
        <v>588</v>
      </c>
      <c r="F750" s="5" t="s">
        <v>28</v>
      </c>
      <c r="G750">
        <v>0.52430555555555558</v>
      </c>
      <c r="H750">
        <v>0.55625000000000002</v>
      </c>
      <c r="I750">
        <v>42</v>
      </c>
      <c r="J750" s="5" t="s">
        <v>129</v>
      </c>
      <c r="K750" s="5" t="s">
        <v>19</v>
      </c>
      <c r="L750">
        <v>866</v>
      </c>
      <c r="M750" s="5">
        <v>46</v>
      </c>
      <c r="N750" s="5" t="s">
        <v>1678</v>
      </c>
      <c r="O750" s="5" t="s">
        <v>1661</v>
      </c>
      <c r="P750">
        <v>0</v>
      </c>
      <c r="Q750" t="s">
        <v>1663</v>
      </c>
      <c r="R750" t="s">
        <v>1670</v>
      </c>
    </row>
    <row r="751" spans="1:18" x14ac:dyDescent="0.35">
      <c r="A751" s="5" t="s">
        <v>1328</v>
      </c>
      <c r="B751" s="6">
        <v>46168</v>
      </c>
      <c r="C751" s="5" t="s">
        <v>1329</v>
      </c>
      <c r="D751" s="5" t="s">
        <v>226</v>
      </c>
      <c r="E751" s="5" t="s">
        <v>588</v>
      </c>
      <c r="F751" s="5" t="s">
        <v>28</v>
      </c>
      <c r="G751">
        <v>0.70833333333333337</v>
      </c>
      <c r="H751">
        <v>0.73888888888888893</v>
      </c>
      <c r="I751">
        <v>37</v>
      </c>
      <c r="J751" s="5" t="s">
        <v>60</v>
      </c>
      <c r="K751" s="5" t="s">
        <v>19</v>
      </c>
      <c r="L751">
        <v>641</v>
      </c>
      <c r="M751" s="5">
        <v>44</v>
      </c>
      <c r="N751" s="5" t="s">
        <v>1678</v>
      </c>
      <c r="O751" s="5" t="s">
        <v>1661</v>
      </c>
      <c r="P751">
        <v>0</v>
      </c>
      <c r="Q751" t="s">
        <v>1665</v>
      </c>
      <c r="R751" t="s">
        <v>1657</v>
      </c>
    </row>
    <row r="752" spans="1:18" x14ac:dyDescent="0.35">
      <c r="A752" s="5" t="s">
        <v>1330</v>
      </c>
      <c r="B752" s="6">
        <v>46169</v>
      </c>
      <c r="C752" s="5" t="s">
        <v>70</v>
      </c>
      <c r="D752" s="5" t="s">
        <v>588</v>
      </c>
      <c r="E752" s="5" t="s">
        <v>79</v>
      </c>
      <c r="F752" s="5" t="s">
        <v>17</v>
      </c>
      <c r="G752">
        <v>0.4201388888888889</v>
      </c>
      <c r="H752">
        <v>0.4152777777777778</v>
      </c>
      <c r="I752">
        <v>-8</v>
      </c>
      <c r="J752" s="5" t="s">
        <v>18</v>
      </c>
      <c r="K752" s="5" t="s">
        <v>19</v>
      </c>
      <c r="L752">
        <v>730</v>
      </c>
      <c r="M752" s="5">
        <v>-7</v>
      </c>
      <c r="N752" s="5" t="s">
        <v>1678</v>
      </c>
      <c r="O752" s="5" t="s">
        <v>1662</v>
      </c>
      <c r="P752">
        <v>1</v>
      </c>
      <c r="Q752" t="s">
        <v>1660</v>
      </c>
    </row>
    <row r="753" spans="1:18" x14ac:dyDescent="0.35">
      <c r="A753" s="5" t="s">
        <v>1331</v>
      </c>
      <c r="B753" s="6">
        <v>46170</v>
      </c>
      <c r="C753" s="5" t="s">
        <v>1332</v>
      </c>
      <c r="D753" s="5" t="s">
        <v>71</v>
      </c>
      <c r="E753" s="5" t="s">
        <v>197</v>
      </c>
      <c r="F753" s="5" t="s">
        <v>24</v>
      </c>
      <c r="G753">
        <v>0.77083333333333337</v>
      </c>
      <c r="H753">
        <v>0.8354166666666667</v>
      </c>
      <c r="I753">
        <v>98</v>
      </c>
      <c r="J753" s="5" t="s">
        <v>60</v>
      </c>
      <c r="K753" s="5" t="s">
        <v>19</v>
      </c>
      <c r="L753">
        <v>738</v>
      </c>
      <c r="M753" s="5">
        <v>93</v>
      </c>
      <c r="N753" s="5" t="s">
        <v>1678</v>
      </c>
      <c r="O753" s="5" t="s">
        <v>1664</v>
      </c>
      <c r="P753">
        <v>0</v>
      </c>
      <c r="Q753" t="s">
        <v>1665</v>
      </c>
      <c r="R753" t="s">
        <v>1657</v>
      </c>
    </row>
    <row r="754" spans="1:18" x14ac:dyDescent="0.35">
      <c r="A754" s="5" t="s">
        <v>1333</v>
      </c>
      <c r="B754" s="6">
        <v>46170</v>
      </c>
      <c r="C754" s="5" t="s">
        <v>1334</v>
      </c>
      <c r="D754" s="5" t="s">
        <v>84</v>
      </c>
      <c r="E754" s="5" t="s">
        <v>79</v>
      </c>
      <c r="F754" s="5" t="s">
        <v>24</v>
      </c>
      <c r="G754">
        <v>0.79861111111111116</v>
      </c>
      <c r="H754">
        <v>0.83402777777777781</v>
      </c>
      <c r="I754">
        <v>38</v>
      </c>
      <c r="J754" s="5" t="s">
        <v>129</v>
      </c>
      <c r="K754" s="5" t="s">
        <v>19</v>
      </c>
      <c r="L754">
        <v>2178</v>
      </c>
      <c r="M754" s="5">
        <v>51</v>
      </c>
      <c r="N754" s="5" t="s">
        <v>1678</v>
      </c>
      <c r="O754" s="5" t="s">
        <v>1664</v>
      </c>
      <c r="P754">
        <v>0</v>
      </c>
      <c r="Q754" t="s">
        <v>1665</v>
      </c>
      <c r="R754" t="s">
        <v>1670</v>
      </c>
    </row>
    <row r="755" spans="1:18" x14ac:dyDescent="0.35">
      <c r="A755" s="5" t="s">
        <v>1335</v>
      </c>
      <c r="B755" s="6">
        <v>46171</v>
      </c>
      <c r="C755" s="5" t="s">
        <v>1336</v>
      </c>
      <c r="D755" s="5" t="s">
        <v>71</v>
      </c>
      <c r="E755" s="5" t="s">
        <v>1171</v>
      </c>
      <c r="F755" s="5" t="s">
        <v>28</v>
      </c>
      <c r="G755">
        <v>0.34722222222222221</v>
      </c>
      <c r="H755">
        <v>0.34652777777777782</v>
      </c>
      <c r="I755">
        <v>4</v>
      </c>
      <c r="J755" s="5" t="s">
        <v>18</v>
      </c>
      <c r="K755" s="5" t="s">
        <v>19</v>
      </c>
      <c r="L755">
        <v>1438</v>
      </c>
      <c r="M755" s="5">
        <v>-1</v>
      </c>
      <c r="N755" s="5" t="s">
        <v>1678</v>
      </c>
      <c r="O755" s="5" t="s">
        <v>1666</v>
      </c>
      <c r="P755">
        <v>1</v>
      </c>
      <c r="Q755" t="s">
        <v>1660</v>
      </c>
    </row>
    <row r="756" spans="1:18" x14ac:dyDescent="0.35">
      <c r="A756" s="5" t="s">
        <v>1337</v>
      </c>
      <c r="B756" s="6">
        <v>46171</v>
      </c>
      <c r="C756" s="5" t="s">
        <v>112</v>
      </c>
      <c r="D756" s="5" t="s">
        <v>79</v>
      </c>
      <c r="E756" s="5" t="s">
        <v>588</v>
      </c>
      <c r="F756" s="5" t="s">
        <v>24</v>
      </c>
      <c r="G756">
        <v>0.68402777777777779</v>
      </c>
      <c r="H756">
        <v>0.73333333333333328</v>
      </c>
      <c r="I756">
        <v>74</v>
      </c>
      <c r="J756" s="5" t="s">
        <v>54</v>
      </c>
      <c r="K756" s="5" t="s">
        <v>19</v>
      </c>
      <c r="L756">
        <v>730</v>
      </c>
      <c r="M756" s="5">
        <v>71</v>
      </c>
      <c r="N756" s="5" t="s">
        <v>1678</v>
      </c>
      <c r="O756" s="5" t="s">
        <v>1666</v>
      </c>
      <c r="P756">
        <v>0</v>
      </c>
      <c r="Q756" t="s">
        <v>1663</v>
      </c>
      <c r="R756" t="s">
        <v>1657</v>
      </c>
    </row>
    <row r="757" spans="1:18" x14ac:dyDescent="0.35">
      <c r="A757" s="5" t="s">
        <v>1338</v>
      </c>
      <c r="B757" s="6">
        <v>46172</v>
      </c>
      <c r="C757" s="5" t="s">
        <v>1304</v>
      </c>
      <c r="D757" s="5" t="s">
        <v>71</v>
      </c>
      <c r="E757" s="5" t="s">
        <v>413</v>
      </c>
      <c r="F757" s="5" t="s">
        <v>17</v>
      </c>
      <c r="G757">
        <v>0.27083333333333331</v>
      </c>
      <c r="H757">
        <v>0.28680555555555548</v>
      </c>
      <c r="I757">
        <v>14</v>
      </c>
      <c r="J757" s="5" t="s">
        <v>54</v>
      </c>
      <c r="K757" s="5" t="s">
        <v>19</v>
      </c>
      <c r="L757">
        <v>1742</v>
      </c>
      <c r="M757" s="5">
        <v>23</v>
      </c>
      <c r="N757" s="5" t="s">
        <v>1678</v>
      </c>
      <c r="O757" s="5" t="s">
        <v>1667</v>
      </c>
      <c r="P757">
        <v>1</v>
      </c>
      <c r="Q757" t="s">
        <v>1660</v>
      </c>
      <c r="R757" t="s">
        <v>1657</v>
      </c>
    </row>
    <row r="758" spans="1:18" x14ac:dyDescent="0.35">
      <c r="A758" s="5" t="s">
        <v>1339</v>
      </c>
      <c r="B758" s="6">
        <v>46172</v>
      </c>
      <c r="C758" s="5" t="s">
        <v>969</v>
      </c>
      <c r="D758" s="5" t="s">
        <v>413</v>
      </c>
      <c r="E758" s="5" t="s">
        <v>79</v>
      </c>
      <c r="F758" s="5" t="s">
        <v>24</v>
      </c>
      <c r="G758">
        <v>0.66319444444444442</v>
      </c>
      <c r="H758">
        <v>0.6645833333333333</v>
      </c>
      <c r="I758">
        <v>-7</v>
      </c>
      <c r="J758" s="5" t="s">
        <v>18</v>
      </c>
      <c r="K758" s="5" t="s">
        <v>19</v>
      </c>
      <c r="L758">
        <v>1942</v>
      </c>
      <c r="M758" s="5">
        <v>2</v>
      </c>
      <c r="N758" s="5" t="s">
        <v>1678</v>
      </c>
      <c r="O758" s="5" t="s">
        <v>1667</v>
      </c>
      <c r="P758">
        <v>1</v>
      </c>
      <c r="Q758" t="s">
        <v>1663</v>
      </c>
    </row>
    <row r="759" spans="1:18" x14ac:dyDescent="0.35">
      <c r="A759" s="5" t="s">
        <v>1340</v>
      </c>
      <c r="B759" s="6">
        <v>46172</v>
      </c>
      <c r="C759" s="5" t="s">
        <v>1341</v>
      </c>
      <c r="D759" s="5" t="s">
        <v>79</v>
      </c>
      <c r="E759" s="5" t="s">
        <v>588</v>
      </c>
      <c r="F759" s="5" t="s">
        <v>24</v>
      </c>
      <c r="G759">
        <v>0.78819444444444442</v>
      </c>
      <c r="H759">
        <v>0.79652777777777772</v>
      </c>
      <c r="J759" s="5" t="s">
        <v>18</v>
      </c>
      <c r="K759" s="5" t="s">
        <v>19</v>
      </c>
      <c r="L759">
        <v>730</v>
      </c>
      <c r="M759" s="5">
        <v>12</v>
      </c>
      <c r="N759" s="5" t="s">
        <v>1678</v>
      </c>
      <c r="O759" s="5" t="s">
        <v>1667</v>
      </c>
      <c r="Q759" t="s">
        <v>1665</v>
      </c>
    </row>
    <row r="760" spans="1:18" x14ac:dyDescent="0.35">
      <c r="A760" s="5" t="s">
        <v>1342</v>
      </c>
      <c r="B760" s="6">
        <v>46173</v>
      </c>
      <c r="C760" s="5" t="s">
        <v>1343</v>
      </c>
      <c r="D760" s="5" t="s">
        <v>588</v>
      </c>
      <c r="E760" s="5" t="s">
        <v>71</v>
      </c>
      <c r="F760" s="5" t="s">
        <v>17</v>
      </c>
      <c r="G760">
        <v>0.24652777777777779</v>
      </c>
      <c r="H760">
        <v>0.27777777777777779</v>
      </c>
      <c r="I760">
        <v>33</v>
      </c>
      <c r="J760" s="5" t="s">
        <v>54</v>
      </c>
      <c r="K760" s="5" t="s">
        <v>19</v>
      </c>
      <c r="L760">
        <v>802</v>
      </c>
      <c r="M760" s="5">
        <v>45</v>
      </c>
      <c r="N760" s="5" t="s">
        <v>1678</v>
      </c>
      <c r="O760" s="5" t="s">
        <v>1668</v>
      </c>
      <c r="P760">
        <v>0</v>
      </c>
      <c r="Q760" t="s">
        <v>1660</v>
      </c>
      <c r="R760" t="s">
        <v>1657</v>
      </c>
    </row>
    <row r="761" spans="1:18" x14ac:dyDescent="0.35">
      <c r="A761" s="5" t="s">
        <v>1344</v>
      </c>
      <c r="B761" s="6">
        <v>46173</v>
      </c>
      <c r="C761" s="5" t="s">
        <v>621</v>
      </c>
      <c r="D761" s="5" t="s">
        <v>71</v>
      </c>
      <c r="E761" s="5" t="s">
        <v>226</v>
      </c>
      <c r="F761" s="5" t="s">
        <v>24</v>
      </c>
      <c r="G761">
        <v>0.31944444444444442</v>
      </c>
      <c r="H761">
        <v>0.35833333333333328</v>
      </c>
      <c r="I761">
        <v>62</v>
      </c>
      <c r="J761" s="5" t="s">
        <v>129</v>
      </c>
      <c r="K761" s="5" t="s">
        <v>19</v>
      </c>
      <c r="L761">
        <v>886</v>
      </c>
      <c r="M761" s="5">
        <v>56</v>
      </c>
      <c r="N761" s="5" t="s">
        <v>1678</v>
      </c>
      <c r="O761" s="5" t="s">
        <v>1668</v>
      </c>
      <c r="P761">
        <v>0</v>
      </c>
      <c r="Q761" t="s">
        <v>1660</v>
      </c>
      <c r="R761" t="s">
        <v>1670</v>
      </c>
    </row>
    <row r="762" spans="1:18" x14ac:dyDescent="0.35">
      <c r="A762" s="5" t="s">
        <v>1345</v>
      </c>
      <c r="B762" s="6">
        <v>46173</v>
      </c>
      <c r="C762" s="5" t="s">
        <v>983</v>
      </c>
      <c r="D762" s="5" t="s">
        <v>413</v>
      </c>
      <c r="E762" s="5" t="s">
        <v>1171</v>
      </c>
      <c r="F762" s="5" t="s">
        <v>38</v>
      </c>
      <c r="G762">
        <v>0.53819444444444442</v>
      </c>
      <c r="H762">
        <v>0.54236111111111107</v>
      </c>
      <c r="I762">
        <v>11</v>
      </c>
      <c r="J762" s="5" t="s">
        <v>18</v>
      </c>
      <c r="K762" s="5" t="s">
        <v>19</v>
      </c>
      <c r="L762">
        <v>370</v>
      </c>
      <c r="M762" s="5">
        <v>6</v>
      </c>
      <c r="N762" s="5" t="s">
        <v>1678</v>
      </c>
      <c r="O762" s="5" t="s">
        <v>1668</v>
      </c>
      <c r="P762">
        <v>1</v>
      </c>
      <c r="Q762" t="s">
        <v>1663</v>
      </c>
    </row>
    <row r="763" spans="1:18" x14ac:dyDescent="0.35">
      <c r="A763" s="5" t="s">
        <v>1346</v>
      </c>
      <c r="B763" s="6">
        <v>46173</v>
      </c>
      <c r="C763" s="5" t="s">
        <v>1347</v>
      </c>
      <c r="D763" s="5" t="s">
        <v>1295</v>
      </c>
      <c r="E763" s="5" t="s">
        <v>79</v>
      </c>
      <c r="F763" s="5" t="s">
        <v>28</v>
      </c>
      <c r="G763">
        <v>0.58680555555555558</v>
      </c>
      <c r="H763">
        <v>0.59027777777777779</v>
      </c>
      <c r="I763">
        <v>15</v>
      </c>
      <c r="J763" s="5" t="s">
        <v>18</v>
      </c>
      <c r="K763" s="5" t="s">
        <v>19</v>
      </c>
      <c r="L763">
        <v>2134</v>
      </c>
      <c r="M763" s="5">
        <v>5</v>
      </c>
      <c r="N763" s="5" t="s">
        <v>1678</v>
      </c>
      <c r="O763" s="5" t="s">
        <v>1668</v>
      </c>
      <c r="P763">
        <v>1</v>
      </c>
      <c r="Q763" t="s">
        <v>1663</v>
      </c>
    </row>
    <row r="764" spans="1:18" x14ac:dyDescent="0.35">
      <c r="A764" s="5" t="s">
        <v>1348</v>
      </c>
      <c r="B764" s="6">
        <v>46174</v>
      </c>
      <c r="C764" s="5" t="s">
        <v>1349</v>
      </c>
      <c r="D764" s="5" t="s">
        <v>588</v>
      </c>
      <c r="E764" s="5" t="s">
        <v>546</v>
      </c>
      <c r="F764" s="5" t="s">
        <v>24</v>
      </c>
      <c r="G764">
        <v>0.84722222222222221</v>
      </c>
      <c r="H764">
        <v>0.875</v>
      </c>
      <c r="J764" s="5" t="s">
        <v>129</v>
      </c>
      <c r="K764" s="5" t="s">
        <v>19</v>
      </c>
      <c r="L764">
        <v>1053</v>
      </c>
      <c r="M764" s="5">
        <v>40</v>
      </c>
      <c r="N764" s="5" t="s">
        <v>1679</v>
      </c>
      <c r="O764" s="5" t="s">
        <v>1659</v>
      </c>
      <c r="Q764" t="s">
        <v>1665</v>
      </c>
      <c r="R764" t="s">
        <v>1670</v>
      </c>
    </row>
    <row r="765" spans="1:18" x14ac:dyDescent="0.35">
      <c r="A765" s="5" t="s">
        <v>1350</v>
      </c>
      <c r="B765" s="6">
        <v>46174</v>
      </c>
      <c r="C765" s="5" t="s">
        <v>1351</v>
      </c>
      <c r="D765" s="5" t="s">
        <v>1295</v>
      </c>
      <c r="E765" s="5" t="s">
        <v>197</v>
      </c>
      <c r="F765" s="5" t="s">
        <v>24</v>
      </c>
      <c r="G765">
        <v>0.88194444444444442</v>
      </c>
      <c r="H765">
        <v>0.88958333333333328</v>
      </c>
      <c r="I765">
        <v>20</v>
      </c>
      <c r="J765" s="5" t="s">
        <v>18</v>
      </c>
      <c r="K765" s="5" t="s">
        <v>19</v>
      </c>
      <c r="L765">
        <v>2580</v>
      </c>
      <c r="M765" s="5">
        <v>11</v>
      </c>
      <c r="N765" s="5" t="s">
        <v>1679</v>
      </c>
      <c r="O765" s="5" t="s">
        <v>1659</v>
      </c>
      <c r="P765">
        <v>0</v>
      </c>
      <c r="Q765" t="s">
        <v>1669</v>
      </c>
    </row>
    <row r="766" spans="1:18" x14ac:dyDescent="0.35">
      <c r="A766" s="5" t="s">
        <v>1352</v>
      </c>
      <c r="B766" s="6">
        <v>46175</v>
      </c>
      <c r="C766" s="5" t="s">
        <v>1274</v>
      </c>
      <c r="D766" s="5" t="s">
        <v>197</v>
      </c>
      <c r="E766" s="5" t="s">
        <v>71</v>
      </c>
      <c r="F766" s="5" t="s">
        <v>24</v>
      </c>
      <c r="G766">
        <v>0.55208333333333337</v>
      </c>
      <c r="H766">
        <v>0.55555555555555558</v>
      </c>
      <c r="I766">
        <v>13</v>
      </c>
      <c r="J766" s="5" t="s">
        <v>18</v>
      </c>
      <c r="K766" s="5" t="s">
        <v>19</v>
      </c>
      <c r="L766">
        <v>738</v>
      </c>
      <c r="M766" s="5">
        <v>5</v>
      </c>
      <c r="N766" s="5" t="s">
        <v>1679</v>
      </c>
      <c r="O766" s="5" t="s">
        <v>1661</v>
      </c>
      <c r="P766">
        <v>1</v>
      </c>
      <c r="Q766" t="s">
        <v>1663</v>
      </c>
    </row>
    <row r="767" spans="1:18" x14ac:dyDescent="0.35">
      <c r="A767" s="5" t="s">
        <v>1353</v>
      </c>
      <c r="B767" s="6">
        <v>46175</v>
      </c>
      <c r="C767" s="5" t="s">
        <v>230</v>
      </c>
      <c r="D767" s="5" t="s">
        <v>226</v>
      </c>
      <c r="E767" s="5" t="s">
        <v>71</v>
      </c>
      <c r="F767" s="5" t="s">
        <v>24</v>
      </c>
      <c r="G767">
        <v>0.63888888888888884</v>
      </c>
      <c r="H767">
        <v>0.63680555555555551</v>
      </c>
      <c r="I767">
        <v>-6</v>
      </c>
      <c r="J767" s="5" t="s">
        <v>18</v>
      </c>
      <c r="K767" s="5" t="s">
        <v>19</v>
      </c>
      <c r="L767">
        <v>886</v>
      </c>
      <c r="M767" s="5">
        <v>-3</v>
      </c>
      <c r="N767" s="5" t="s">
        <v>1679</v>
      </c>
      <c r="O767" s="5" t="s">
        <v>1661</v>
      </c>
      <c r="P767">
        <v>1</v>
      </c>
      <c r="Q767" t="s">
        <v>1663</v>
      </c>
    </row>
    <row r="768" spans="1:18" x14ac:dyDescent="0.35">
      <c r="A768" s="5" t="s">
        <v>1354</v>
      </c>
      <c r="B768" s="6">
        <v>46175</v>
      </c>
      <c r="C768" s="5" t="s">
        <v>1355</v>
      </c>
      <c r="D768" s="5" t="s">
        <v>226</v>
      </c>
      <c r="E768" s="5" t="s">
        <v>588</v>
      </c>
      <c r="F768" s="5" t="s">
        <v>28</v>
      </c>
      <c r="G768">
        <v>0.72222222222222221</v>
      </c>
      <c r="H768">
        <v>0.72083333333333333</v>
      </c>
      <c r="I768">
        <v>3</v>
      </c>
      <c r="J768" s="5" t="s">
        <v>18</v>
      </c>
      <c r="K768" s="5" t="s">
        <v>19</v>
      </c>
      <c r="L768">
        <v>641</v>
      </c>
      <c r="M768" s="5">
        <v>-2</v>
      </c>
      <c r="N768" s="5" t="s">
        <v>1679</v>
      </c>
      <c r="O768" s="5" t="s">
        <v>1661</v>
      </c>
      <c r="P768">
        <v>1</v>
      </c>
      <c r="Q768" t="s">
        <v>1665</v>
      </c>
    </row>
    <row r="769" spans="1:18" x14ac:dyDescent="0.35">
      <c r="A769" s="5" t="s">
        <v>1356</v>
      </c>
      <c r="B769" s="6">
        <v>46175</v>
      </c>
      <c r="C769" s="5" t="s">
        <v>1357</v>
      </c>
      <c r="D769" s="5" t="s">
        <v>71</v>
      </c>
      <c r="E769" s="5" t="s">
        <v>79</v>
      </c>
      <c r="F769" s="5" t="s">
        <v>28</v>
      </c>
      <c r="G769">
        <v>0.79166666666666663</v>
      </c>
      <c r="H769">
        <v>0.80347222222222225</v>
      </c>
      <c r="I769">
        <v>13</v>
      </c>
      <c r="J769" s="5" t="s">
        <v>60</v>
      </c>
      <c r="K769" s="5" t="s">
        <v>19</v>
      </c>
      <c r="L769">
        <v>606</v>
      </c>
      <c r="M769" s="5">
        <v>17</v>
      </c>
      <c r="N769" s="5" t="s">
        <v>1679</v>
      </c>
      <c r="O769" s="5" t="s">
        <v>1661</v>
      </c>
      <c r="P769">
        <v>1</v>
      </c>
      <c r="Q769" t="s">
        <v>1665</v>
      </c>
      <c r="R769" t="s">
        <v>1657</v>
      </c>
    </row>
    <row r="770" spans="1:18" x14ac:dyDescent="0.35">
      <c r="A770" s="5" t="s">
        <v>1358</v>
      </c>
      <c r="B770" s="6">
        <v>46176</v>
      </c>
      <c r="C770" s="5" t="s">
        <v>1359</v>
      </c>
      <c r="D770" s="5" t="s">
        <v>1171</v>
      </c>
      <c r="E770" s="5" t="s">
        <v>79</v>
      </c>
      <c r="F770" s="5" t="s">
        <v>17</v>
      </c>
      <c r="G770">
        <v>0.80208333333333337</v>
      </c>
      <c r="H770">
        <v>0.80833333333333335</v>
      </c>
      <c r="I770">
        <v>12</v>
      </c>
      <c r="J770" s="5" t="s">
        <v>18</v>
      </c>
      <c r="K770" s="5" t="s">
        <v>19</v>
      </c>
      <c r="L770">
        <v>1584</v>
      </c>
      <c r="M770" s="5">
        <v>9</v>
      </c>
      <c r="N770" s="5" t="s">
        <v>1679</v>
      </c>
      <c r="O770" s="5" t="s">
        <v>1662</v>
      </c>
      <c r="P770">
        <v>1</v>
      </c>
      <c r="Q770" t="s">
        <v>1665</v>
      </c>
    </row>
    <row r="771" spans="1:18" x14ac:dyDescent="0.35">
      <c r="A771" s="5" t="s">
        <v>1360</v>
      </c>
      <c r="B771" s="6">
        <v>46176</v>
      </c>
      <c r="C771" s="5" t="s">
        <v>1361</v>
      </c>
      <c r="D771" s="5" t="s">
        <v>1171</v>
      </c>
      <c r="E771" s="5" t="s">
        <v>79</v>
      </c>
      <c r="F771" s="5" t="s">
        <v>24</v>
      </c>
      <c r="G771">
        <v>0.86458333333333337</v>
      </c>
      <c r="H771">
        <v>0.88958333333333328</v>
      </c>
      <c r="I771">
        <v>44</v>
      </c>
      <c r="J771" s="5" t="s">
        <v>54</v>
      </c>
      <c r="K771" s="5" t="s">
        <v>19</v>
      </c>
      <c r="L771">
        <v>1584</v>
      </c>
      <c r="M771" s="5">
        <v>36</v>
      </c>
      <c r="N771" s="5" t="s">
        <v>1679</v>
      </c>
      <c r="O771" s="5" t="s">
        <v>1662</v>
      </c>
      <c r="P771">
        <v>0</v>
      </c>
      <c r="Q771" t="s">
        <v>1665</v>
      </c>
      <c r="R771" t="s">
        <v>1657</v>
      </c>
    </row>
    <row r="772" spans="1:18" x14ac:dyDescent="0.35">
      <c r="A772" s="5" t="s">
        <v>1362</v>
      </c>
      <c r="B772" s="6">
        <v>46177</v>
      </c>
      <c r="C772" s="5" t="s">
        <v>458</v>
      </c>
      <c r="D772" s="5" t="s">
        <v>84</v>
      </c>
      <c r="E772" s="5" t="s">
        <v>71</v>
      </c>
      <c r="F772" s="5" t="s">
        <v>17</v>
      </c>
      <c r="G772">
        <v>0.35416666666666669</v>
      </c>
      <c r="H772">
        <v>0.34930555555555548</v>
      </c>
      <c r="I772">
        <v>1</v>
      </c>
      <c r="J772" s="5" t="s">
        <v>18</v>
      </c>
      <c r="K772" s="5" t="s">
        <v>19</v>
      </c>
      <c r="L772">
        <v>1717</v>
      </c>
      <c r="M772" s="5">
        <v>-7</v>
      </c>
      <c r="N772" s="5" t="s">
        <v>1679</v>
      </c>
      <c r="O772" s="5" t="s">
        <v>1664</v>
      </c>
      <c r="P772">
        <v>1</v>
      </c>
      <c r="Q772" t="s">
        <v>1660</v>
      </c>
    </row>
    <row r="773" spans="1:18" x14ac:dyDescent="0.35">
      <c r="A773" s="5" t="s">
        <v>1363</v>
      </c>
      <c r="B773" s="6">
        <v>46177</v>
      </c>
      <c r="C773" s="5" t="s">
        <v>1003</v>
      </c>
      <c r="D773" s="5" t="s">
        <v>79</v>
      </c>
      <c r="E773" s="5" t="s">
        <v>71</v>
      </c>
      <c r="F773" s="5" t="s">
        <v>24</v>
      </c>
      <c r="G773">
        <v>0.55902777777777779</v>
      </c>
      <c r="H773">
        <v>0.58402777777777781</v>
      </c>
      <c r="I773">
        <v>36</v>
      </c>
      <c r="J773" s="5" t="s">
        <v>54</v>
      </c>
      <c r="K773" s="5" t="s">
        <v>19</v>
      </c>
      <c r="L773">
        <v>606</v>
      </c>
      <c r="M773" s="5">
        <v>36</v>
      </c>
      <c r="N773" s="5" t="s">
        <v>1679</v>
      </c>
      <c r="O773" s="5" t="s">
        <v>1664</v>
      </c>
      <c r="P773">
        <v>0</v>
      </c>
      <c r="Q773" t="s">
        <v>1663</v>
      </c>
      <c r="R773" t="s">
        <v>1657</v>
      </c>
    </row>
    <row r="774" spans="1:18" x14ac:dyDescent="0.35">
      <c r="A774" s="5" t="s">
        <v>1364</v>
      </c>
      <c r="B774" s="6">
        <v>46177</v>
      </c>
      <c r="C774" s="5" t="s">
        <v>292</v>
      </c>
      <c r="D774" s="5" t="s">
        <v>79</v>
      </c>
      <c r="E774" s="5" t="s">
        <v>1295</v>
      </c>
      <c r="F774" s="5" t="s">
        <v>24</v>
      </c>
      <c r="G774">
        <v>0.71180555555555558</v>
      </c>
      <c r="H774">
        <v>0.70833333333333337</v>
      </c>
      <c r="I774">
        <v>-3</v>
      </c>
      <c r="J774" s="5" t="s">
        <v>18</v>
      </c>
      <c r="K774" s="5" t="s">
        <v>19</v>
      </c>
      <c r="L774">
        <v>2134</v>
      </c>
      <c r="M774" s="5">
        <v>-5</v>
      </c>
      <c r="N774" s="5" t="s">
        <v>1679</v>
      </c>
      <c r="O774" s="5" t="s">
        <v>1664</v>
      </c>
      <c r="P774">
        <v>1</v>
      </c>
      <c r="Q774" t="s">
        <v>1665</v>
      </c>
    </row>
    <row r="775" spans="1:18" x14ac:dyDescent="0.35">
      <c r="A775" s="5" t="s">
        <v>1365</v>
      </c>
      <c r="B775" s="6">
        <v>46177</v>
      </c>
      <c r="C775" s="5" t="s">
        <v>1366</v>
      </c>
      <c r="D775" s="5" t="s">
        <v>84</v>
      </c>
      <c r="E775" s="5" t="s">
        <v>1171</v>
      </c>
      <c r="F775" s="5" t="s">
        <v>24</v>
      </c>
      <c r="G775">
        <v>0.71180555555555558</v>
      </c>
      <c r="H775">
        <v>0.7104166666666667</v>
      </c>
      <c r="I775">
        <v>-2</v>
      </c>
      <c r="J775" s="5" t="s">
        <v>18</v>
      </c>
      <c r="K775" s="5" t="s">
        <v>19</v>
      </c>
      <c r="L775">
        <v>1108</v>
      </c>
      <c r="M775" s="5">
        <v>-2</v>
      </c>
      <c r="N775" s="5" t="s">
        <v>1679</v>
      </c>
      <c r="O775" s="5" t="s">
        <v>1664</v>
      </c>
      <c r="P775">
        <v>1</v>
      </c>
      <c r="Q775" t="s">
        <v>1665</v>
      </c>
    </row>
    <row r="776" spans="1:18" x14ac:dyDescent="0.35">
      <c r="A776" s="5" t="s">
        <v>1367</v>
      </c>
      <c r="B776" s="6">
        <v>46177</v>
      </c>
      <c r="C776" s="5" t="s">
        <v>663</v>
      </c>
      <c r="D776" s="5" t="s">
        <v>413</v>
      </c>
      <c r="E776" s="5" t="s">
        <v>202</v>
      </c>
      <c r="F776" s="5" t="s">
        <v>38</v>
      </c>
      <c r="G776">
        <v>0.72916666666666663</v>
      </c>
      <c r="H776">
        <v>0.72916666666666663</v>
      </c>
      <c r="I776">
        <v>5</v>
      </c>
      <c r="J776" s="5" t="s">
        <v>18</v>
      </c>
      <c r="K776" s="5" t="s">
        <v>19</v>
      </c>
      <c r="L776">
        <v>2338</v>
      </c>
      <c r="M776" s="5">
        <v>0</v>
      </c>
      <c r="N776" s="5" t="s">
        <v>1679</v>
      </c>
      <c r="O776" s="5" t="s">
        <v>1664</v>
      </c>
      <c r="P776">
        <v>1</v>
      </c>
      <c r="Q776" t="s">
        <v>1665</v>
      </c>
    </row>
    <row r="777" spans="1:18" x14ac:dyDescent="0.35">
      <c r="A777" s="5" t="s">
        <v>1368</v>
      </c>
      <c r="B777" s="6">
        <v>46178</v>
      </c>
      <c r="C777" s="5" t="s">
        <v>1369</v>
      </c>
      <c r="D777" s="5" t="s">
        <v>202</v>
      </c>
      <c r="E777" s="5" t="s">
        <v>546</v>
      </c>
      <c r="F777" s="5" t="s">
        <v>17</v>
      </c>
      <c r="G777">
        <v>0.3263888888888889</v>
      </c>
      <c r="H777">
        <v>0.32361111111111113</v>
      </c>
      <c r="I777">
        <v>-13</v>
      </c>
      <c r="J777" s="5" t="s">
        <v>18</v>
      </c>
      <c r="K777" s="5" t="s">
        <v>19</v>
      </c>
      <c r="L777">
        <v>2171</v>
      </c>
      <c r="M777" s="5">
        <v>-4</v>
      </c>
      <c r="N777" s="5" t="s">
        <v>1679</v>
      </c>
      <c r="O777" s="5" t="s">
        <v>1666</v>
      </c>
      <c r="P777">
        <v>1</v>
      </c>
      <c r="Q777" t="s">
        <v>1660</v>
      </c>
    </row>
    <row r="778" spans="1:18" x14ac:dyDescent="0.35">
      <c r="A778" s="5" t="s">
        <v>1370</v>
      </c>
      <c r="B778" s="6">
        <v>46178</v>
      </c>
      <c r="C778" s="5" t="s">
        <v>1371</v>
      </c>
      <c r="D778" s="5" t="s">
        <v>202</v>
      </c>
      <c r="E778" s="5" t="s">
        <v>1549</v>
      </c>
      <c r="F778" s="5" t="s">
        <v>28</v>
      </c>
      <c r="G778">
        <v>0.40625</v>
      </c>
      <c r="H778">
        <v>0.40833333333333333</v>
      </c>
      <c r="I778">
        <v>-5</v>
      </c>
      <c r="J778" s="5" t="s">
        <v>18</v>
      </c>
      <c r="K778" s="5" t="s">
        <v>19</v>
      </c>
      <c r="L778">
        <v>1260</v>
      </c>
      <c r="M778" s="5">
        <v>3</v>
      </c>
      <c r="N778" s="5" t="s">
        <v>1679</v>
      </c>
      <c r="O778" s="5" t="s">
        <v>1666</v>
      </c>
      <c r="P778">
        <v>1</v>
      </c>
      <c r="Q778" t="s">
        <v>1660</v>
      </c>
    </row>
    <row r="779" spans="1:18" x14ac:dyDescent="0.35">
      <c r="A779" s="5" t="s">
        <v>1373</v>
      </c>
      <c r="B779" s="6">
        <v>46178</v>
      </c>
      <c r="C779" s="5" t="s">
        <v>1374</v>
      </c>
      <c r="D779" s="5" t="s">
        <v>413</v>
      </c>
      <c r="E779" s="5" t="s">
        <v>79</v>
      </c>
      <c r="F779" s="5" t="s">
        <v>28</v>
      </c>
      <c r="G779">
        <v>0.69791666666666663</v>
      </c>
      <c r="H779">
        <v>0.70208333333333328</v>
      </c>
      <c r="I779">
        <v>7</v>
      </c>
      <c r="J779" s="5" t="s">
        <v>18</v>
      </c>
      <c r="K779" s="5" t="s">
        <v>19</v>
      </c>
      <c r="L779">
        <v>1942</v>
      </c>
      <c r="M779" s="5">
        <v>6</v>
      </c>
      <c r="N779" s="5" t="s">
        <v>1679</v>
      </c>
      <c r="O779" s="5" t="s">
        <v>1666</v>
      </c>
      <c r="P779">
        <v>1</v>
      </c>
      <c r="Q779" t="s">
        <v>1663</v>
      </c>
    </row>
    <row r="780" spans="1:18" x14ac:dyDescent="0.35">
      <c r="A780" s="5" t="s">
        <v>1375</v>
      </c>
      <c r="B780" s="6">
        <v>46179</v>
      </c>
      <c r="C780" s="5" t="s">
        <v>1376</v>
      </c>
      <c r="D780" s="5" t="s">
        <v>71</v>
      </c>
      <c r="E780" s="5" t="s">
        <v>588</v>
      </c>
      <c r="F780" s="5" t="s">
        <v>24</v>
      </c>
      <c r="G780">
        <v>0.34027777777777779</v>
      </c>
      <c r="H780">
        <v>0.34097222222222218</v>
      </c>
      <c r="I780">
        <v>-5</v>
      </c>
      <c r="J780" s="5" t="s">
        <v>18</v>
      </c>
      <c r="K780" s="5" t="s">
        <v>19</v>
      </c>
      <c r="L780">
        <v>802</v>
      </c>
      <c r="M780" s="5">
        <v>1</v>
      </c>
      <c r="N780" s="5" t="s">
        <v>1679</v>
      </c>
      <c r="O780" s="5" t="s">
        <v>1667</v>
      </c>
      <c r="P780">
        <v>1</v>
      </c>
      <c r="Q780" t="s">
        <v>1660</v>
      </c>
    </row>
    <row r="781" spans="1:18" x14ac:dyDescent="0.35">
      <c r="A781" s="5" t="s">
        <v>1377</v>
      </c>
      <c r="B781" s="6">
        <v>46179</v>
      </c>
      <c r="C781" s="5" t="s">
        <v>945</v>
      </c>
      <c r="D781" s="5" t="s">
        <v>71</v>
      </c>
      <c r="E781" s="5" t="s">
        <v>1295</v>
      </c>
      <c r="F781" s="5" t="s">
        <v>28</v>
      </c>
      <c r="G781">
        <v>0.63541666666666663</v>
      </c>
      <c r="H781">
        <v>0.63680555555555551</v>
      </c>
      <c r="I781">
        <v>10</v>
      </c>
      <c r="J781" s="5" t="s">
        <v>18</v>
      </c>
      <c r="K781" s="5" t="s">
        <v>19</v>
      </c>
      <c r="L781">
        <v>1842</v>
      </c>
      <c r="M781" s="5">
        <v>2</v>
      </c>
      <c r="N781" s="5" t="s">
        <v>1679</v>
      </c>
      <c r="O781" s="5" t="s">
        <v>1667</v>
      </c>
      <c r="P781">
        <v>1</v>
      </c>
      <c r="Q781" t="s">
        <v>1663</v>
      </c>
    </row>
    <row r="782" spans="1:18" x14ac:dyDescent="0.35">
      <c r="A782" s="5" t="s">
        <v>1378</v>
      </c>
      <c r="B782" s="6">
        <v>46179</v>
      </c>
      <c r="C782" s="5" t="s">
        <v>271</v>
      </c>
      <c r="D782" s="5" t="s">
        <v>413</v>
      </c>
      <c r="E782" s="5" t="s">
        <v>197</v>
      </c>
      <c r="F782" s="5" t="s">
        <v>17</v>
      </c>
      <c r="G782">
        <v>0.77430555555555558</v>
      </c>
      <c r="H782">
        <v>0.77986111111111112</v>
      </c>
      <c r="I782">
        <v>15</v>
      </c>
      <c r="J782" s="5" t="s">
        <v>18</v>
      </c>
      <c r="K782" s="5" t="s">
        <v>19</v>
      </c>
      <c r="L782">
        <v>2470</v>
      </c>
      <c r="M782" s="5">
        <v>8</v>
      </c>
      <c r="N782" s="5" t="s">
        <v>1679</v>
      </c>
      <c r="O782" s="5" t="s">
        <v>1667</v>
      </c>
      <c r="P782">
        <v>1</v>
      </c>
      <c r="Q782" t="s">
        <v>1665</v>
      </c>
    </row>
    <row r="783" spans="1:18" x14ac:dyDescent="0.35">
      <c r="A783" s="5" t="s">
        <v>1379</v>
      </c>
      <c r="B783" s="6">
        <v>46180</v>
      </c>
      <c r="C783" s="5" t="s">
        <v>1380</v>
      </c>
      <c r="D783" s="5" t="s">
        <v>79</v>
      </c>
      <c r="E783" s="5" t="s">
        <v>1295</v>
      </c>
      <c r="F783" s="5" t="s">
        <v>24</v>
      </c>
      <c r="G783">
        <v>0.40277777777777779</v>
      </c>
      <c r="H783">
        <v>0.41805555555555562</v>
      </c>
      <c r="I783">
        <v>19</v>
      </c>
      <c r="J783" s="5" t="s">
        <v>60</v>
      </c>
      <c r="K783" s="5" t="s">
        <v>19</v>
      </c>
      <c r="L783">
        <v>2134</v>
      </c>
      <c r="M783" s="5">
        <v>22</v>
      </c>
      <c r="N783" s="5" t="s">
        <v>1679</v>
      </c>
      <c r="O783" s="5" t="s">
        <v>1668</v>
      </c>
      <c r="P783">
        <v>0</v>
      </c>
      <c r="Q783" t="s">
        <v>1660</v>
      </c>
      <c r="R783" t="s">
        <v>1657</v>
      </c>
    </row>
    <row r="784" spans="1:18" x14ac:dyDescent="0.35">
      <c r="A784" s="5" t="s">
        <v>1381</v>
      </c>
      <c r="B784" s="6">
        <v>46180</v>
      </c>
      <c r="C784" s="5" t="s">
        <v>1014</v>
      </c>
      <c r="D784" s="5" t="s">
        <v>197</v>
      </c>
      <c r="E784" s="5" t="s">
        <v>546</v>
      </c>
      <c r="F784" s="5" t="s">
        <v>24</v>
      </c>
      <c r="G784">
        <v>0.58333333333333337</v>
      </c>
      <c r="H784">
        <v>0.58333333333333337</v>
      </c>
      <c r="I784">
        <v>10</v>
      </c>
      <c r="J784" s="5" t="s">
        <v>18</v>
      </c>
      <c r="K784" s="5" t="s">
        <v>19</v>
      </c>
      <c r="L784">
        <v>2243</v>
      </c>
      <c r="M784" s="5">
        <v>0</v>
      </c>
      <c r="N784" s="5" t="s">
        <v>1679</v>
      </c>
      <c r="O784" s="5" t="s">
        <v>1668</v>
      </c>
      <c r="P784">
        <v>1</v>
      </c>
      <c r="Q784" t="s">
        <v>1663</v>
      </c>
    </row>
    <row r="785" spans="1:18" x14ac:dyDescent="0.35">
      <c r="A785" s="5" t="s">
        <v>1382</v>
      </c>
      <c r="B785" s="6">
        <v>46180</v>
      </c>
      <c r="C785" s="5" t="s">
        <v>245</v>
      </c>
      <c r="D785" s="5" t="s">
        <v>84</v>
      </c>
      <c r="E785" s="5" t="s">
        <v>1549</v>
      </c>
      <c r="F785" s="5" t="s">
        <v>17</v>
      </c>
      <c r="G785">
        <v>0.79861111111111116</v>
      </c>
      <c r="H785">
        <v>0.81944444444444442</v>
      </c>
      <c r="I785">
        <v>25</v>
      </c>
      <c r="J785" s="5" t="s">
        <v>54</v>
      </c>
      <c r="K785" s="5" t="s">
        <v>19</v>
      </c>
      <c r="L785">
        <v>2489</v>
      </c>
      <c r="M785" s="5">
        <v>30</v>
      </c>
      <c r="N785" s="5" t="s">
        <v>1679</v>
      </c>
      <c r="O785" s="5" t="s">
        <v>1668</v>
      </c>
      <c r="P785">
        <v>0</v>
      </c>
      <c r="Q785" t="s">
        <v>1665</v>
      </c>
      <c r="R785" t="s">
        <v>1657</v>
      </c>
    </row>
    <row r="786" spans="1:18" x14ac:dyDescent="0.35">
      <c r="A786" s="5" t="s">
        <v>1383</v>
      </c>
      <c r="B786" s="6">
        <v>46181</v>
      </c>
      <c r="C786" s="5" t="s">
        <v>463</v>
      </c>
      <c r="D786" s="5" t="s">
        <v>1171</v>
      </c>
      <c r="E786" s="5" t="s">
        <v>71</v>
      </c>
      <c r="F786" s="5" t="s">
        <v>17</v>
      </c>
      <c r="G786">
        <v>0.36805555555555558</v>
      </c>
      <c r="H786">
        <v>0.37291666666666667</v>
      </c>
      <c r="I786">
        <v>13</v>
      </c>
      <c r="J786" s="5" t="s">
        <v>18</v>
      </c>
      <c r="K786" s="5" t="s">
        <v>19</v>
      </c>
      <c r="L786">
        <v>1438</v>
      </c>
      <c r="M786" s="5">
        <v>7</v>
      </c>
      <c r="N786" s="5" t="s">
        <v>1679</v>
      </c>
      <c r="O786" s="5" t="s">
        <v>1659</v>
      </c>
      <c r="P786">
        <v>1</v>
      </c>
      <c r="Q786" t="s">
        <v>1660</v>
      </c>
    </row>
    <row r="787" spans="1:18" x14ac:dyDescent="0.35">
      <c r="A787" s="5" t="s">
        <v>1384</v>
      </c>
      <c r="B787" s="6">
        <v>46181</v>
      </c>
      <c r="C787" s="5" t="s">
        <v>686</v>
      </c>
      <c r="D787" s="5" t="s">
        <v>197</v>
      </c>
      <c r="E787" s="5" t="s">
        <v>79</v>
      </c>
      <c r="F787" s="5" t="s">
        <v>24</v>
      </c>
      <c r="G787">
        <v>0.71875</v>
      </c>
      <c r="H787">
        <v>0.71805555555555556</v>
      </c>
      <c r="I787">
        <v>-11</v>
      </c>
      <c r="J787" s="5" t="s">
        <v>18</v>
      </c>
      <c r="K787" s="5" t="s">
        <v>19</v>
      </c>
      <c r="L787">
        <v>759</v>
      </c>
      <c r="M787" s="5">
        <v>-1</v>
      </c>
      <c r="N787" s="5" t="s">
        <v>1679</v>
      </c>
      <c r="O787" s="5" t="s">
        <v>1659</v>
      </c>
      <c r="P787">
        <v>1</v>
      </c>
      <c r="Q787" t="s">
        <v>1665</v>
      </c>
    </row>
    <row r="788" spans="1:18" x14ac:dyDescent="0.35">
      <c r="A788" s="5" t="s">
        <v>1385</v>
      </c>
      <c r="B788" s="6">
        <v>46182</v>
      </c>
      <c r="C788" s="5" t="s">
        <v>1386</v>
      </c>
      <c r="D788" s="5" t="s">
        <v>1295</v>
      </c>
      <c r="E788" s="5" t="s">
        <v>1549</v>
      </c>
      <c r="F788" s="5" t="s">
        <v>38</v>
      </c>
      <c r="G788">
        <v>0.71180555555555558</v>
      </c>
      <c r="H788">
        <v>0.71388888888888891</v>
      </c>
      <c r="I788">
        <v>-5</v>
      </c>
      <c r="J788" s="5" t="s">
        <v>18</v>
      </c>
      <c r="K788" s="5" t="s">
        <v>19</v>
      </c>
      <c r="L788">
        <v>2698</v>
      </c>
      <c r="M788" s="5">
        <v>3</v>
      </c>
      <c r="N788" s="5" t="s">
        <v>1679</v>
      </c>
      <c r="O788" s="5" t="s">
        <v>1661</v>
      </c>
      <c r="P788">
        <v>1</v>
      </c>
      <c r="Q788" t="s">
        <v>1665</v>
      </c>
    </row>
    <row r="789" spans="1:18" x14ac:dyDescent="0.35">
      <c r="A789" s="5" t="s">
        <v>1387</v>
      </c>
      <c r="B789" s="6">
        <v>46182</v>
      </c>
      <c r="C789" s="5" t="s">
        <v>239</v>
      </c>
      <c r="D789" s="5" t="s">
        <v>79</v>
      </c>
      <c r="E789" s="5" t="s">
        <v>197</v>
      </c>
      <c r="F789" s="5" t="s">
        <v>24</v>
      </c>
      <c r="G789">
        <v>0.76736111111111116</v>
      </c>
      <c r="H789">
        <v>0.80694444444444446</v>
      </c>
      <c r="I789">
        <v>61</v>
      </c>
      <c r="J789" s="5" t="s">
        <v>54</v>
      </c>
      <c r="K789" s="5" t="s">
        <v>19</v>
      </c>
      <c r="L789">
        <v>759</v>
      </c>
      <c r="M789" s="5">
        <v>57</v>
      </c>
      <c r="N789" s="5" t="s">
        <v>1679</v>
      </c>
      <c r="O789" s="5" t="s">
        <v>1661</v>
      </c>
      <c r="P789">
        <v>0</v>
      </c>
      <c r="Q789" t="s">
        <v>1665</v>
      </c>
      <c r="R789" t="s">
        <v>1657</v>
      </c>
    </row>
    <row r="790" spans="1:18" x14ac:dyDescent="0.35">
      <c r="A790" s="5" t="s">
        <v>1388</v>
      </c>
      <c r="B790" s="6">
        <v>46183</v>
      </c>
      <c r="C790" s="5" t="s">
        <v>292</v>
      </c>
      <c r="D790" s="5" t="s">
        <v>546</v>
      </c>
      <c r="E790" s="5" t="s">
        <v>79</v>
      </c>
      <c r="F790" s="5" t="s">
        <v>17</v>
      </c>
      <c r="G790">
        <v>0.24652777777777779</v>
      </c>
      <c r="H790">
        <v>0.2416666666666667</v>
      </c>
      <c r="I790">
        <v>-12</v>
      </c>
      <c r="J790" s="5" t="s">
        <v>18</v>
      </c>
      <c r="K790" s="5" t="s">
        <v>19</v>
      </c>
      <c r="L790">
        <v>1743</v>
      </c>
      <c r="M790" s="5"/>
      <c r="N790" s="5" t="s">
        <v>1679</v>
      </c>
      <c r="O790" s="5" t="s">
        <v>1662</v>
      </c>
      <c r="P790">
        <v>1</v>
      </c>
      <c r="Q790" t="s">
        <v>1660</v>
      </c>
    </row>
    <row r="791" spans="1:18" x14ac:dyDescent="0.35">
      <c r="A791" s="5" t="s">
        <v>1389</v>
      </c>
      <c r="B791" s="6">
        <v>46183</v>
      </c>
      <c r="C791" s="5" t="s">
        <v>1058</v>
      </c>
      <c r="D791" s="5" t="s">
        <v>71</v>
      </c>
      <c r="E791" s="5" t="s">
        <v>197</v>
      </c>
      <c r="F791" s="5" t="s">
        <v>28</v>
      </c>
      <c r="G791">
        <v>0.73611111111111116</v>
      </c>
      <c r="H791">
        <v>0.76388888888888884</v>
      </c>
      <c r="I791">
        <v>27</v>
      </c>
      <c r="J791" s="5" t="s">
        <v>60</v>
      </c>
      <c r="K791" s="5" t="s">
        <v>19</v>
      </c>
      <c r="L791">
        <v>738</v>
      </c>
      <c r="M791" s="5">
        <v>40</v>
      </c>
      <c r="N791" s="5" t="s">
        <v>1679</v>
      </c>
      <c r="O791" s="5" t="s">
        <v>1662</v>
      </c>
      <c r="P791">
        <v>0</v>
      </c>
      <c r="Q791" t="s">
        <v>1665</v>
      </c>
      <c r="R791" t="s">
        <v>1657</v>
      </c>
    </row>
    <row r="792" spans="1:18" x14ac:dyDescent="0.35">
      <c r="A792" s="5" t="s">
        <v>1390</v>
      </c>
      <c r="B792" s="6">
        <v>46183</v>
      </c>
      <c r="C792" s="5" t="s">
        <v>452</v>
      </c>
      <c r="D792" s="5" t="s">
        <v>197</v>
      </c>
      <c r="E792" s="5" t="s">
        <v>202</v>
      </c>
      <c r="F792" s="5" t="s">
        <v>17</v>
      </c>
      <c r="G792">
        <v>0.82638888888888884</v>
      </c>
      <c r="H792">
        <v>0.87847222222222221</v>
      </c>
      <c r="I792">
        <v>62</v>
      </c>
      <c r="J792" s="5" t="s">
        <v>129</v>
      </c>
      <c r="K792" s="5" t="s">
        <v>19</v>
      </c>
      <c r="L792">
        <v>1092</v>
      </c>
      <c r="M792" s="5">
        <v>75</v>
      </c>
      <c r="N792" s="5" t="s">
        <v>1679</v>
      </c>
      <c r="O792" s="5" t="s">
        <v>1662</v>
      </c>
      <c r="P792">
        <v>0</v>
      </c>
      <c r="Q792" t="s">
        <v>1665</v>
      </c>
      <c r="R792" t="s">
        <v>1670</v>
      </c>
    </row>
    <row r="793" spans="1:18" x14ac:dyDescent="0.35">
      <c r="A793" s="5" t="s">
        <v>1391</v>
      </c>
      <c r="B793" s="6">
        <v>46184</v>
      </c>
      <c r="C793" s="5" t="s">
        <v>975</v>
      </c>
      <c r="D793" s="5" t="s">
        <v>197</v>
      </c>
      <c r="E793" s="5" t="s">
        <v>1295</v>
      </c>
      <c r="F793" s="5" t="s">
        <v>17</v>
      </c>
      <c r="G793">
        <v>0.71875</v>
      </c>
      <c r="H793">
        <v>0.75</v>
      </c>
      <c r="I793">
        <v>47</v>
      </c>
      <c r="J793" s="5" t="s">
        <v>54</v>
      </c>
      <c r="K793" s="5" t="s">
        <v>19</v>
      </c>
      <c r="L793">
        <v>2580</v>
      </c>
      <c r="M793" s="5">
        <v>45</v>
      </c>
      <c r="N793" s="5" t="s">
        <v>1679</v>
      </c>
      <c r="O793" s="5" t="s">
        <v>1664</v>
      </c>
      <c r="P793">
        <v>0</v>
      </c>
      <c r="Q793" t="s">
        <v>1665</v>
      </c>
      <c r="R793" t="s">
        <v>1657</v>
      </c>
    </row>
    <row r="794" spans="1:18" x14ac:dyDescent="0.35">
      <c r="A794" s="5" t="s">
        <v>1392</v>
      </c>
      <c r="B794" s="6">
        <v>46185</v>
      </c>
      <c r="C794" s="5" t="s">
        <v>935</v>
      </c>
      <c r="D794" s="5" t="s">
        <v>84</v>
      </c>
      <c r="E794" s="5" t="s">
        <v>226</v>
      </c>
      <c r="F794" s="5" t="s">
        <v>17</v>
      </c>
      <c r="G794">
        <v>0.56597222222222221</v>
      </c>
      <c r="H794">
        <v>0.56805555555555554</v>
      </c>
      <c r="I794">
        <v>11</v>
      </c>
      <c r="J794" s="5" t="s">
        <v>18</v>
      </c>
      <c r="K794" s="5" t="s">
        <v>19</v>
      </c>
      <c r="L794">
        <v>1023</v>
      </c>
      <c r="M794" s="5">
        <v>3</v>
      </c>
      <c r="N794" s="5" t="s">
        <v>1679</v>
      </c>
      <c r="O794" s="5" t="s">
        <v>1666</v>
      </c>
      <c r="P794">
        <v>1</v>
      </c>
      <c r="Q794" t="s">
        <v>1663</v>
      </c>
    </row>
    <row r="795" spans="1:18" x14ac:dyDescent="0.35">
      <c r="A795" s="5" t="s">
        <v>1393</v>
      </c>
      <c r="B795" s="6">
        <v>46185</v>
      </c>
      <c r="C795" s="5" t="s">
        <v>598</v>
      </c>
      <c r="D795" s="5" t="s">
        <v>84</v>
      </c>
      <c r="E795" s="5" t="s">
        <v>71</v>
      </c>
      <c r="F795" s="5" t="s">
        <v>17</v>
      </c>
      <c r="G795">
        <v>0.85069444444444442</v>
      </c>
      <c r="H795">
        <v>0.85277777777777775</v>
      </c>
      <c r="I795">
        <v>12</v>
      </c>
      <c r="J795" s="5" t="s">
        <v>18</v>
      </c>
      <c r="K795" s="5" t="s">
        <v>19</v>
      </c>
      <c r="L795">
        <v>1717</v>
      </c>
      <c r="M795" s="5">
        <v>3</v>
      </c>
      <c r="N795" s="5" t="s">
        <v>1679</v>
      </c>
      <c r="O795" s="5" t="s">
        <v>1666</v>
      </c>
      <c r="P795">
        <v>1</v>
      </c>
      <c r="Q795" t="s">
        <v>1665</v>
      </c>
    </row>
    <row r="796" spans="1:18" x14ac:dyDescent="0.35">
      <c r="A796" s="5" t="s">
        <v>1394</v>
      </c>
      <c r="B796" s="6">
        <v>46186</v>
      </c>
      <c r="C796" s="5" t="s">
        <v>1395</v>
      </c>
      <c r="D796" s="5" t="s">
        <v>1295</v>
      </c>
      <c r="E796" s="5" t="s">
        <v>1171</v>
      </c>
      <c r="F796" s="5" t="s">
        <v>17</v>
      </c>
      <c r="G796">
        <v>0.53472222222222221</v>
      </c>
      <c r="H796">
        <v>0.54305555555555551</v>
      </c>
      <c r="I796">
        <v>18</v>
      </c>
      <c r="J796" s="5" t="s">
        <v>18</v>
      </c>
      <c r="K796" s="5" t="s">
        <v>19</v>
      </c>
      <c r="L796">
        <v>651</v>
      </c>
      <c r="M796" s="5">
        <v>12</v>
      </c>
      <c r="N796" s="5" t="s">
        <v>1679</v>
      </c>
      <c r="O796" s="5" t="s">
        <v>1667</v>
      </c>
      <c r="P796">
        <v>0</v>
      </c>
      <c r="Q796" t="s">
        <v>1663</v>
      </c>
    </row>
    <row r="797" spans="1:18" x14ac:dyDescent="0.35">
      <c r="A797" s="5" t="s">
        <v>1396</v>
      </c>
      <c r="B797" s="6">
        <v>46187</v>
      </c>
      <c r="C797" s="5" t="s">
        <v>843</v>
      </c>
      <c r="D797" s="5" t="s">
        <v>226</v>
      </c>
      <c r="E797" s="5" t="s">
        <v>546</v>
      </c>
      <c r="F797" s="5" t="s">
        <v>17</v>
      </c>
      <c r="G797">
        <v>0.33333333333333331</v>
      </c>
      <c r="H797">
        <v>0.33124999999999999</v>
      </c>
      <c r="I797">
        <v>4</v>
      </c>
      <c r="J797" s="5" t="s">
        <v>18</v>
      </c>
      <c r="K797" s="5" t="s">
        <v>19</v>
      </c>
      <c r="L797">
        <v>627</v>
      </c>
      <c r="M797" s="5">
        <v>-3</v>
      </c>
      <c r="N797" s="5" t="s">
        <v>1679</v>
      </c>
      <c r="O797" s="5" t="s">
        <v>1668</v>
      </c>
      <c r="P797">
        <v>1</v>
      </c>
      <c r="Q797" t="s">
        <v>1660</v>
      </c>
    </row>
    <row r="798" spans="1:18" x14ac:dyDescent="0.35">
      <c r="A798" s="5" t="s">
        <v>1397</v>
      </c>
      <c r="B798" s="6">
        <v>46187</v>
      </c>
      <c r="C798" s="5" t="s">
        <v>587</v>
      </c>
      <c r="D798" s="5" t="s">
        <v>71</v>
      </c>
      <c r="E798" s="5" t="s">
        <v>79</v>
      </c>
      <c r="F798" s="5" t="s">
        <v>24</v>
      </c>
      <c r="G798">
        <v>0.34027777777777779</v>
      </c>
      <c r="H798">
        <v>0.34444444444444439</v>
      </c>
      <c r="I798">
        <v>-6</v>
      </c>
      <c r="J798" s="5" t="s">
        <v>18</v>
      </c>
      <c r="K798" s="5" t="s">
        <v>19</v>
      </c>
      <c r="L798">
        <v>606</v>
      </c>
      <c r="M798" s="5">
        <v>6</v>
      </c>
      <c r="N798" s="5" t="s">
        <v>1679</v>
      </c>
      <c r="O798" s="5" t="s">
        <v>1668</v>
      </c>
      <c r="P798">
        <v>1</v>
      </c>
      <c r="Q798" t="s">
        <v>1660</v>
      </c>
    </row>
    <row r="799" spans="1:18" x14ac:dyDescent="0.35">
      <c r="A799" s="5" t="s">
        <v>1398</v>
      </c>
      <c r="B799" s="6">
        <v>46187</v>
      </c>
      <c r="C799" s="5" t="s">
        <v>288</v>
      </c>
      <c r="D799" s="5" t="s">
        <v>226</v>
      </c>
      <c r="E799" s="5" t="s">
        <v>197</v>
      </c>
      <c r="F799" s="5" t="s">
        <v>38</v>
      </c>
      <c r="G799">
        <v>0.34722222222222221</v>
      </c>
      <c r="H799">
        <v>0.35416666666666669</v>
      </c>
      <c r="I799">
        <v>11</v>
      </c>
      <c r="J799" s="5" t="s">
        <v>18</v>
      </c>
      <c r="K799" s="5" t="s">
        <v>19</v>
      </c>
      <c r="L799">
        <v>1622</v>
      </c>
      <c r="M799" s="5">
        <v>10</v>
      </c>
      <c r="N799" s="5" t="s">
        <v>1679</v>
      </c>
      <c r="O799" s="5" t="s">
        <v>1668</v>
      </c>
      <c r="P799">
        <v>1</v>
      </c>
      <c r="Q799" t="s">
        <v>1660</v>
      </c>
    </row>
    <row r="800" spans="1:18" x14ac:dyDescent="0.35">
      <c r="A800" s="5" t="s">
        <v>1399</v>
      </c>
      <c r="B800" s="6">
        <v>46187</v>
      </c>
      <c r="C800" s="5" t="s">
        <v>1400</v>
      </c>
      <c r="D800" s="5" t="s">
        <v>79</v>
      </c>
      <c r="E800" s="5" t="s">
        <v>226</v>
      </c>
      <c r="F800" s="5" t="s">
        <v>28</v>
      </c>
      <c r="G800">
        <v>0.52430555555555558</v>
      </c>
      <c r="H800">
        <v>0.54236111111111107</v>
      </c>
      <c r="I800">
        <v>12</v>
      </c>
      <c r="J800" s="5" t="s">
        <v>319</v>
      </c>
      <c r="K800" s="5" t="s">
        <v>19</v>
      </c>
      <c r="L800">
        <v>1197</v>
      </c>
      <c r="M800" s="5">
        <v>26</v>
      </c>
      <c r="N800" s="5" t="s">
        <v>1679</v>
      </c>
      <c r="O800" s="5" t="s">
        <v>1668</v>
      </c>
      <c r="P800">
        <v>1</v>
      </c>
      <c r="Q800" t="s">
        <v>1663</v>
      </c>
      <c r="R800" t="s">
        <v>1670</v>
      </c>
    </row>
    <row r="801" spans="1:18" x14ac:dyDescent="0.35">
      <c r="A801" s="5" t="s">
        <v>1401</v>
      </c>
      <c r="B801" s="6">
        <v>46187</v>
      </c>
      <c r="C801" s="5" t="s">
        <v>1402</v>
      </c>
      <c r="D801" s="5" t="s">
        <v>197</v>
      </c>
      <c r="E801" s="5" t="s">
        <v>71</v>
      </c>
      <c r="F801" s="5" t="s">
        <v>17</v>
      </c>
      <c r="G801">
        <v>0.62152777777777779</v>
      </c>
      <c r="H801">
        <v>0.62430555555555556</v>
      </c>
      <c r="I801">
        <v>7</v>
      </c>
      <c r="J801" s="5" t="s">
        <v>18</v>
      </c>
      <c r="K801" s="5" t="s">
        <v>19</v>
      </c>
      <c r="L801">
        <v>738</v>
      </c>
      <c r="M801" s="5">
        <v>4</v>
      </c>
      <c r="N801" s="5" t="s">
        <v>1679</v>
      </c>
      <c r="O801" s="5" t="s">
        <v>1668</v>
      </c>
      <c r="P801">
        <v>1</v>
      </c>
      <c r="Q801" t="s">
        <v>1663</v>
      </c>
    </row>
    <row r="802" spans="1:18" x14ac:dyDescent="0.35">
      <c r="A802" s="5" t="s">
        <v>1403</v>
      </c>
      <c r="B802" s="6">
        <v>46187</v>
      </c>
      <c r="C802" s="5" t="s">
        <v>220</v>
      </c>
      <c r="D802" s="5" t="s">
        <v>588</v>
      </c>
      <c r="E802" s="5" t="s">
        <v>202</v>
      </c>
      <c r="F802" s="5" t="s">
        <v>28</v>
      </c>
      <c r="G802">
        <v>0.69444444444444442</v>
      </c>
      <c r="H802">
        <v>0.70763888888888893</v>
      </c>
      <c r="I802">
        <v>4</v>
      </c>
      <c r="J802" s="5" t="s">
        <v>54</v>
      </c>
      <c r="K802" s="5" t="s">
        <v>19</v>
      </c>
      <c r="L802">
        <v>1120</v>
      </c>
      <c r="M802" s="5">
        <v>19</v>
      </c>
      <c r="N802" s="5" t="s">
        <v>1679</v>
      </c>
      <c r="O802" s="5" t="s">
        <v>1668</v>
      </c>
      <c r="P802">
        <v>1</v>
      </c>
      <c r="Q802" t="s">
        <v>1663</v>
      </c>
      <c r="R802" t="s">
        <v>1657</v>
      </c>
    </row>
    <row r="803" spans="1:18" x14ac:dyDescent="0.35">
      <c r="A803" s="5" t="s">
        <v>1404</v>
      </c>
      <c r="B803" s="6">
        <v>46187</v>
      </c>
      <c r="C803" s="5" t="s">
        <v>1341</v>
      </c>
      <c r="D803" s="5" t="s">
        <v>84</v>
      </c>
      <c r="E803" s="5" t="s">
        <v>226</v>
      </c>
      <c r="F803" s="5" t="s">
        <v>28</v>
      </c>
      <c r="G803">
        <v>0.71180555555555558</v>
      </c>
      <c r="H803">
        <v>0.71944444444444444</v>
      </c>
      <c r="I803">
        <v>13</v>
      </c>
      <c r="J803" s="5" t="s">
        <v>18</v>
      </c>
      <c r="K803" s="5" t="s">
        <v>19</v>
      </c>
      <c r="L803">
        <v>1023</v>
      </c>
      <c r="M803" s="5">
        <v>11</v>
      </c>
      <c r="N803" s="5" t="s">
        <v>1679</v>
      </c>
      <c r="O803" s="5" t="s">
        <v>1668</v>
      </c>
      <c r="P803">
        <v>1</v>
      </c>
      <c r="Q803" t="s">
        <v>1665</v>
      </c>
    </row>
    <row r="804" spans="1:18" x14ac:dyDescent="0.35">
      <c r="A804" s="5" t="s">
        <v>1405</v>
      </c>
      <c r="B804" s="6">
        <v>46187</v>
      </c>
      <c r="C804" s="5" t="s">
        <v>721</v>
      </c>
      <c r="D804" s="5" t="s">
        <v>413</v>
      </c>
      <c r="E804" s="5" t="s">
        <v>226</v>
      </c>
      <c r="F804" s="5" t="s">
        <v>28</v>
      </c>
      <c r="G804">
        <v>0.74652777777777779</v>
      </c>
      <c r="J804" s="5" t="s">
        <v>60</v>
      </c>
      <c r="K804" s="5" t="s">
        <v>254</v>
      </c>
      <c r="L804">
        <v>861</v>
      </c>
      <c r="M804" s="5"/>
      <c r="N804" s="5" t="s">
        <v>1679</v>
      </c>
      <c r="O804" s="5" t="s">
        <v>1668</v>
      </c>
      <c r="Q804" t="s">
        <v>1665</v>
      </c>
      <c r="R804" t="s">
        <v>1657</v>
      </c>
    </row>
    <row r="805" spans="1:18" x14ac:dyDescent="0.35">
      <c r="A805" s="5" t="s">
        <v>1406</v>
      </c>
      <c r="B805" s="6">
        <v>46187</v>
      </c>
      <c r="C805" s="5" t="s">
        <v>417</v>
      </c>
      <c r="D805" s="5" t="s">
        <v>71</v>
      </c>
      <c r="E805" s="5" t="s">
        <v>226</v>
      </c>
      <c r="F805" s="5" t="s">
        <v>17</v>
      </c>
      <c r="G805">
        <v>0.81597222222222221</v>
      </c>
      <c r="H805">
        <v>0.81041666666666667</v>
      </c>
      <c r="I805">
        <v>-1</v>
      </c>
      <c r="J805" s="5" t="s">
        <v>18</v>
      </c>
      <c r="K805" s="5" t="s">
        <v>19</v>
      </c>
      <c r="L805">
        <v>886</v>
      </c>
      <c r="M805" s="5">
        <v>-8</v>
      </c>
      <c r="N805" s="5" t="s">
        <v>1679</v>
      </c>
      <c r="O805" s="5" t="s">
        <v>1668</v>
      </c>
      <c r="P805">
        <v>1</v>
      </c>
      <c r="Q805" t="s">
        <v>1665</v>
      </c>
    </row>
    <row r="806" spans="1:18" x14ac:dyDescent="0.35">
      <c r="A806" s="5" t="s">
        <v>1407</v>
      </c>
      <c r="B806" s="6">
        <v>46188</v>
      </c>
      <c r="C806" s="5" t="s">
        <v>539</v>
      </c>
      <c r="D806" s="5" t="s">
        <v>588</v>
      </c>
      <c r="E806" s="5" t="s">
        <v>546</v>
      </c>
      <c r="F806" s="5" t="s">
        <v>38</v>
      </c>
      <c r="G806">
        <v>0.58333333333333337</v>
      </c>
      <c r="H806">
        <v>0.57986111111111116</v>
      </c>
      <c r="I806">
        <v>-7</v>
      </c>
      <c r="J806" s="5" t="s">
        <v>18</v>
      </c>
      <c r="K806" s="5" t="s">
        <v>19</v>
      </c>
      <c r="L806">
        <v>1053</v>
      </c>
      <c r="M806" s="5">
        <v>-5</v>
      </c>
      <c r="N806" s="5" t="s">
        <v>1679</v>
      </c>
      <c r="O806" s="5" t="s">
        <v>1659</v>
      </c>
      <c r="P806">
        <v>1</v>
      </c>
      <c r="Q806" t="s">
        <v>1663</v>
      </c>
    </row>
    <row r="807" spans="1:18" x14ac:dyDescent="0.35">
      <c r="A807" s="5" t="s">
        <v>1408</v>
      </c>
      <c r="B807" s="6">
        <v>46189</v>
      </c>
      <c r="C807" s="5" t="s">
        <v>512</v>
      </c>
      <c r="D807" s="5" t="s">
        <v>79</v>
      </c>
      <c r="E807" s="5" t="s">
        <v>202</v>
      </c>
      <c r="F807" s="5" t="s">
        <v>38</v>
      </c>
      <c r="G807">
        <v>0.78472222222222221</v>
      </c>
      <c r="H807">
        <v>0.79166666666666663</v>
      </c>
      <c r="I807">
        <v>18</v>
      </c>
      <c r="J807" s="5" t="s">
        <v>18</v>
      </c>
      <c r="K807" s="5" t="s">
        <v>19</v>
      </c>
      <c r="L807">
        <v>596</v>
      </c>
      <c r="M807" s="5">
        <v>10</v>
      </c>
      <c r="N807" s="5" t="s">
        <v>1679</v>
      </c>
      <c r="O807" s="5" t="s">
        <v>1661</v>
      </c>
      <c r="P807">
        <v>0</v>
      </c>
      <c r="Q807" t="s">
        <v>1665</v>
      </c>
    </row>
    <row r="808" spans="1:18" x14ac:dyDescent="0.35">
      <c r="A808" s="5" t="s">
        <v>1409</v>
      </c>
      <c r="B808" s="6">
        <v>46190</v>
      </c>
      <c r="C808" s="5" t="s">
        <v>1410</v>
      </c>
      <c r="D808" s="5" t="s">
        <v>202</v>
      </c>
      <c r="E808" s="5" t="s">
        <v>413</v>
      </c>
      <c r="F808" s="5" t="s">
        <v>24</v>
      </c>
      <c r="G808">
        <v>0.54513888888888884</v>
      </c>
      <c r="H808">
        <v>0.54374999999999996</v>
      </c>
      <c r="I808">
        <v>-5</v>
      </c>
      <c r="J808" s="5" t="s">
        <v>18</v>
      </c>
      <c r="K808" s="5" t="s">
        <v>19</v>
      </c>
      <c r="L808">
        <v>2338</v>
      </c>
      <c r="M808" s="5">
        <v>-2</v>
      </c>
      <c r="N808" s="5" t="s">
        <v>1679</v>
      </c>
      <c r="O808" s="5" t="s">
        <v>1662</v>
      </c>
      <c r="P808">
        <v>1</v>
      </c>
      <c r="Q808" t="s">
        <v>1663</v>
      </c>
    </row>
    <row r="809" spans="1:18" x14ac:dyDescent="0.35">
      <c r="A809" s="5" t="s">
        <v>1411</v>
      </c>
      <c r="B809" s="6">
        <v>46190</v>
      </c>
      <c r="C809" s="5" t="s">
        <v>1024</v>
      </c>
      <c r="D809" s="5" t="s">
        <v>79</v>
      </c>
      <c r="E809" s="5" t="s">
        <v>413</v>
      </c>
      <c r="F809" s="5" t="s">
        <v>17</v>
      </c>
      <c r="G809">
        <v>0.61111111111111116</v>
      </c>
      <c r="H809">
        <v>0.61250000000000004</v>
      </c>
      <c r="I809">
        <v>2</v>
      </c>
      <c r="J809" s="5" t="s">
        <v>18</v>
      </c>
      <c r="K809" s="5" t="s">
        <v>19</v>
      </c>
      <c r="L809">
        <v>1942</v>
      </c>
      <c r="M809" s="5">
        <v>2</v>
      </c>
      <c r="N809" s="5" t="s">
        <v>1679</v>
      </c>
      <c r="O809" s="5" t="s">
        <v>1662</v>
      </c>
      <c r="P809">
        <v>1</v>
      </c>
      <c r="Q809" t="s">
        <v>1663</v>
      </c>
    </row>
    <row r="810" spans="1:18" x14ac:dyDescent="0.35">
      <c r="A810" s="5" t="s">
        <v>1412</v>
      </c>
      <c r="B810" s="6">
        <v>46190</v>
      </c>
      <c r="C810" s="5" t="s">
        <v>157</v>
      </c>
      <c r="D810" s="5" t="s">
        <v>79</v>
      </c>
      <c r="E810" s="5" t="s">
        <v>226</v>
      </c>
      <c r="F810" s="5" t="s">
        <v>28</v>
      </c>
      <c r="G810">
        <v>0.69444444444444442</v>
      </c>
      <c r="H810">
        <v>0.72499999999999998</v>
      </c>
      <c r="I810">
        <v>52</v>
      </c>
      <c r="J810" s="5" t="s">
        <v>129</v>
      </c>
      <c r="K810" s="5" t="s">
        <v>19</v>
      </c>
      <c r="L810">
        <v>1197</v>
      </c>
      <c r="M810" s="5">
        <v>44</v>
      </c>
      <c r="N810" s="5" t="s">
        <v>1679</v>
      </c>
      <c r="O810" s="5" t="s">
        <v>1662</v>
      </c>
      <c r="P810">
        <v>0</v>
      </c>
      <c r="Q810" t="s">
        <v>1663</v>
      </c>
      <c r="R810" t="s">
        <v>1670</v>
      </c>
    </row>
    <row r="811" spans="1:18" x14ac:dyDescent="0.35">
      <c r="A811" s="5" t="s">
        <v>1413</v>
      </c>
      <c r="B811" s="6">
        <v>46191</v>
      </c>
      <c r="C811" s="5" t="s">
        <v>1193</v>
      </c>
      <c r="D811" s="5" t="s">
        <v>71</v>
      </c>
      <c r="E811" s="5" t="s">
        <v>546</v>
      </c>
      <c r="F811" s="5" t="s">
        <v>17</v>
      </c>
      <c r="G811">
        <v>0.30555555555555558</v>
      </c>
      <c r="H811">
        <v>0.30972222222222218</v>
      </c>
      <c r="I811">
        <v>3</v>
      </c>
      <c r="J811" s="5" t="s">
        <v>18</v>
      </c>
      <c r="K811" s="5" t="s">
        <v>19</v>
      </c>
      <c r="L811">
        <v>1511</v>
      </c>
      <c r="M811" s="5">
        <v>6</v>
      </c>
      <c r="N811" s="5" t="s">
        <v>1679</v>
      </c>
      <c r="O811" s="5" t="s">
        <v>1664</v>
      </c>
      <c r="P811">
        <v>1</v>
      </c>
      <c r="Q811" t="s">
        <v>1660</v>
      </c>
    </row>
    <row r="812" spans="1:18" x14ac:dyDescent="0.35">
      <c r="A812" s="5" t="s">
        <v>1414</v>
      </c>
      <c r="B812" s="6">
        <v>46191</v>
      </c>
      <c r="C812" s="5" t="s">
        <v>465</v>
      </c>
      <c r="D812" s="5" t="s">
        <v>71</v>
      </c>
      <c r="E812" s="5" t="s">
        <v>79</v>
      </c>
      <c r="F812" s="5" t="s">
        <v>28</v>
      </c>
      <c r="G812">
        <v>0.41319444444444442</v>
      </c>
      <c r="H812">
        <v>0.41736111111111113</v>
      </c>
      <c r="I812">
        <v>16</v>
      </c>
      <c r="J812" s="5" t="s">
        <v>18</v>
      </c>
      <c r="K812" s="5" t="s">
        <v>19</v>
      </c>
      <c r="L812">
        <v>606</v>
      </c>
      <c r="M812" s="5">
        <v>6</v>
      </c>
      <c r="N812" s="5" t="s">
        <v>1679</v>
      </c>
      <c r="O812" s="5" t="s">
        <v>1664</v>
      </c>
      <c r="P812">
        <v>0</v>
      </c>
      <c r="Q812" t="s">
        <v>1660</v>
      </c>
    </row>
    <row r="813" spans="1:18" x14ac:dyDescent="0.35">
      <c r="A813" s="5" t="s">
        <v>1415</v>
      </c>
      <c r="B813" s="6">
        <v>46191</v>
      </c>
      <c r="C813" s="5" t="s">
        <v>594</v>
      </c>
      <c r="D813" s="5" t="s">
        <v>413</v>
      </c>
      <c r="E813" s="5" t="s">
        <v>546</v>
      </c>
      <c r="F813" s="5" t="s">
        <v>38</v>
      </c>
      <c r="G813">
        <v>0.65625</v>
      </c>
      <c r="H813">
        <v>0.70763888888888893</v>
      </c>
      <c r="I813">
        <v>73</v>
      </c>
      <c r="J813" s="5" t="s">
        <v>54</v>
      </c>
      <c r="K813" s="5" t="s">
        <v>19</v>
      </c>
      <c r="L813">
        <v>236</v>
      </c>
      <c r="M813" s="5">
        <v>74</v>
      </c>
      <c r="N813" s="5" t="s">
        <v>1679</v>
      </c>
      <c r="O813" s="5" t="s">
        <v>1664</v>
      </c>
      <c r="P813">
        <v>0</v>
      </c>
      <c r="Q813" t="s">
        <v>1663</v>
      </c>
      <c r="R813" t="s">
        <v>1657</v>
      </c>
    </row>
    <row r="814" spans="1:18" x14ac:dyDescent="0.35">
      <c r="A814" s="5" t="s">
        <v>1416</v>
      </c>
      <c r="B814" s="6">
        <v>46192</v>
      </c>
      <c r="C814" s="5" t="s">
        <v>232</v>
      </c>
      <c r="D814" s="5" t="s">
        <v>71</v>
      </c>
      <c r="E814" s="5" t="s">
        <v>588</v>
      </c>
      <c r="F814" s="5" t="s">
        <v>24</v>
      </c>
      <c r="G814">
        <v>0.39930555555555558</v>
      </c>
      <c r="H814">
        <v>0.39791666666666659</v>
      </c>
      <c r="J814" s="5" t="s">
        <v>18</v>
      </c>
      <c r="K814" s="5" t="s">
        <v>19</v>
      </c>
      <c r="L814">
        <v>802</v>
      </c>
      <c r="M814" s="5">
        <v>-2</v>
      </c>
      <c r="N814" s="5" t="s">
        <v>1679</v>
      </c>
      <c r="O814" s="5" t="s">
        <v>1666</v>
      </c>
      <c r="Q814" t="s">
        <v>1660</v>
      </c>
    </row>
    <row r="815" spans="1:18" x14ac:dyDescent="0.35">
      <c r="A815" s="5" t="s">
        <v>1417</v>
      </c>
      <c r="B815" s="6">
        <v>46192</v>
      </c>
      <c r="C815" s="5" t="s">
        <v>324</v>
      </c>
      <c r="D815" s="5" t="s">
        <v>71</v>
      </c>
      <c r="E815" s="5" t="s">
        <v>79</v>
      </c>
      <c r="F815" s="5" t="s">
        <v>17</v>
      </c>
      <c r="G815">
        <v>0.45833333333333331</v>
      </c>
      <c r="H815">
        <v>0.46458333333333329</v>
      </c>
      <c r="I815">
        <v>13</v>
      </c>
      <c r="J815" s="5" t="s">
        <v>18</v>
      </c>
      <c r="K815" s="5" t="s">
        <v>19</v>
      </c>
      <c r="L815">
        <v>606</v>
      </c>
      <c r="M815" s="5">
        <v>9</v>
      </c>
      <c r="N815" s="5" t="s">
        <v>1679</v>
      </c>
      <c r="O815" s="5" t="s">
        <v>1666</v>
      </c>
      <c r="P815">
        <v>1</v>
      </c>
      <c r="Q815" t="s">
        <v>1660</v>
      </c>
    </row>
    <row r="816" spans="1:18" x14ac:dyDescent="0.35">
      <c r="A816" s="5" t="s">
        <v>1418</v>
      </c>
      <c r="B816" s="6">
        <v>46192</v>
      </c>
      <c r="C816" s="5" t="s">
        <v>1095</v>
      </c>
      <c r="D816" s="5" t="s">
        <v>1549</v>
      </c>
      <c r="E816" s="5" t="s">
        <v>1171</v>
      </c>
      <c r="F816" s="5" t="s">
        <v>17</v>
      </c>
      <c r="G816">
        <v>0.55208333333333337</v>
      </c>
      <c r="H816">
        <v>0.59375</v>
      </c>
      <c r="I816">
        <v>60</v>
      </c>
      <c r="J816" s="5" t="s">
        <v>60</v>
      </c>
      <c r="K816" s="5" t="s">
        <v>19</v>
      </c>
      <c r="L816">
        <v>2295</v>
      </c>
      <c r="M816" s="5">
        <v>60</v>
      </c>
      <c r="N816" s="5" t="s">
        <v>1679</v>
      </c>
      <c r="O816" s="5" t="s">
        <v>1666</v>
      </c>
      <c r="P816">
        <v>0</v>
      </c>
      <c r="Q816" t="s">
        <v>1663</v>
      </c>
      <c r="R816" t="s">
        <v>1657</v>
      </c>
    </row>
    <row r="817" spans="1:18" x14ac:dyDescent="0.35">
      <c r="A817" s="5" t="s">
        <v>1419</v>
      </c>
      <c r="B817" s="6">
        <v>46192</v>
      </c>
      <c r="C817" s="5" t="s">
        <v>1420</v>
      </c>
      <c r="D817" s="5" t="s">
        <v>79</v>
      </c>
      <c r="E817" s="5" t="s">
        <v>71</v>
      </c>
      <c r="F817" s="5" t="s">
        <v>28</v>
      </c>
      <c r="G817">
        <v>0.61111111111111116</v>
      </c>
      <c r="H817">
        <v>0.61111111111111116</v>
      </c>
      <c r="I817">
        <v>-8</v>
      </c>
      <c r="J817" s="5" t="s">
        <v>18</v>
      </c>
      <c r="K817" s="5" t="s">
        <v>19</v>
      </c>
      <c r="L817">
        <v>606</v>
      </c>
      <c r="M817" s="5">
        <v>0</v>
      </c>
      <c r="N817" s="5" t="s">
        <v>1679</v>
      </c>
      <c r="O817" s="5" t="s">
        <v>1666</v>
      </c>
      <c r="P817">
        <v>1</v>
      </c>
      <c r="Q817" t="s">
        <v>1663</v>
      </c>
    </row>
    <row r="818" spans="1:18" x14ac:dyDescent="0.35">
      <c r="A818" s="5" t="s">
        <v>1421</v>
      </c>
      <c r="B818" s="6">
        <v>46192</v>
      </c>
      <c r="C818" s="5" t="s">
        <v>1402</v>
      </c>
      <c r="D818" s="5" t="s">
        <v>197</v>
      </c>
      <c r="E818" s="5" t="s">
        <v>226</v>
      </c>
      <c r="F818" s="5" t="s">
        <v>17</v>
      </c>
      <c r="G818">
        <v>0.75694444444444442</v>
      </c>
      <c r="H818">
        <v>0.79791666666666672</v>
      </c>
      <c r="I818">
        <v>54</v>
      </c>
      <c r="J818" s="5" t="s">
        <v>477</v>
      </c>
      <c r="K818" s="5" t="s">
        <v>19</v>
      </c>
      <c r="L818">
        <v>1622</v>
      </c>
      <c r="M818" s="5">
        <v>59</v>
      </c>
      <c r="N818" s="5" t="s">
        <v>1679</v>
      </c>
      <c r="O818" s="5" t="s">
        <v>1666</v>
      </c>
      <c r="P818">
        <v>0</v>
      </c>
      <c r="Q818" t="s">
        <v>1665</v>
      </c>
      <c r="R818" t="s">
        <v>1670</v>
      </c>
    </row>
    <row r="819" spans="1:18" x14ac:dyDescent="0.35">
      <c r="A819" s="5" t="s">
        <v>1422</v>
      </c>
      <c r="B819" s="6">
        <v>46192</v>
      </c>
      <c r="C819" s="5" t="s">
        <v>458</v>
      </c>
      <c r="D819" s="5" t="s">
        <v>71</v>
      </c>
      <c r="E819" s="5" t="s">
        <v>202</v>
      </c>
      <c r="F819" s="5" t="s">
        <v>17</v>
      </c>
      <c r="G819">
        <v>0.89930555555555558</v>
      </c>
      <c r="H819">
        <v>0.93055555555555558</v>
      </c>
      <c r="I819">
        <v>35</v>
      </c>
      <c r="J819" s="5" t="s">
        <v>477</v>
      </c>
      <c r="K819" s="5" t="s">
        <v>19</v>
      </c>
      <c r="L819">
        <v>1199</v>
      </c>
      <c r="M819" s="5">
        <v>45</v>
      </c>
      <c r="N819" s="5" t="s">
        <v>1679</v>
      </c>
      <c r="O819" s="5" t="s">
        <v>1666</v>
      </c>
      <c r="P819">
        <v>0</v>
      </c>
      <c r="Q819" t="s">
        <v>1669</v>
      </c>
      <c r="R819" t="s">
        <v>1670</v>
      </c>
    </row>
    <row r="820" spans="1:18" x14ac:dyDescent="0.35">
      <c r="A820" s="5" t="s">
        <v>1423</v>
      </c>
      <c r="B820" s="6">
        <v>46194</v>
      </c>
      <c r="C820" s="5" t="s">
        <v>43</v>
      </c>
      <c r="D820" s="5" t="s">
        <v>1295</v>
      </c>
      <c r="E820" s="5" t="s">
        <v>413</v>
      </c>
      <c r="F820" s="5" t="s">
        <v>38</v>
      </c>
      <c r="G820">
        <v>0.75694444444444442</v>
      </c>
      <c r="H820">
        <v>0.76111111111111107</v>
      </c>
      <c r="I820">
        <v>2</v>
      </c>
      <c r="J820" s="5" t="s">
        <v>18</v>
      </c>
      <c r="K820" s="5" t="s">
        <v>19</v>
      </c>
      <c r="L820">
        <v>338</v>
      </c>
      <c r="M820" s="5">
        <v>6</v>
      </c>
      <c r="N820" s="5" t="s">
        <v>1679</v>
      </c>
      <c r="O820" s="5" t="s">
        <v>1668</v>
      </c>
      <c r="P820">
        <v>1</v>
      </c>
      <c r="Q820" t="s">
        <v>1665</v>
      </c>
    </row>
    <row r="821" spans="1:18" x14ac:dyDescent="0.35">
      <c r="A821" s="5" t="s">
        <v>1424</v>
      </c>
      <c r="B821" s="6">
        <v>46194</v>
      </c>
      <c r="C821" s="5" t="s">
        <v>1223</v>
      </c>
      <c r="D821" s="5" t="s">
        <v>413</v>
      </c>
      <c r="E821" s="5" t="s">
        <v>226</v>
      </c>
      <c r="F821" s="5" t="s">
        <v>24</v>
      </c>
      <c r="G821">
        <v>0.80902777777777779</v>
      </c>
      <c r="H821">
        <v>0.84166666666666667</v>
      </c>
      <c r="I821">
        <v>54</v>
      </c>
      <c r="J821" s="5" t="s">
        <v>60</v>
      </c>
      <c r="K821" s="5" t="s">
        <v>19</v>
      </c>
      <c r="L821">
        <v>861</v>
      </c>
      <c r="M821" s="5">
        <v>47</v>
      </c>
      <c r="N821" s="5" t="s">
        <v>1679</v>
      </c>
      <c r="O821" s="5" t="s">
        <v>1668</v>
      </c>
      <c r="P821">
        <v>0</v>
      </c>
      <c r="Q821" t="s">
        <v>1665</v>
      </c>
      <c r="R821" t="s">
        <v>1657</v>
      </c>
    </row>
    <row r="822" spans="1:18" x14ac:dyDescent="0.35">
      <c r="A822" s="5" t="s">
        <v>1425</v>
      </c>
      <c r="B822" s="6">
        <v>46195</v>
      </c>
      <c r="C822" s="5" t="s">
        <v>764</v>
      </c>
      <c r="D822" s="5" t="s">
        <v>79</v>
      </c>
      <c r="E822" s="5" t="s">
        <v>71</v>
      </c>
      <c r="F822" s="5" t="s">
        <v>24</v>
      </c>
      <c r="G822">
        <v>0.36458333333333331</v>
      </c>
      <c r="H822">
        <v>0.37152777777777779</v>
      </c>
      <c r="I822">
        <v>12</v>
      </c>
      <c r="J822" s="5" t="s">
        <v>18</v>
      </c>
      <c r="K822" s="5" t="s">
        <v>19</v>
      </c>
      <c r="L822">
        <v>606</v>
      </c>
      <c r="M822" s="5">
        <v>10</v>
      </c>
      <c r="N822" s="5" t="s">
        <v>1679</v>
      </c>
      <c r="O822" s="5" t="s">
        <v>1659</v>
      </c>
      <c r="P822">
        <v>1</v>
      </c>
      <c r="Q822" t="s">
        <v>1660</v>
      </c>
    </row>
    <row r="823" spans="1:18" x14ac:dyDescent="0.35">
      <c r="A823" s="5" t="s">
        <v>1426</v>
      </c>
      <c r="B823" s="6">
        <v>46195</v>
      </c>
      <c r="C823" s="5" t="s">
        <v>1427</v>
      </c>
      <c r="D823" s="5" t="s">
        <v>197</v>
      </c>
      <c r="E823" s="5" t="s">
        <v>71</v>
      </c>
      <c r="F823" s="5" t="s">
        <v>17</v>
      </c>
      <c r="G823">
        <v>0.78125</v>
      </c>
      <c r="H823">
        <v>0.80277777777777781</v>
      </c>
      <c r="I823">
        <v>38</v>
      </c>
      <c r="J823" s="5" t="s">
        <v>54</v>
      </c>
      <c r="K823" s="5" t="s">
        <v>19</v>
      </c>
      <c r="L823">
        <v>738</v>
      </c>
      <c r="M823" s="5">
        <v>31</v>
      </c>
      <c r="N823" s="5" t="s">
        <v>1679</v>
      </c>
      <c r="O823" s="5" t="s">
        <v>1659</v>
      </c>
      <c r="P823">
        <v>0</v>
      </c>
      <c r="Q823" t="s">
        <v>1665</v>
      </c>
      <c r="R823" t="s">
        <v>1657</v>
      </c>
    </row>
    <row r="824" spans="1:18" x14ac:dyDescent="0.35">
      <c r="A824" s="5" t="s">
        <v>1428</v>
      </c>
      <c r="B824" s="6">
        <v>46195</v>
      </c>
      <c r="C824" s="5" t="s">
        <v>543</v>
      </c>
      <c r="D824" s="5" t="s">
        <v>79</v>
      </c>
      <c r="E824" s="5" t="s">
        <v>197</v>
      </c>
      <c r="F824" s="5" t="s">
        <v>17</v>
      </c>
      <c r="G824">
        <v>0.79861111111111116</v>
      </c>
      <c r="H824">
        <v>0.82777777777777772</v>
      </c>
      <c r="I824">
        <v>40</v>
      </c>
      <c r="J824" s="5" t="s">
        <v>54</v>
      </c>
      <c r="K824" s="5" t="s">
        <v>19</v>
      </c>
      <c r="L824">
        <v>759</v>
      </c>
      <c r="M824" s="5">
        <v>42</v>
      </c>
      <c r="N824" s="5" t="s">
        <v>1679</v>
      </c>
      <c r="O824" s="5" t="s">
        <v>1659</v>
      </c>
      <c r="P824">
        <v>0</v>
      </c>
      <c r="Q824" t="s">
        <v>1665</v>
      </c>
      <c r="R824" t="s">
        <v>1657</v>
      </c>
    </row>
    <row r="825" spans="1:18" x14ac:dyDescent="0.35">
      <c r="A825" s="5" t="s">
        <v>1429</v>
      </c>
      <c r="B825" s="6">
        <v>46195</v>
      </c>
      <c r="C825" s="5" t="s">
        <v>367</v>
      </c>
      <c r="D825" s="5" t="s">
        <v>71</v>
      </c>
      <c r="E825" s="5" t="s">
        <v>202</v>
      </c>
      <c r="F825" s="5" t="s">
        <v>38</v>
      </c>
      <c r="G825">
        <v>0.82638888888888884</v>
      </c>
      <c r="H825">
        <v>0.82916666666666672</v>
      </c>
      <c r="I825">
        <v>-2</v>
      </c>
      <c r="J825" s="5" t="s">
        <v>18</v>
      </c>
      <c r="K825" s="5" t="s">
        <v>19</v>
      </c>
      <c r="L825">
        <v>1199</v>
      </c>
      <c r="M825" s="5"/>
      <c r="N825" s="5" t="s">
        <v>1679</v>
      </c>
      <c r="O825" s="5" t="s">
        <v>1659</v>
      </c>
      <c r="P825">
        <v>1</v>
      </c>
      <c r="Q825" t="s">
        <v>1665</v>
      </c>
    </row>
    <row r="826" spans="1:18" x14ac:dyDescent="0.35">
      <c r="A826" s="5" t="s">
        <v>1430</v>
      </c>
      <c r="B826" s="6">
        <v>46196</v>
      </c>
      <c r="C826" s="5" t="s">
        <v>859</v>
      </c>
      <c r="D826" s="5" t="s">
        <v>588</v>
      </c>
      <c r="E826" s="5" t="s">
        <v>84</v>
      </c>
      <c r="F826" s="5" t="s">
        <v>17</v>
      </c>
      <c r="G826">
        <v>0.40277777777777779</v>
      </c>
      <c r="H826">
        <v>0.39861111111111108</v>
      </c>
      <c r="I826">
        <v>-14</v>
      </c>
      <c r="J826" s="5" t="s">
        <v>18</v>
      </c>
      <c r="K826" s="5" t="s">
        <v>19</v>
      </c>
      <c r="L826">
        <v>1658</v>
      </c>
      <c r="M826" s="5">
        <v>-6</v>
      </c>
      <c r="N826" s="5" t="s">
        <v>1679</v>
      </c>
      <c r="O826" s="5" t="s">
        <v>1661</v>
      </c>
      <c r="P826">
        <v>1</v>
      </c>
      <c r="Q826" t="s">
        <v>1660</v>
      </c>
    </row>
    <row r="827" spans="1:18" x14ac:dyDescent="0.35">
      <c r="A827" s="5" t="s">
        <v>1431</v>
      </c>
      <c r="B827" s="6">
        <v>46196</v>
      </c>
      <c r="C827" s="5" t="s">
        <v>1019</v>
      </c>
      <c r="D827" s="5" t="s">
        <v>202</v>
      </c>
      <c r="E827" s="5" t="s">
        <v>197</v>
      </c>
      <c r="F827" s="5" t="s">
        <v>38</v>
      </c>
      <c r="G827">
        <v>0.71875</v>
      </c>
      <c r="H827">
        <v>0.78402777777777777</v>
      </c>
      <c r="I827">
        <v>98</v>
      </c>
      <c r="J827" s="5" t="s">
        <v>477</v>
      </c>
      <c r="K827" s="5" t="s">
        <v>19</v>
      </c>
      <c r="L827">
        <v>1092</v>
      </c>
      <c r="M827" s="5">
        <v>94</v>
      </c>
      <c r="N827" s="5" t="s">
        <v>1679</v>
      </c>
      <c r="O827" s="5" t="s">
        <v>1661</v>
      </c>
      <c r="P827">
        <v>0</v>
      </c>
      <c r="Q827" t="s">
        <v>1665</v>
      </c>
      <c r="R827" t="s">
        <v>1670</v>
      </c>
    </row>
    <row r="828" spans="1:18" x14ac:dyDescent="0.35">
      <c r="A828" s="5" t="s">
        <v>1432</v>
      </c>
      <c r="B828" s="6">
        <v>46196</v>
      </c>
      <c r="C828" s="5" t="s">
        <v>1272</v>
      </c>
      <c r="D828" s="5" t="s">
        <v>588</v>
      </c>
      <c r="E828" s="5" t="s">
        <v>1549</v>
      </c>
      <c r="F828" s="5" t="s">
        <v>17</v>
      </c>
      <c r="G828">
        <v>0.72569444444444442</v>
      </c>
      <c r="H828">
        <v>0.72638888888888886</v>
      </c>
      <c r="I828">
        <v>-2</v>
      </c>
      <c r="J828" s="5" t="s">
        <v>18</v>
      </c>
      <c r="K828" s="5" t="s">
        <v>19</v>
      </c>
      <c r="L828">
        <v>1559</v>
      </c>
      <c r="M828" s="5">
        <v>1</v>
      </c>
      <c r="N828" s="5" t="s">
        <v>1679</v>
      </c>
      <c r="O828" s="5" t="s">
        <v>1661</v>
      </c>
      <c r="P828">
        <v>1</v>
      </c>
      <c r="Q828" t="s">
        <v>1665</v>
      </c>
    </row>
    <row r="829" spans="1:18" x14ac:dyDescent="0.35">
      <c r="A829" s="5" t="s">
        <v>1433</v>
      </c>
      <c r="B829" s="6">
        <v>46197</v>
      </c>
      <c r="C829" s="5" t="s">
        <v>1434</v>
      </c>
      <c r="D829" s="5" t="s">
        <v>1295</v>
      </c>
      <c r="E829" s="5" t="s">
        <v>413</v>
      </c>
      <c r="F829" s="5" t="s">
        <v>17</v>
      </c>
      <c r="G829">
        <v>0.52083333333333337</v>
      </c>
      <c r="H829">
        <v>0.52222222222222225</v>
      </c>
      <c r="I829">
        <v>-7</v>
      </c>
      <c r="J829" s="5" t="s">
        <v>18</v>
      </c>
      <c r="K829" s="5" t="s">
        <v>19</v>
      </c>
      <c r="L829">
        <v>338</v>
      </c>
      <c r="M829" s="5">
        <v>2</v>
      </c>
      <c r="N829" s="5" t="s">
        <v>1679</v>
      </c>
      <c r="O829" s="5" t="s">
        <v>1662</v>
      </c>
      <c r="P829">
        <v>1</v>
      </c>
      <c r="Q829" t="s">
        <v>1663</v>
      </c>
    </row>
    <row r="830" spans="1:18" x14ac:dyDescent="0.35">
      <c r="A830" s="5" t="s">
        <v>1435</v>
      </c>
      <c r="B830" s="6">
        <v>46197</v>
      </c>
      <c r="C830" s="5" t="s">
        <v>1436</v>
      </c>
      <c r="D830" s="5" t="s">
        <v>546</v>
      </c>
      <c r="E830" s="5" t="s">
        <v>202</v>
      </c>
      <c r="F830" s="5" t="s">
        <v>28</v>
      </c>
      <c r="G830">
        <v>0.87152777777777779</v>
      </c>
      <c r="H830">
        <v>0.86736111111111114</v>
      </c>
      <c r="I830">
        <v>-3</v>
      </c>
      <c r="J830" s="5" t="s">
        <v>18</v>
      </c>
      <c r="K830" s="5" t="s">
        <v>19</v>
      </c>
      <c r="L830">
        <v>2171</v>
      </c>
      <c r="M830" s="5">
        <v>-6</v>
      </c>
      <c r="N830" s="5" t="s">
        <v>1679</v>
      </c>
      <c r="O830" s="5" t="s">
        <v>1662</v>
      </c>
      <c r="P830">
        <v>1</v>
      </c>
      <c r="Q830" t="s">
        <v>1665</v>
      </c>
    </row>
    <row r="831" spans="1:18" x14ac:dyDescent="0.35">
      <c r="A831" s="5" t="s">
        <v>1437</v>
      </c>
      <c r="B831" s="6">
        <v>46198</v>
      </c>
      <c r="C831" s="5" t="s">
        <v>26</v>
      </c>
      <c r="D831" s="5" t="s">
        <v>197</v>
      </c>
      <c r="E831" s="5" t="s">
        <v>71</v>
      </c>
      <c r="F831" s="5" t="s">
        <v>24</v>
      </c>
      <c r="G831">
        <v>0.54513888888888884</v>
      </c>
      <c r="H831">
        <v>0.5444444444444444</v>
      </c>
      <c r="I831">
        <v>-8</v>
      </c>
      <c r="J831" s="5" t="s">
        <v>18</v>
      </c>
      <c r="K831" s="5" t="s">
        <v>19</v>
      </c>
      <c r="L831">
        <v>738</v>
      </c>
      <c r="M831" s="5">
        <v>-1</v>
      </c>
      <c r="N831" s="5" t="s">
        <v>1679</v>
      </c>
      <c r="O831" s="5" t="s">
        <v>1664</v>
      </c>
      <c r="P831">
        <v>1</v>
      </c>
      <c r="Q831" t="s">
        <v>1663</v>
      </c>
    </row>
    <row r="832" spans="1:18" x14ac:dyDescent="0.35">
      <c r="A832" s="5" t="s">
        <v>1438</v>
      </c>
      <c r="B832" s="6">
        <v>46198</v>
      </c>
      <c r="C832" s="5" t="s">
        <v>1439</v>
      </c>
      <c r="D832" s="5" t="s">
        <v>588</v>
      </c>
      <c r="E832" s="5" t="s">
        <v>413</v>
      </c>
      <c r="F832" s="5" t="s">
        <v>28</v>
      </c>
      <c r="G832">
        <v>0.55555555555555558</v>
      </c>
      <c r="H832">
        <v>0.56041666666666667</v>
      </c>
      <c r="I832">
        <v>12</v>
      </c>
      <c r="J832" s="5" t="s">
        <v>18</v>
      </c>
      <c r="K832" s="5" t="s">
        <v>19</v>
      </c>
      <c r="L832">
        <v>1232</v>
      </c>
      <c r="M832" s="5">
        <v>7</v>
      </c>
      <c r="N832" s="5" t="s">
        <v>1679</v>
      </c>
      <c r="O832" s="5" t="s">
        <v>1664</v>
      </c>
      <c r="P832">
        <v>1</v>
      </c>
      <c r="Q832" t="s">
        <v>1663</v>
      </c>
    </row>
    <row r="833" spans="1:18" x14ac:dyDescent="0.35">
      <c r="A833" s="5" t="s">
        <v>1440</v>
      </c>
      <c r="B833" s="6">
        <v>46198</v>
      </c>
      <c r="C833" s="5" t="s">
        <v>1062</v>
      </c>
      <c r="D833" s="5" t="s">
        <v>226</v>
      </c>
      <c r="E833" s="5" t="s">
        <v>413</v>
      </c>
      <c r="F833" s="5" t="s">
        <v>17</v>
      </c>
      <c r="G833">
        <v>0.62152777777777779</v>
      </c>
      <c r="H833">
        <v>0.62083333333333335</v>
      </c>
      <c r="I833">
        <v>8</v>
      </c>
      <c r="J833" s="5" t="s">
        <v>18</v>
      </c>
      <c r="K833" s="5" t="s">
        <v>19</v>
      </c>
      <c r="L833">
        <v>861</v>
      </c>
      <c r="M833" s="5">
        <v>-1</v>
      </c>
      <c r="N833" s="5" t="s">
        <v>1679</v>
      </c>
      <c r="O833" s="5" t="s">
        <v>1664</v>
      </c>
      <c r="P833">
        <v>1</v>
      </c>
      <c r="Q833" t="s">
        <v>1663</v>
      </c>
    </row>
    <row r="834" spans="1:18" x14ac:dyDescent="0.35">
      <c r="A834" s="5" t="s">
        <v>1441</v>
      </c>
      <c r="B834" s="6">
        <v>46199</v>
      </c>
      <c r="C834" s="5" t="s">
        <v>1442</v>
      </c>
      <c r="D834" s="5" t="s">
        <v>197</v>
      </c>
      <c r="E834" s="5" t="s">
        <v>588</v>
      </c>
      <c r="F834" s="5" t="s">
        <v>28</v>
      </c>
      <c r="G834">
        <v>0.72916666666666663</v>
      </c>
      <c r="H834">
        <v>0.72569444444444442</v>
      </c>
      <c r="I834">
        <v>3</v>
      </c>
      <c r="J834" s="5" t="s">
        <v>18</v>
      </c>
      <c r="K834" s="5" t="s">
        <v>19</v>
      </c>
      <c r="L834">
        <v>1389</v>
      </c>
      <c r="M834" s="5">
        <v>-5</v>
      </c>
      <c r="N834" s="5" t="s">
        <v>1679</v>
      </c>
      <c r="O834" s="5" t="s">
        <v>1666</v>
      </c>
      <c r="P834">
        <v>1</v>
      </c>
      <c r="Q834" t="s">
        <v>1665</v>
      </c>
    </row>
    <row r="835" spans="1:18" x14ac:dyDescent="0.35">
      <c r="A835" s="5" t="s">
        <v>1443</v>
      </c>
      <c r="B835" s="6">
        <v>46200</v>
      </c>
      <c r="C835" s="5" t="s">
        <v>714</v>
      </c>
      <c r="D835" s="5" t="s">
        <v>202</v>
      </c>
      <c r="E835" s="5" t="s">
        <v>1171</v>
      </c>
      <c r="F835" s="5" t="s">
        <v>17</v>
      </c>
      <c r="G835">
        <v>0.58680555555555558</v>
      </c>
      <c r="H835">
        <v>0.59236111111111112</v>
      </c>
      <c r="I835">
        <v>-3</v>
      </c>
      <c r="J835" s="5" t="s">
        <v>18</v>
      </c>
      <c r="K835" s="5" t="s">
        <v>19</v>
      </c>
      <c r="L835">
        <v>1969</v>
      </c>
      <c r="M835" s="5">
        <v>8</v>
      </c>
      <c r="N835" s="5" t="s">
        <v>1679</v>
      </c>
      <c r="O835" s="5" t="s">
        <v>1667</v>
      </c>
      <c r="P835">
        <v>1</v>
      </c>
      <c r="Q835" t="s">
        <v>1663</v>
      </c>
    </row>
    <row r="836" spans="1:18" x14ac:dyDescent="0.35">
      <c r="A836" s="5" t="s">
        <v>1444</v>
      </c>
      <c r="B836" s="6">
        <v>46200</v>
      </c>
      <c r="C836" s="5" t="s">
        <v>812</v>
      </c>
      <c r="D836" s="5" t="s">
        <v>71</v>
      </c>
      <c r="E836" s="5" t="s">
        <v>588</v>
      </c>
      <c r="F836" s="5" t="s">
        <v>24</v>
      </c>
      <c r="G836">
        <v>0.65625</v>
      </c>
      <c r="H836">
        <v>0.65763888888888888</v>
      </c>
      <c r="I836">
        <v>-2</v>
      </c>
      <c r="J836" s="5" t="s">
        <v>18</v>
      </c>
      <c r="K836" s="5" t="s">
        <v>19</v>
      </c>
      <c r="L836">
        <v>802</v>
      </c>
      <c r="M836" s="5">
        <v>2</v>
      </c>
      <c r="N836" s="5" t="s">
        <v>1679</v>
      </c>
      <c r="O836" s="5" t="s">
        <v>1667</v>
      </c>
      <c r="P836">
        <v>1</v>
      </c>
      <c r="Q836" t="s">
        <v>1663</v>
      </c>
    </row>
    <row r="837" spans="1:18" x14ac:dyDescent="0.35">
      <c r="A837" s="5" t="s">
        <v>1445</v>
      </c>
      <c r="B837" s="6">
        <v>46201</v>
      </c>
      <c r="C837" s="5" t="s">
        <v>1233</v>
      </c>
      <c r="D837" s="5" t="s">
        <v>71</v>
      </c>
      <c r="E837" s="5" t="s">
        <v>588</v>
      </c>
      <c r="F837" s="5" t="s">
        <v>24</v>
      </c>
      <c r="G837">
        <v>0.36458333333333331</v>
      </c>
      <c r="H837">
        <v>0.39097222222222222</v>
      </c>
      <c r="I837">
        <v>23</v>
      </c>
      <c r="J837" s="5" t="s">
        <v>54</v>
      </c>
      <c r="K837" s="5" t="s">
        <v>19</v>
      </c>
      <c r="L837">
        <v>802</v>
      </c>
      <c r="M837" s="5">
        <v>38</v>
      </c>
      <c r="N837" s="5" t="s">
        <v>1679</v>
      </c>
      <c r="O837" s="5" t="s">
        <v>1668</v>
      </c>
      <c r="P837">
        <v>0</v>
      </c>
      <c r="Q837" t="s">
        <v>1660</v>
      </c>
      <c r="R837" t="s">
        <v>1657</v>
      </c>
    </row>
    <row r="838" spans="1:18" x14ac:dyDescent="0.35">
      <c r="A838" s="5" t="s">
        <v>1446</v>
      </c>
      <c r="B838" s="6">
        <v>46202</v>
      </c>
      <c r="C838" s="5" t="s">
        <v>1447</v>
      </c>
      <c r="D838" s="5" t="s">
        <v>1171</v>
      </c>
      <c r="E838" s="5" t="s">
        <v>197</v>
      </c>
      <c r="F838" s="5" t="s">
        <v>28</v>
      </c>
      <c r="G838">
        <v>0.49652777777777779</v>
      </c>
      <c r="H838">
        <v>0.49236111111111108</v>
      </c>
      <c r="I838">
        <v>-11</v>
      </c>
      <c r="J838" s="5" t="s">
        <v>18</v>
      </c>
      <c r="K838" s="5" t="s">
        <v>19</v>
      </c>
      <c r="L838">
        <v>2149</v>
      </c>
      <c r="M838" s="5">
        <v>-6</v>
      </c>
      <c r="N838" s="5" t="s">
        <v>1679</v>
      </c>
      <c r="O838" s="5" t="s">
        <v>1659</v>
      </c>
      <c r="P838">
        <v>1</v>
      </c>
      <c r="Q838" t="s">
        <v>1660</v>
      </c>
    </row>
    <row r="839" spans="1:18" x14ac:dyDescent="0.35">
      <c r="A839" s="5" t="s">
        <v>1448</v>
      </c>
      <c r="B839" s="6">
        <v>46202</v>
      </c>
      <c r="C839" s="5" t="s">
        <v>426</v>
      </c>
      <c r="D839" s="5" t="s">
        <v>226</v>
      </c>
      <c r="E839" s="5" t="s">
        <v>71</v>
      </c>
      <c r="F839" s="5" t="s">
        <v>17</v>
      </c>
      <c r="G839">
        <v>0.55902777777777779</v>
      </c>
      <c r="H839">
        <v>0.56041666666666667</v>
      </c>
      <c r="I839">
        <v>10</v>
      </c>
      <c r="J839" s="5" t="s">
        <v>18</v>
      </c>
      <c r="K839" s="5" t="s">
        <v>19</v>
      </c>
      <c r="L839">
        <v>886</v>
      </c>
      <c r="M839" s="5">
        <v>2</v>
      </c>
      <c r="N839" s="5" t="s">
        <v>1679</v>
      </c>
      <c r="O839" s="5" t="s">
        <v>1659</v>
      </c>
      <c r="P839">
        <v>1</v>
      </c>
      <c r="Q839" t="s">
        <v>1663</v>
      </c>
    </row>
    <row r="840" spans="1:18" x14ac:dyDescent="0.35">
      <c r="A840" s="5" t="s">
        <v>1449</v>
      </c>
      <c r="B840" s="6">
        <v>46203</v>
      </c>
      <c r="C840" s="5" t="s">
        <v>801</v>
      </c>
      <c r="D840" s="5" t="s">
        <v>588</v>
      </c>
      <c r="E840" s="5" t="s">
        <v>197</v>
      </c>
      <c r="F840" s="5" t="s">
        <v>28</v>
      </c>
      <c r="G840">
        <v>0.25347222222222221</v>
      </c>
      <c r="H840">
        <v>0.30833333333333329</v>
      </c>
      <c r="I840">
        <v>83</v>
      </c>
      <c r="J840" s="5" t="s">
        <v>60</v>
      </c>
      <c r="K840" s="5" t="s">
        <v>19</v>
      </c>
      <c r="L840">
        <v>1389</v>
      </c>
      <c r="M840" s="5">
        <v>79</v>
      </c>
      <c r="N840" s="5" t="s">
        <v>1679</v>
      </c>
      <c r="O840" s="5" t="s">
        <v>1661</v>
      </c>
      <c r="P840">
        <v>0</v>
      </c>
      <c r="Q840" t="s">
        <v>1660</v>
      </c>
      <c r="R840" t="s">
        <v>1657</v>
      </c>
    </row>
    <row r="841" spans="1:18" x14ac:dyDescent="0.35">
      <c r="A841" s="5" t="s">
        <v>1450</v>
      </c>
      <c r="B841" s="6">
        <v>46203</v>
      </c>
      <c r="C841" s="5" t="s">
        <v>1451</v>
      </c>
      <c r="D841" s="5" t="s">
        <v>84</v>
      </c>
      <c r="E841" s="5" t="s">
        <v>79</v>
      </c>
      <c r="F841" s="5" t="s">
        <v>17</v>
      </c>
      <c r="G841">
        <v>0.4861111111111111</v>
      </c>
      <c r="H841">
        <v>0.49236111111111108</v>
      </c>
      <c r="I841">
        <v>12</v>
      </c>
      <c r="J841" s="5" t="s">
        <v>18</v>
      </c>
      <c r="K841" s="5" t="s">
        <v>19</v>
      </c>
      <c r="L841">
        <v>2178</v>
      </c>
      <c r="M841" s="5">
        <v>9</v>
      </c>
      <c r="N841" s="5" t="s">
        <v>1679</v>
      </c>
      <c r="O841" s="5" t="s">
        <v>1661</v>
      </c>
      <c r="P841">
        <v>1</v>
      </c>
      <c r="Q841" t="s">
        <v>1660</v>
      </c>
    </row>
    <row r="842" spans="1:18" x14ac:dyDescent="0.35">
      <c r="A842" s="5" t="s">
        <v>1452</v>
      </c>
      <c r="B842" s="6">
        <v>46204</v>
      </c>
      <c r="C842" s="5" t="s">
        <v>519</v>
      </c>
      <c r="D842" s="5" t="s">
        <v>202</v>
      </c>
      <c r="E842" s="5" t="s">
        <v>588</v>
      </c>
      <c r="F842" s="5" t="s">
        <v>24</v>
      </c>
      <c r="G842">
        <v>0.33680555555555558</v>
      </c>
      <c r="H842">
        <v>0.34375</v>
      </c>
      <c r="I842">
        <v>16</v>
      </c>
      <c r="J842" s="5" t="s">
        <v>18</v>
      </c>
      <c r="K842" s="5" t="s">
        <v>19</v>
      </c>
      <c r="L842">
        <v>1120</v>
      </c>
      <c r="M842" s="5">
        <v>10</v>
      </c>
      <c r="N842" s="5" t="s">
        <v>1680</v>
      </c>
      <c r="O842" s="5" t="s">
        <v>1662</v>
      </c>
      <c r="P842">
        <v>0</v>
      </c>
      <c r="Q842" t="s">
        <v>1660</v>
      </c>
    </row>
    <row r="843" spans="1:18" x14ac:dyDescent="0.35">
      <c r="A843" s="5" t="s">
        <v>1453</v>
      </c>
      <c r="B843" s="6">
        <v>46204</v>
      </c>
      <c r="C843" s="5" t="s">
        <v>1454</v>
      </c>
      <c r="D843" s="5" t="s">
        <v>71</v>
      </c>
      <c r="E843" s="5" t="s">
        <v>79</v>
      </c>
      <c r="F843" s="5" t="s">
        <v>24</v>
      </c>
      <c r="G843">
        <v>0.40972222222222221</v>
      </c>
      <c r="H843">
        <v>0.41666666666666669</v>
      </c>
      <c r="I843">
        <v>4</v>
      </c>
      <c r="J843" s="5" t="s">
        <v>18</v>
      </c>
      <c r="K843" s="5" t="s">
        <v>19</v>
      </c>
      <c r="L843">
        <v>606</v>
      </c>
      <c r="M843" s="5">
        <v>10</v>
      </c>
      <c r="N843" s="5" t="s">
        <v>1680</v>
      </c>
      <c r="O843" s="5" t="s">
        <v>1662</v>
      </c>
      <c r="P843">
        <v>1</v>
      </c>
      <c r="Q843" t="s">
        <v>1660</v>
      </c>
    </row>
    <row r="844" spans="1:18" x14ac:dyDescent="0.35">
      <c r="A844" s="5" t="s">
        <v>1455</v>
      </c>
      <c r="B844" s="6">
        <v>46204</v>
      </c>
      <c r="C844" s="5" t="s">
        <v>1447</v>
      </c>
      <c r="D844" s="5" t="s">
        <v>1295</v>
      </c>
      <c r="E844" s="5" t="s">
        <v>79</v>
      </c>
      <c r="F844" s="5" t="s">
        <v>24</v>
      </c>
      <c r="G844">
        <v>0.5</v>
      </c>
      <c r="H844">
        <v>0.49861111111111112</v>
      </c>
      <c r="I844">
        <v>1</v>
      </c>
      <c r="J844" s="5" t="s">
        <v>18</v>
      </c>
      <c r="K844" s="5" t="s">
        <v>19</v>
      </c>
      <c r="L844">
        <v>2134</v>
      </c>
      <c r="M844" s="5">
        <v>-2</v>
      </c>
      <c r="N844" s="5" t="s">
        <v>1680</v>
      </c>
      <c r="O844" s="5" t="s">
        <v>1662</v>
      </c>
      <c r="P844">
        <v>1</v>
      </c>
      <c r="Q844" t="s">
        <v>1663</v>
      </c>
    </row>
    <row r="845" spans="1:18" x14ac:dyDescent="0.35">
      <c r="A845" s="5" t="s">
        <v>1456</v>
      </c>
      <c r="B845" s="6">
        <v>46204</v>
      </c>
      <c r="C845" s="5" t="s">
        <v>1457</v>
      </c>
      <c r="D845" s="5" t="s">
        <v>71</v>
      </c>
      <c r="E845" s="5" t="s">
        <v>79</v>
      </c>
      <c r="F845" s="5" t="s">
        <v>24</v>
      </c>
      <c r="G845">
        <v>0.63194444444444442</v>
      </c>
      <c r="H845">
        <v>0.63472222222222219</v>
      </c>
      <c r="I845">
        <v>-1</v>
      </c>
      <c r="J845" s="5" t="s">
        <v>18</v>
      </c>
      <c r="K845" s="5" t="s">
        <v>19</v>
      </c>
      <c r="L845">
        <v>606</v>
      </c>
      <c r="M845" s="5">
        <v>4</v>
      </c>
      <c r="N845" s="5" t="s">
        <v>1680</v>
      </c>
      <c r="O845" s="5" t="s">
        <v>1662</v>
      </c>
      <c r="P845">
        <v>1</v>
      </c>
      <c r="Q845" t="s">
        <v>1663</v>
      </c>
    </row>
    <row r="846" spans="1:18" x14ac:dyDescent="0.35">
      <c r="A846" s="5" t="s">
        <v>1458</v>
      </c>
      <c r="B846" s="6">
        <v>46204</v>
      </c>
      <c r="C846" s="5" t="s">
        <v>1010</v>
      </c>
      <c r="D846" s="5" t="s">
        <v>84</v>
      </c>
      <c r="E846" s="5" t="s">
        <v>226</v>
      </c>
      <c r="F846" s="5" t="s">
        <v>24</v>
      </c>
      <c r="G846">
        <v>0.77777777777777779</v>
      </c>
      <c r="H846">
        <v>0.79236111111111107</v>
      </c>
      <c r="I846">
        <v>13</v>
      </c>
      <c r="J846" s="5" t="s">
        <v>477</v>
      </c>
      <c r="K846" s="5" t="s">
        <v>19</v>
      </c>
      <c r="L846">
        <v>1023</v>
      </c>
      <c r="M846" s="5">
        <v>21</v>
      </c>
      <c r="N846" s="5" t="s">
        <v>1680</v>
      </c>
      <c r="O846" s="5" t="s">
        <v>1662</v>
      </c>
      <c r="P846">
        <v>1</v>
      </c>
      <c r="Q846" t="s">
        <v>1665</v>
      </c>
      <c r="R846" t="s">
        <v>1670</v>
      </c>
    </row>
    <row r="847" spans="1:18" x14ac:dyDescent="0.35">
      <c r="A847" s="5" t="s">
        <v>1459</v>
      </c>
      <c r="B847" s="6">
        <v>46204</v>
      </c>
      <c r="C847" s="5" t="s">
        <v>1460</v>
      </c>
      <c r="D847" s="5" t="s">
        <v>1171</v>
      </c>
      <c r="E847" s="5" t="s">
        <v>71</v>
      </c>
      <c r="F847" s="5" t="s">
        <v>17</v>
      </c>
      <c r="G847">
        <v>0.80555555555555558</v>
      </c>
      <c r="H847">
        <v>0.80833333333333335</v>
      </c>
      <c r="I847">
        <v>9</v>
      </c>
      <c r="J847" s="5" t="s">
        <v>18</v>
      </c>
      <c r="K847" s="5" t="s">
        <v>19</v>
      </c>
      <c r="L847">
        <v>1438</v>
      </c>
      <c r="M847" s="5">
        <v>4</v>
      </c>
      <c r="N847" s="5" t="s">
        <v>1680</v>
      </c>
      <c r="O847" s="5" t="s">
        <v>1662</v>
      </c>
      <c r="P847">
        <v>1</v>
      </c>
      <c r="Q847" t="s">
        <v>1665</v>
      </c>
    </row>
    <row r="848" spans="1:18" x14ac:dyDescent="0.35">
      <c r="A848" s="5" t="s">
        <v>1461</v>
      </c>
      <c r="B848" s="6">
        <v>46205</v>
      </c>
      <c r="C848" s="5" t="s">
        <v>1462</v>
      </c>
      <c r="D848" s="5" t="s">
        <v>1549</v>
      </c>
      <c r="E848" s="5" t="s">
        <v>197</v>
      </c>
      <c r="F848" s="5" t="s">
        <v>24</v>
      </c>
      <c r="G848">
        <v>0.74305555555555558</v>
      </c>
      <c r="H848">
        <v>0.74791666666666667</v>
      </c>
      <c r="I848">
        <v>-3</v>
      </c>
      <c r="J848" s="5" t="s">
        <v>18</v>
      </c>
      <c r="K848" s="5" t="s">
        <v>19</v>
      </c>
      <c r="L848">
        <v>186</v>
      </c>
      <c r="M848" s="5">
        <v>7</v>
      </c>
      <c r="N848" s="5" t="s">
        <v>1680</v>
      </c>
      <c r="O848" s="5" t="s">
        <v>1664</v>
      </c>
      <c r="P848">
        <v>1</v>
      </c>
      <c r="Q848" t="s">
        <v>1665</v>
      </c>
    </row>
    <row r="849" spans="1:18" x14ac:dyDescent="0.35">
      <c r="A849" s="5" t="s">
        <v>1463</v>
      </c>
      <c r="B849" s="6">
        <v>46205</v>
      </c>
      <c r="C849" s="5" t="s">
        <v>889</v>
      </c>
      <c r="D849" s="5" t="s">
        <v>84</v>
      </c>
      <c r="E849" s="5" t="s">
        <v>588</v>
      </c>
      <c r="F849" s="5" t="s">
        <v>17</v>
      </c>
      <c r="G849">
        <v>0.78819444444444442</v>
      </c>
      <c r="H849">
        <v>0.78680555555555554</v>
      </c>
      <c r="I849">
        <v>-1</v>
      </c>
      <c r="J849" s="5" t="s">
        <v>18</v>
      </c>
      <c r="K849" s="5" t="s">
        <v>19</v>
      </c>
      <c r="L849">
        <v>1658</v>
      </c>
      <c r="M849" s="5">
        <v>-2</v>
      </c>
      <c r="N849" s="5" t="s">
        <v>1680</v>
      </c>
      <c r="O849" s="5" t="s">
        <v>1664</v>
      </c>
      <c r="P849">
        <v>1</v>
      </c>
      <c r="Q849" t="s">
        <v>1665</v>
      </c>
    </row>
    <row r="850" spans="1:18" x14ac:dyDescent="0.35">
      <c r="A850" s="5" t="s">
        <v>1464</v>
      </c>
      <c r="B850" s="6">
        <v>46206</v>
      </c>
      <c r="C850" s="5" t="s">
        <v>1123</v>
      </c>
      <c r="D850" s="5" t="s">
        <v>588</v>
      </c>
      <c r="E850" s="5" t="s">
        <v>1549</v>
      </c>
      <c r="F850" s="5" t="s">
        <v>24</v>
      </c>
      <c r="G850">
        <v>0.3125</v>
      </c>
      <c r="H850">
        <v>0.35</v>
      </c>
      <c r="I850">
        <v>50</v>
      </c>
      <c r="J850" s="5" t="s">
        <v>60</v>
      </c>
      <c r="K850" s="5" t="s">
        <v>19</v>
      </c>
      <c r="L850">
        <v>1559</v>
      </c>
      <c r="M850" s="5">
        <v>54</v>
      </c>
      <c r="N850" s="5" t="s">
        <v>1680</v>
      </c>
      <c r="O850" s="5" t="s">
        <v>1666</v>
      </c>
      <c r="P850">
        <v>0</v>
      </c>
      <c r="Q850" t="s">
        <v>1660</v>
      </c>
      <c r="R850" t="s">
        <v>1657</v>
      </c>
    </row>
    <row r="851" spans="1:18" x14ac:dyDescent="0.35">
      <c r="A851" s="5" t="s">
        <v>1465</v>
      </c>
      <c r="B851" s="6">
        <v>46206</v>
      </c>
      <c r="C851" s="5" t="s">
        <v>905</v>
      </c>
      <c r="D851" s="5" t="s">
        <v>79</v>
      </c>
      <c r="E851" s="5" t="s">
        <v>84</v>
      </c>
      <c r="F851" s="5" t="s">
        <v>17</v>
      </c>
      <c r="G851">
        <v>0.93055555555555558</v>
      </c>
      <c r="H851">
        <v>0.93263888888888891</v>
      </c>
      <c r="I851">
        <v>1</v>
      </c>
      <c r="J851" s="5" t="s">
        <v>18</v>
      </c>
      <c r="K851" s="5" t="s">
        <v>19</v>
      </c>
      <c r="L851">
        <v>2178</v>
      </c>
      <c r="M851" s="5">
        <v>3</v>
      </c>
      <c r="N851" s="5" t="s">
        <v>1680</v>
      </c>
      <c r="O851" s="5" t="s">
        <v>1666</v>
      </c>
      <c r="P851">
        <v>1</v>
      </c>
      <c r="Q851" t="s">
        <v>1669</v>
      </c>
    </row>
    <row r="852" spans="1:18" x14ac:dyDescent="0.35">
      <c r="A852" s="5" t="s">
        <v>1466</v>
      </c>
      <c r="B852" s="6">
        <v>46207</v>
      </c>
      <c r="C852" s="5" t="s">
        <v>290</v>
      </c>
      <c r="D852" s="5" t="s">
        <v>588</v>
      </c>
      <c r="E852" s="5" t="s">
        <v>71</v>
      </c>
      <c r="F852" s="5" t="s">
        <v>28</v>
      </c>
      <c r="G852">
        <v>0.2638888888888889</v>
      </c>
      <c r="H852">
        <v>0.26458333333333328</v>
      </c>
      <c r="I852">
        <v>6</v>
      </c>
      <c r="J852" s="5" t="s">
        <v>18</v>
      </c>
      <c r="K852" s="5" t="s">
        <v>19</v>
      </c>
      <c r="L852">
        <v>802</v>
      </c>
      <c r="M852" s="5">
        <v>1</v>
      </c>
      <c r="N852" s="5" t="s">
        <v>1680</v>
      </c>
      <c r="O852" s="5" t="s">
        <v>1667</v>
      </c>
      <c r="P852">
        <v>1</v>
      </c>
      <c r="Q852" t="s">
        <v>1660</v>
      </c>
    </row>
    <row r="853" spans="1:18" x14ac:dyDescent="0.35">
      <c r="A853" s="5" t="s">
        <v>1467</v>
      </c>
      <c r="B853" s="6">
        <v>46207</v>
      </c>
      <c r="C853" s="5" t="s">
        <v>1468</v>
      </c>
      <c r="D853" s="5" t="s">
        <v>1171</v>
      </c>
      <c r="E853" s="5" t="s">
        <v>197</v>
      </c>
      <c r="F853" s="5" t="s">
        <v>28</v>
      </c>
      <c r="G853">
        <v>0.46527777777777779</v>
      </c>
      <c r="H853">
        <v>0.47222222222222221</v>
      </c>
      <c r="I853">
        <v>3</v>
      </c>
      <c r="J853" s="5" t="s">
        <v>18</v>
      </c>
      <c r="K853" s="5" t="s">
        <v>19</v>
      </c>
      <c r="L853">
        <v>2149</v>
      </c>
      <c r="M853" s="5">
        <v>10</v>
      </c>
      <c r="N853" s="5" t="s">
        <v>1680</v>
      </c>
      <c r="O853" s="5" t="s">
        <v>1667</v>
      </c>
      <c r="P853">
        <v>1</v>
      </c>
      <c r="Q853" t="s">
        <v>1660</v>
      </c>
    </row>
    <row r="854" spans="1:18" x14ac:dyDescent="0.35">
      <c r="A854" s="5" t="s">
        <v>1469</v>
      </c>
      <c r="B854" s="6">
        <v>46207</v>
      </c>
      <c r="C854" s="5" t="s">
        <v>1098</v>
      </c>
      <c r="D854" s="5" t="s">
        <v>79</v>
      </c>
      <c r="E854" s="5" t="s">
        <v>1171</v>
      </c>
      <c r="F854" s="5" t="s">
        <v>17</v>
      </c>
      <c r="G854">
        <v>0.46875</v>
      </c>
      <c r="I854">
        <v>0</v>
      </c>
      <c r="J854" s="5" t="s">
        <v>18</v>
      </c>
      <c r="K854" s="5" t="s">
        <v>19</v>
      </c>
      <c r="L854">
        <v>1584</v>
      </c>
      <c r="M854" s="5">
        <v>-3</v>
      </c>
      <c r="N854" s="5" t="s">
        <v>1680</v>
      </c>
      <c r="O854" s="5" t="s">
        <v>1667</v>
      </c>
      <c r="P854">
        <v>1</v>
      </c>
      <c r="Q854" t="s">
        <v>1660</v>
      </c>
    </row>
    <row r="855" spans="1:18" x14ac:dyDescent="0.35">
      <c r="A855" s="5" t="s">
        <v>1470</v>
      </c>
      <c r="B855" s="6">
        <v>46207</v>
      </c>
      <c r="C855" s="5" t="s">
        <v>465</v>
      </c>
      <c r="D855" s="5" t="s">
        <v>79</v>
      </c>
      <c r="E855" s="5" t="s">
        <v>1295</v>
      </c>
      <c r="F855" s="5" t="s">
        <v>24</v>
      </c>
      <c r="G855">
        <v>0.69444444444444442</v>
      </c>
      <c r="H855">
        <v>0.72013888888888888</v>
      </c>
      <c r="I855">
        <v>38</v>
      </c>
      <c r="J855" s="5" t="s">
        <v>129</v>
      </c>
      <c r="K855" s="5" t="s">
        <v>19</v>
      </c>
      <c r="L855">
        <v>2134</v>
      </c>
      <c r="M855" s="5">
        <v>37</v>
      </c>
      <c r="N855" s="5" t="s">
        <v>1680</v>
      </c>
      <c r="O855" s="5" t="s">
        <v>1667</v>
      </c>
      <c r="P855">
        <v>0</v>
      </c>
      <c r="Q855" t="s">
        <v>1663</v>
      </c>
      <c r="R855" t="s">
        <v>1670</v>
      </c>
    </row>
    <row r="856" spans="1:18" x14ac:dyDescent="0.35">
      <c r="A856" s="5" t="s">
        <v>1471</v>
      </c>
      <c r="B856" s="6">
        <v>46208</v>
      </c>
      <c r="C856" s="5" t="s">
        <v>176</v>
      </c>
      <c r="D856" s="5" t="s">
        <v>84</v>
      </c>
      <c r="E856" s="5" t="s">
        <v>71</v>
      </c>
      <c r="F856" s="5" t="s">
        <v>24</v>
      </c>
      <c r="G856">
        <v>0.35416666666666669</v>
      </c>
      <c r="H856">
        <v>0.39930555555555558</v>
      </c>
      <c r="I856">
        <v>61</v>
      </c>
      <c r="J856" s="5" t="s">
        <v>54</v>
      </c>
      <c r="K856" s="5" t="s">
        <v>19</v>
      </c>
      <c r="L856">
        <v>1717</v>
      </c>
      <c r="M856" s="5">
        <v>65</v>
      </c>
      <c r="N856" s="5" t="s">
        <v>1680</v>
      </c>
      <c r="O856" s="5" t="s">
        <v>1668</v>
      </c>
      <c r="P856">
        <v>0</v>
      </c>
      <c r="Q856" t="s">
        <v>1660</v>
      </c>
      <c r="R856" t="s">
        <v>1657</v>
      </c>
    </row>
    <row r="857" spans="1:18" x14ac:dyDescent="0.35">
      <c r="A857" s="5" t="s">
        <v>1472</v>
      </c>
      <c r="B857" s="6">
        <v>46208</v>
      </c>
      <c r="C857" s="5" t="s">
        <v>866</v>
      </c>
      <c r="D857" s="5" t="s">
        <v>71</v>
      </c>
      <c r="E857" s="5" t="s">
        <v>1549</v>
      </c>
      <c r="F857" s="5" t="s">
        <v>24</v>
      </c>
      <c r="G857">
        <v>0.60763888888888884</v>
      </c>
      <c r="H857">
        <v>0.68125000000000002</v>
      </c>
      <c r="I857">
        <v>106</v>
      </c>
      <c r="J857" s="5" t="s">
        <v>60</v>
      </c>
      <c r="K857" s="5" t="s">
        <v>19</v>
      </c>
      <c r="L857">
        <v>864</v>
      </c>
      <c r="M857" s="5">
        <v>106</v>
      </c>
      <c r="N857" s="5" t="s">
        <v>1680</v>
      </c>
      <c r="O857" s="5" t="s">
        <v>1668</v>
      </c>
      <c r="P857">
        <v>0</v>
      </c>
      <c r="Q857" t="s">
        <v>1663</v>
      </c>
      <c r="R857" t="s">
        <v>1657</v>
      </c>
    </row>
    <row r="858" spans="1:18" x14ac:dyDescent="0.35">
      <c r="A858" s="5" t="s">
        <v>1473</v>
      </c>
      <c r="B858" s="6">
        <v>46208</v>
      </c>
      <c r="C858" s="5" t="s">
        <v>804</v>
      </c>
      <c r="D858" s="5" t="s">
        <v>202</v>
      </c>
      <c r="E858" s="5" t="s">
        <v>71</v>
      </c>
      <c r="F858" s="5" t="s">
        <v>24</v>
      </c>
      <c r="G858">
        <v>0.66319444444444442</v>
      </c>
      <c r="H858">
        <v>0.66874999999999996</v>
      </c>
      <c r="I858">
        <v>-4</v>
      </c>
      <c r="J858" s="5" t="s">
        <v>18</v>
      </c>
      <c r="K858" s="5" t="s">
        <v>19</v>
      </c>
      <c r="L858">
        <v>1199</v>
      </c>
      <c r="M858" s="5">
        <v>8</v>
      </c>
      <c r="N858" s="5" t="s">
        <v>1680</v>
      </c>
      <c r="O858" s="5" t="s">
        <v>1668</v>
      </c>
      <c r="P858">
        <v>1</v>
      </c>
      <c r="Q858" t="s">
        <v>1663</v>
      </c>
    </row>
    <row r="859" spans="1:18" x14ac:dyDescent="0.35">
      <c r="A859" s="5" t="s">
        <v>1474</v>
      </c>
      <c r="B859" s="6">
        <v>46208</v>
      </c>
      <c r="C859" s="5" t="s">
        <v>1386</v>
      </c>
      <c r="D859" s="5" t="s">
        <v>197</v>
      </c>
      <c r="E859" s="5" t="s">
        <v>71</v>
      </c>
      <c r="F859" s="5" t="s">
        <v>17</v>
      </c>
      <c r="G859">
        <v>0.66666666666666663</v>
      </c>
      <c r="H859">
        <v>0.67083333333333328</v>
      </c>
      <c r="I859">
        <v>-3</v>
      </c>
      <c r="J859" s="5" t="s">
        <v>18</v>
      </c>
      <c r="K859" s="5" t="s">
        <v>19</v>
      </c>
      <c r="L859">
        <v>738</v>
      </c>
      <c r="M859" s="5">
        <v>6</v>
      </c>
      <c r="N859" s="5" t="s">
        <v>1680</v>
      </c>
      <c r="O859" s="5" t="s">
        <v>1668</v>
      </c>
      <c r="P859">
        <v>1</v>
      </c>
      <c r="Q859" t="s">
        <v>1663</v>
      </c>
    </row>
    <row r="860" spans="1:18" x14ac:dyDescent="0.35">
      <c r="A860" s="5" t="s">
        <v>1475</v>
      </c>
      <c r="B860" s="6">
        <v>46208</v>
      </c>
      <c r="C860" s="5" t="s">
        <v>182</v>
      </c>
      <c r="D860" s="5" t="s">
        <v>79</v>
      </c>
      <c r="E860" s="5" t="s">
        <v>1171</v>
      </c>
      <c r="F860" s="5" t="s">
        <v>24</v>
      </c>
      <c r="G860">
        <v>0.92708333333333337</v>
      </c>
      <c r="I860">
        <v>7</v>
      </c>
      <c r="J860" s="5" t="s">
        <v>18</v>
      </c>
      <c r="K860" s="5" t="s">
        <v>19</v>
      </c>
      <c r="L860">
        <v>1584</v>
      </c>
      <c r="M860" s="5">
        <v>4</v>
      </c>
      <c r="N860" s="5" t="s">
        <v>1680</v>
      </c>
      <c r="O860" s="5" t="s">
        <v>1668</v>
      </c>
      <c r="P860">
        <v>1</v>
      </c>
      <c r="Q860" t="s">
        <v>1669</v>
      </c>
    </row>
    <row r="861" spans="1:18" x14ac:dyDescent="0.35">
      <c r="A861" s="5" t="s">
        <v>1476</v>
      </c>
      <c r="B861" s="6">
        <v>46209</v>
      </c>
      <c r="C861" s="5" t="s">
        <v>1477</v>
      </c>
      <c r="D861" s="5" t="s">
        <v>588</v>
      </c>
      <c r="E861" s="5" t="s">
        <v>413</v>
      </c>
      <c r="F861" s="5" t="s">
        <v>17</v>
      </c>
      <c r="G861">
        <v>0.41666666666666669</v>
      </c>
      <c r="H861">
        <v>0.41388888888888892</v>
      </c>
      <c r="I861">
        <v>-7</v>
      </c>
      <c r="J861" s="5" t="s">
        <v>18</v>
      </c>
      <c r="K861" s="5" t="s">
        <v>19</v>
      </c>
      <c r="L861">
        <v>1232</v>
      </c>
      <c r="M861" s="5">
        <v>-4</v>
      </c>
      <c r="N861" s="5" t="s">
        <v>1680</v>
      </c>
      <c r="O861" s="5" t="s">
        <v>1659</v>
      </c>
      <c r="P861">
        <v>1</v>
      </c>
      <c r="Q861" t="s">
        <v>1660</v>
      </c>
    </row>
    <row r="862" spans="1:18" x14ac:dyDescent="0.35">
      <c r="A862" s="5" t="s">
        <v>1478</v>
      </c>
      <c r="B862" s="6">
        <v>46210</v>
      </c>
      <c r="C862" s="5" t="s">
        <v>444</v>
      </c>
      <c r="D862" s="5" t="s">
        <v>84</v>
      </c>
      <c r="E862" s="5" t="s">
        <v>197</v>
      </c>
      <c r="F862" s="5" t="s">
        <v>28</v>
      </c>
      <c r="G862">
        <v>0.25694444444444442</v>
      </c>
      <c r="H862">
        <v>0.26250000000000001</v>
      </c>
      <c r="I862">
        <v>-4</v>
      </c>
      <c r="J862" s="5" t="s">
        <v>18</v>
      </c>
      <c r="K862" s="5" t="s">
        <v>19</v>
      </c>
      <c r="L862">
        <v>2415</v>
      </c>
      <c r="M862" s="5">
        <v>8</v>
      </c>
      <c r="N862" s="5" t="s">
        <v>1680</v>
      </c>
      <c r="O862" s="5" t="s">
        <v>1661</v>
      </c>
      <c r="P862">
        <v>1</v>
      </c>
      <c r="Q862" t="s">
        <v>1660</v>
      </c>
    </row>
    <row r="863" spans="1:18" x14ac:dyDescent="0.35">
      <c r="A863" s="5" t="s">
        <v>1479</v>
      </c>
      <c r="B863" s="6">
        <v>46210</v>
      </c>
      <c r="C863" s="5" t="s">
        <v>877</v>
      </c>
      <c r="D863" s="5" t="s">
        <v>588</v>
      </c>
      <c r="E863" s="5" t="s">
        <v>226</v>
      </c>
      <c r="F863" s="5" t="s">
        <v>38</v>
      </c>
      <c r="G863">
        <v>0.26041666666666669</v>
      </c>
      <c r="H863">
        <v>0.26041666666666669</v>
      </c>
      <c r="I863">
        <v>8</v>
      </c>
      <c r="J863" s="5" t="s">
        <v>18</v>
      </c>
      <c r="K863" s="5" t="s">
        <v>19</v>
      </c>
      <c r="L863">
        <v>641</v>
      </c>
      <c r="M863" s="5">
        <v>0</v>
      </c>
      <c r="N863" s="5" t="s">
        <v>1680</v>
      </c>
      <c r="O863" s="5" t="s">
        <v>1661</v>
      </c>
      <c r="P863">
        <v>1</v>
      </c>
      <c r="Q863" t="s">
        <v>1660</v>
      </c>
    </row>
    <row r="864" spans="1:18" x14ac:dyDescent="0.35">
      <c r="A864" s="5" t="s">
        <v>1480</v>
      </c>
      <c r="B864" s="6">
        <v>46210</v>
      </c>
      <c r="C864" s="5" t="s">
        <v>1481</v>
      </c>
      <c r="D864" s="5" t="s">
        <v>71</v>
      </c>
      <c r="E864" s="5" t="s">
        <v>197</v>
      </c>
      <c r="F864" s="5" t="s">
        <v>38</v>
      </c>
      <c r="G864">
        <v>0.30208333333333331</v>
      </c>
      <c r="H864">
        <v>0.33611111111111108</v>
      </c>
      <c r="I864">
        <v>41</v>
      </c>
      <c r="J864" s="5" t="s">
        <v>54</v>
      </c>
      <c r="K864" s="5" t="s">
        <v>19</v>
      </c>
      <c r="L864">
        <v>738</v>
      </c>
      <c r="M864" s="5">
        <v>49</v>
      </c>
      <c r="N864" s="5" t="s">
        <v>1680</v>
      </c>
      <c r="O864" s="5" t="s">
        <v>1661</v>
      </c>
      <c r="P864">
        <v>0</v>
      </c>
      <c r="Q864" t="s">
        <v>1660</v>
      </c>
      <c r="R864" t="s">
        <v>1657</v>
      </c>
    </row>
    <row r="865" spans="1:18" x14ac:dyDescent="0.35">
      <c r="A865" s="5" t="s">
        <v>1482</v>
      </c>
      <c r="B865" s="6">
        <v>46210</v>
      </c>
      <c r="C865" s="5" t="s">
        <v>1483</v>
      </c>
      <c r="D865" s="5" t="s">
        <v>202</v>
      </c>
      <c r="E865" s="5" t="s">
        <v>79</v>
      </c>
      <c r="F865" s="5" t="s">
        <v>17</v>
      </c>
      <c r="G865">
        <v>0.34027777777777779</v>
      </c>
      <c r="H865">
        <v>0.33680555555555558</v>
      </c>
      <c r="I865">
        <v>3</v>
      </c>
      <c r="J865" s="5" t="s">
        <v>18</v>
      </c>
      <c r="K865" s="5" t="s">
        <v>19</v>
      </c>
      <c r="L865">
        <v>596</v>
      </c>
      <c r="M865" s="5">
        <v>-5</v>
      </c>
      <c r="N865" s="5" t="s">
        <v>1680</v>
      </c>
      <c r="O865" s="5" t="s">
        <v>1661</v>
      </c>
      <c r="P865">
        <v>1</v>
      </c>
      <c r="Q865" t="s">
        <v>1660</v>
      </c>
    </row>
    <row r="866" spans="1:18" x14ac:dyDescent="0.35">
      <c r="A866" s="5" t="s">
        <v>1484</v>
      </c>
      <c r="B866" s="6">
        <v>46210</v>
      </c>
      <c r="C866" s="5" t="s">
        <v>1110</v>
      </c>
      <c r="D866" s="5" t="s">
        <v>588</v>
      </c>
      <c r="E866" s="5" t="s">
        <v>79</v>
      </c>
      <c r="F866" s="5" t="s">
        <v>28</v>
      </c>
      <c r="G866">
        <v>0.3576388888888889</v>
      </c>
      <c r="H866">
        <v>0.3576388888888889</v>
      </c>
      <c r="I866">
        <v>7</v>
      </c>
      <c r="J866" s="5" t="s">
        <v>18</v>
      </c>
      <c r="K866" s="5" t="s">
        <v>19</v>
      </c>
      <c r="L866">
        <v>730</v>
      </c>
      <c r="M866" s="5">
        <v>0</v>
      </c>
      <c r="N866" s="5" t="s">
        <v>1680</v>
      </c>
      <c r="O866" s="5" t="s">
        <v>1661</v>
      </c>
      <c r="P866">
        <v>1</v>
      </c>
      <c r="Q866" t="s">
        <v>1660</v>
      </c>
    </row>
    <row r="867" spans="1:18" x14ac:dyDescent="0.35">
      <c r="A867" s="5" t="s">
        <v>1485</v>
      </c>
      <c r="B867" s="6">
        <v>46210</v>
      </c>
      <c r="C867" s="5" t="s">
        <v>1142</v>
      </c>
      <c r="D867" s="5" t="s">
        <v>79</v>
      </c>
      <c r="E867" s="5" t="s">
        <v>71</v>
      </c>
      <c r="F867" s="5" t="s">
        <v>24</v>
      </c>
      <c r="G867">
        <v>0.3576388888888889</v>
      </c>
      <c r="H867">
        <v>0.39652777777777781</v>
      </c>
      <c r="I867">
        <v>42</v>
      </c>
      <c r="J867" s="5" t="s">
        <v>60</v>
      </c>
      <c r="K867" s="5" t="s">
        <v>19</v>
      </c>
      <c r="L867">
        <v>606</v>
      </c>
      <c r="M867" s="5">
        <v>56</v>
      </c>
      <c r="N867" s="5" t="s">
        <v>1680</v>
      </c>
      <c r="O867" s="5" t="s">
        <v>1661</v>
      </c>
      <c r="P867">
        <v>0</v>
      </c>
      <c r="Q867" t="s">
        <v>1660</v>
      </c>
      <c r="R867" t="s">
        <v>1657</v>
      </c>
    </row>
    <row r="868" spans="1:18" x14ac:dyDescent="0.35">
      <c r="A868" s="5" t="s">
        <v>1486</v>
      </c>
      <c r="B868" s="6">
        <v>46210</v>
      </c>
      <c r="C868" s="5" t="s">
        <v>1487</v>
      </c>
      <c r="D868" s="5" t="s">
        <v>588</v>
      </c>
      <c r="E868" s="5" t="s">
        <v>546</v>
      </c>
      <c r="F868" s="5" t="s">
        <v>24</v>
      </c>
      <c r="G868">
        <v>0.65972222222222221</v>
      </c>
      <c r="H868">
        <v>0.7055555555555556</v>
      </c>
      <c r="I868">
        <v>67</v>
      </c>
      <c r="J868" s="5" t="s">
        <v>129</v>
      </c>
      <c r="K868" s="5" t="s">
        <v>19</v>
      </c>
      <c r="L868">
        <v>1053</v>
      </c>
      <c r="M868" s="5">
        <v>66</v>
      </c>
      <c r="N868" s="5" t="s">
        <v>1680</v>
      </c>
      <c r="O868" s="5" t="s">
        <v>1661</v>
      </c>
      <c r="P868">
        <v>0</v>
      </c>
      <c r="Q868" t="s">
        <v>1663</v>
      </c>
      <c r="R868" t="s">
        <v>1670</v>
      </c>
    </row>
    <row r="869" spans="1:18" x14ac:dyDescent="0.35">
      <c r="A869" s="5" t="s">
        <v>1488</v>
      </c>
      <c r="B869" s="6">
        <v>46210</v>
      </c>
      <c r="C869" s="5" t="s">
        <v>1489</v>
      </c>
      <c r="D869" s="5" t="s">
        <v>71</v>
      </c>
      <c r="E869" s="5" t="s">
        <v>197</v>
      </c>
      <c r="F869" s="5" t="s">
        <v>24</v>
      </c>
      <c r="G869">
        <v>0.78472222222222221</v>
      </c>
      <c r="H869">
        <v>0.78055555555555556</v>
      </c>
      <c r="I869">
        <v>-8</v>
      </c>
      <c r="J869" s="5" t="s">
        <v>18</v>
      </c>
      <c r="K869" s="5" t="s">
        <v>19</v>
      </c>
      <c r="L869">
        <v>738</v>
      </c>
      <c r="M869" s="5">
        <v>-6</v>
      </c>
      <c r="N869" s="5" t="s">
        <v>1680</v>
      </c>
      <c r="O869" s="5" t="s">
        <v>1661</v>
      </c>
      <c r="P869">
        <v>1</v>
      </c>
      <c r="Q869" t="s">
        <v>1665</v>
      </c>
    </row>
    <row r="870" spans="1:18" x14ac:dyDescent="0.35">
      <c r="A870" s="5" t="s">
        <v>1490</v>
      </c>
      <c r="B870" s="6">
        <v>46211</v>
      </c>
      <c r="C870" s="5" t="s">
        <v>804</v>
      </c>
      <c r="D870" s="5" t="s">
        <v>84</v>
      </c>
      <c r="E870" s="5" t="s">
        <v>1549</v>
      </c>
      <c r="F870" s="5" t="s">
        <v>24</v>
      </c>
      <c r="G870">
        <v>0.40277777777777779</v>
      </c>
      <c r="H870">
        <v>0.40902777777777782</v>
      </c>
      <c r="I870">
        <v>1</v>
      </c>
      <c r="J870" s="5" t="s">
        <v>18</v>
      </c>
      <c r="K870" s="5" t="s">
        <v>19</v>
      </c>
      <c r="L870">
        <v>2489</v>
      </c>
      <c r="M870" s="5">
        <v>9</v>
      </c>
      <c r="N870" s="5" t="s">
        <v>1680</v>
      </c>
      <c r="O870" s="5" t="s">
        <v>1662</v>
      </c>
      <c r="P870">
        <v>1</v>
      </c>
      <c r="Q870" t="s">
        <v>1660</v>
      </c>
    </row>
    <row r="871" spans="1:18" x14ac:dyDescent="0.35">
      <c r="A871" s="5" t="s">
        <v>1491</v>
      </c>
      <c r="B871" s="6">
        <v>46211</v>
      </c>
      <c r="C871" s="5" t="s">
        <v>512</v>
      </c>
      <c r="D871" s="5" t="s">
        <v>71</v>
      </c>
      <c r="E871" s="5" t="s">
        <v>79</v>
      </c>
      <c r="F871" s="5" t="s">
        <v>17</v>
      </c>
      <c r="G871">
        <v>0.40277777777777779</v>
      </c>
      <c r="H871">
        <v>0.39861111111111108</v>
      </c>
      <c r="I871">
        <v>-12</v>
      </c>
      <c r="J871" s="5" t="s">
        <v>18</v>
      </c>
      <c r="K871" s="5" t="s">
        <v>19</v>
      </c>
      <c r="L871">
        <v>606</v>
      </c>
      <c r="M871" s="5">
        <v>-6</v>
      </c>
      <c r="N871" s="5" t="s">
        <v>1680</v>
      </c>
      <c r="O871" s="5" t="s">
        <v>1662</v>
      </c>
      <c r="P871">
        <v>1</v>
      </c>
      <c r="Q871" t="s">
        <v>1660</v>
      </c>
    </row>
    <row r="872" spans="1:18" x14ac:dyDescent="0.35">
      <c r="A872" s="5" t="s">
        <v>1492</v>
      </c>
      <c r="B872" s="6">
        <v>46211</v>
      </c>
      <c r="C872" s="5" t="s">
        <v>1131</v>
      </c>
      <c r="D872" s="5" t="s">
        <v>79</v>
      </c>
      <c r="E872" s="5" t="s">
        <v>546</v>
      </c>
      <c r="F872" s="5" t="s">
        <v>17</v>
      </c>
      <c r="G872">
        <v>0.72569444444444442</v>
      </c>
      <c r="H872">
        <v>0.81736111111111109</v>
      </c>
      <c r="I872">
        <v>134</v>
      </c>
      <c r="J872" s="5" t="s">
        <v>60</v>
      </c>
      <c r="K872" s="5" t="s">
        <v>19</v>
      </c>
      <c r="L872">
        <v>1743</v>
      </c>
      <c r="M872" s="5">
        <v>132</v>
      </c>
      <c r="N872" s="5" t="s">
        <v>1680</v>
      </c>
      <c r="O872" s="5" t="s">
        <v>1662</v>
      </c>
      <c r="P872">
        <v>0</v>
      </c>
      <c r="Q872" t="s">
        <v>1665</v>
      </c>
      <c r="R872" t="s">
        <v>1657</v>
      </c>
    </row>
    <row r="873" spans="1:18" x14ac:dyDescent="0.35">
      <c r="A873" s="5" t="s">
        <v>1493</v>
      </c>
      <c r="B873" s="6">
        <v>46211</v>
      </c>
      <c r="C873" s="5" t="s">
        <v>605</v>
      </c>
      <c r="D873" s="5" t="s">
        <v>197</v>
      </c>
      <c r="E873" s="5" t="s">
        <v>79</v>
      </c>
      <c r="F873" s="5" t="s">
        <v>24</v>
      </c>
      <c r="G873">
        <v>0.74305555555555558</v>
      </c>
      <c r="H873">
        <v>0.73888888888888893</v>
      </c>
      <c r="I873">
        <v>-8</v>
      </c>
      <c r="J873" s="5" t="s">
        <v>18</v>
      </c>
      <c r="K873" s="5" t="s">
        <v>19</v>
      </c>
      <c r="L873">
        <v>759</v>
      </c>
      <c r="M873" s="5">
        <v>-6</v>
      </c>
      <c r="N873" s="5" t="s">
        <v>1680</v>
      </c>
      <c r="O873" s="5" t="s">
        <v>1662</v>
      </c>
      <c r="P873">
        <v>1</v>
      </c>
      <c r="Q873" t="s">
        <v>1665</v>
      </c>
    </row>
    <row r="874" spans="1:18" x14ac:dyDescent="0.35">
      <c r="A874" s="5" t="s">
        <v>1494</v>
      </c>
      <c r="B874" s="6">
        <v>46211</v>
      </c>
      <c r="C874" s="5" t="s">
        <v>841</v>
      </c>
      <c r="D874" s="5" t="s">
        <v>79</v>
      </c>
      <c r="E874" s="5" t="s">
        <v>84</v>
      </c>
      <c r="F874" s="5" t="s">
        <v>24</v>
      </c>
      <c r="G874">
        <v>0.80208333333333337</v>
      </c>
      <c r="H874">
        <v>0.81388888888888888</v>
      </c>
      <c r="I874">
        <v>17</v>
      </c>
      <c r="J874" s="5" t="s">
        <v>54</v>
      </c>
      <c r="K874" s="5" t="s">
        <v>19</v>
      </c>
      <c r="L874">
        <v>2178</v>
      </c>
      <c r="M874" s="5">
        <v>17</v>
      </c>
      <c r="N874" s="5" t="s">
        <v>1680</v>
      </c>
      <c r="O874" s="5" t="s">
        <v>1662</v>
      </c>
      <c r="P874">
        <v>0</v>
      </c>
      <c r="Q874" t="s">
        <v>1665</v>
      </c>
      <c r="R874" t="s">
        <v>1657</v>
      </c>
    </row>
    <row r="875" spans="1:18" x14ac:dyDescent="0.35">
      <c r="A875" s="5" t="s">
        <v>1495</v>
      </c>
      <c r="B875" s="6">
        <v>46212</v>
      </c>
      <c r="C875" s="5" t="s">
        <v>677</v>
      </c>
      <c r="D875" s="5" t="s">
        <v>79</v>
      </c>
      <c r="E875" s="5" t="s">
        <v>226</v>
      </c>
      <c r="F875" s="5" t="s">
        <v>17</v>
      </c>
      <c r="G875">
        <v>0.57638888888888884</v>
      </c>
      <c r="H875">
        <v>0.57222222222222219</v>
      </c>
      <c r="I875">
        <v>-15</v>
      </c>
      <c r="J875" s="5" t="s">
        <v>18</v>
      </c>
      <c r="K875" s="5" t="s">
        <v>19</v>
      </c>
      <c r="L875">
        <v>1197</v>
      </c>
      <c r="M875" s="5">
        <v>-6</v>
      </c>
      <c r="N875" s="5" t="s">
        <v>1680</v>
      </c>
      <c r="O875" s="5" t="s">
        <v>1664</v>
      </c>
      <c r="P875">
        <v>1</v>
      </c>
      <c r="Q875" t="s">
        <v>1663</v>
      </c>
    </row>
    <row r="876" spans="1:18" x14ac:dyDescent="0.35">
      <c r="A876" s="5" t="s">
        <v>1496</v>
      </c>
      <c r="B876" s="6">
        <v>46212</v>
      </c>
      <c r="C876" s="5" t="s">
        <v>422</v>
      </c>
      <c r="D876" s="5" t="s">
        <v>84</v>
      </c>
      <c r="E876" s="5" t="s">
        <v>226</v>
      </c>
      <c r="F876" s="5" t="s">
        <v>24</v>
      </c>
      <c r="G876">
        <v>0.61805555555555558</v>
      </c>
      <c r="H876">
        <v>0.61319444444444449</v>
      </c>
      <c r="I876">
        <v>-6</v>
      </c>
      <c r="J876" s="5" t="s">
        <v>18</v>
      </c>
      <c r="K876" s="5" t="s">
        <v>19</v>
      </c>
      <c r="L876">
        <v>1023</v>
      </c>
      <c r="M876" s="5">
        <v>-7</v>
      </c>
      <c r="N876" s="5" t="s">
        <v>1680</v>
      </c>
      <c r="O876" s="5" t="s">
        <v>1664</v>
      </c>
      <c r="P876">
        <v>1</v>
      </c>
      <c r="Q876" t="s">
        <v>1663</v>
      </c>
    </row>
    <row r="877" spans="1:18" x14ac:dyDescent="0.35">
      <c r="A877" s="5" t="s">
        <v>1497</v>
      </c>
      <c r="B877" s="6">
        <v>46212</v>
      </c>
      <c r="C877" s="5" t="s">
        <v>1498</v>
      </c>
      <c r="D877" s="5" t="s">
        <v>79</v>
      </c>
      <c r="E877" s="5" t="s">
        <v>413</v>
      </c>
      <c r="F877" s="5" t="s">
        <v>17</v>
      </c>
      <c r="G877">
        <v>0.65625</v>
      </c>
      <c r="H877">
        <v>0.65763888888888888</v>
      </c>
      <c r="I877">
        <v>3</v>
      </c>
      <c r="J877" s="5" t="s">
        <v>18</v>
      </c>
      <c r="K877" s="5" t="s">
        <v>19</v>
      </c>
      <c r="L877">
        <v>1942</v>
      </c>
      <c r="M877" s="5">
        <v>2</v>
      </c>
      <c r="N877" s="5" t="s">
        <v>1680</v>
      </c>
      <c r="O877" s="5" t="s">
        <v>1664</v>
      </c>
      <c r="P877">
        <v>1</v>
      </c>
      <c r="Q877" t="s">
        <v>1663</v>
      </c>
    </row>
    <row r="878" spans="1:18" x14ac:dyDescent="0.35">
      <c r="A878" s="5" t="s">
        <v>1499</v>
      </c>
      <c r="B878" s="6">
        <v>46213</v>
      </c>
      <c r="C878" s="5" t="s">
        <v>273</v>
      </c>
      <c r="D878" s="5" t="s">
        <v>84</v>
      </c>
      <c r="E878" s="5" t="s">
        <v>546</v>
      </c>
      <c r="F878" s="5" t="s">
        <v>28</v>
      </c>
      <c r="G878">
        <v>0.65972222222222221</v>
      </c>
      <c r="H878">
        <v>0.68958333333333333</v>
      </c>
      <c r="I878">
        <v>40</v>
      </c>
      <c r="J878" s="5" t="s">
        <v>129</v>
      </c>
      <c r="K878" s="5" t="s">
        <v>19</v>
      </c>
      <c r="L878">
        <v>867</v>
      </c>
      <c r="M878" s="5">
        <v>43</v>
      </c>
      <c r="N878" s="5" t="s">
        <v>1680</v>
      </c>
      <c r="O878" s="5" t="s">
        <v>1666</v>
      </c>
      <c r="P878">
        <v>0</v>
      </c>
      <c r="Q878" t="s">
        <v>1663</v>
      </c>
      <c r="R878" t="s">
        <v>1670</v>
      </c>
    </row>
    <row r="879" spans="1:18" x14ac:dyDescent="0.35">
      <c r="A879" s="5" t="s">
        <v>1500</v>
      </c>
      <c r="B879" s="6">
        <v>46214</v>
      </c>
      <c r="C879" s="5" t="s">
        <v>49</v>
      </c>
      <c r="D879" s="5" t="s">
        <v>226</v>
      </c>
      <c r="E879" s="5" t="s">
        <v>1171</v>
      </c>
      <c r="F879" s="5" t="s">
        <v>17</v>
      </c>
      <c r="G879">
        <v>0.52083333333333337</v>
      </c>
      <c r="H879">
        <v>0.52083333333333337</v>
      </c>
      <c r="I879">
        <v>1</v>
      </c>
      <c r="J879" s="5" t="s">
        <v>18</v>
      </c>
      <c r="K879" s="5" t="s">
        <v>19</v>
      </c>
      <c r="L879">
        <v>602</v>
      </c>
      <c r="M879" s="5">
        <v>0</v>
      </c>
      <c r="N879" s="5" t="s">
        <v>1680</v>
      </c>
      <c r="O879" s="5" t="s">
        <v>1667</v>
      </c>
      <c r="P879">
        <v>1</v>
      </c>
      <c r="Q879" t="s">
        <v>1663</v>
      </c>
    </row>
    <row r="880" spans="1:18" x14ac:dyDescent="0.35">
      <c r="A880" s="5" t="s">
        <v>1501</v>
      </c>
      <c r="B880" s="6">
        <v>46215</v>
      </c>
      <c r="C880" s="5" t="s">
        <v>1207</v>
      </c>
      <c r="D880" s="5" t="s">
        <v>1171</v>
      </c>
      <c r="E880" s="5" t="s">
        <v>71</v>
      </c>
      <c r="F880" s="5" t="s">
        <v>38</v>
      </c>
      <c r="G880">
        <v>0.38541666666666669</v>
      </c>
      <c r="H880">
        <v>0.40069444444444452</v>
      </c>
      <c r="I880">
        <v>7</v>
      </c>
      <c r="J880" s="5" t="s">
        <v>54</v>
      </c>
      <c r="K880" s="5" t="s">
        <v>19</v>
      </c>
      <c r="L880">
        <v>1438</v>
      </c>
      <c r="M880" s="5">
        <v>22</v>
      </c>
      <c r="N880" s="5" t="s">
        <v>1680</v>
      </c>
      <c r="O880" s="5" t="s">
        <v>1668</v>
      </c>
      <c r="P880">
        <v>1</v>
      </c>
      <c r="Q880" t="s">
        <v>1660</v>
      </c>
      <c r="R880" t="s">
        <v>1657</v>
      </c>
    </row>
    <row r="881" spans="1:18" x14ac:dyDescent="0.35">
      <c r="A881" s="5" t="s">
        <v>1502</v>
      </c>
      <c r="B881" s="6">
        <v>46215</v>
      </c>
      <c r="C881" s="5" t="s">
        <v>1503</v>
      </c>
      <c r="D881" s="5" t="s">
        <v>197</v>
      </c>
      <c r="E881" s="5" t="s">
        <v>202</v>
      </c>
      <c r="F881" s="5" t="s">
        <v>28</v>
      </c>
      <c r="G881">
        <v>0.46875</v>
      </c>
      <c r="H881">
        <v>0.48472222222222222</v>
      </c>
      <c r="I881">
        <v>9</v>
      </c>
      <c r="J881" s="5" t="s">
        <v>477</v>
      </c>
      <c r="K881" s="5" t="s">
        <v>19</v>
      </c>
      <c r="L881">
        <v>1092</v>
      </c>
      <c r="M881" s="5">
        <v>23</v>
      </c>
      <c r="N881" s="5" t="s">
        <v>1680</v>
      </c>
      <c r="O881" s="5" t="s">
        <v>1668</v>
      </c>
      <c r="P881">
        <v>1</v>
      </c>
      <c r="Q881" t="s">
        <v>1660</v>
      </c>
      <c r="R881" t="s">
        <v>1670</v>
      </c>
    </row>
    <row r="882" spans="1:18" x14ac:dyDescent="0.35">
      <c r="A882" s="5" t="s">
        <v>1504</v>
      </c>
      <c r="B882" s="6">
        <v>46215</v>
      </c>
      <c r="C882" s="5" t="s">
        <v>740</v>
      </c>
      <c r="D882" s="5" t="s">
        <v>71</v>
      </c>
      <c r="E882" s="5" t="s">
        <v>1549</v>
      </c>
      <c r="F882" s="5" t="s">
        <v>28</v>
      </c>
      <c r="G882">
        <v>0.65625</v>
      </c>
      <c r="H882">
        <v>0.65208333333333335</v>
      </c>
      <c r="I882">
        <v>-6</v>
      </c>
      <c r="J882" s="5" t="s">
        <v>18</v>
      </c>
      <c r="K882" s="5" t="s">
        <v>19</v>
      </c>
      <c r="L882">
        <v>864</v>
      </c>
      <c r="M882" s="5">
        <v>-6</v>
      </c>
      <c r="N882" s="5" t="s">
        <v>1680</v>
      </c>
      <c r="O882" s="5" t="s">
        <v>1668</v>
      </c>
      <c r="P882">
        <v>1</v>
      </c>
      <c r="Q882" t="s">
        <v>1663</v>
      </c>
    </row>
    <row r="883" spans="1:18" x14ac:dyDescent="0.35">
      <c r="A883" s="5" t="s">
        <v>1505</v>
      </c>
      <c r="B883" s="6">
        <v>46217</v>
      </c>
      <c r="C883" s="5" t="s">
        <v>587</v>
      </c>
      <c r="D883" s="5" t="s">
        <v>226</v>
      </c>
      <c r="E883" s="5" t="s">
        <v>1295</v>
      </c>
      <c r="F883" s="5" t="s">
        <v>17</v>
      </c>
      <c r="G883">
        <v>0.27777777777777779</v>
      </c>
      <c r="H883">
        <v>0.27986111111111112</v>
      </c>
      <c r="I883">
        <v>-7</v>
      </c>
      <c r="J883" s="5" t="s">
        <v>18</v>
      </c>
      <c r="K883" s="5" t="s">
        <v>19</v>
      </c>
      <c r="L883">
        <v>965</v>
      </c>
      <c r="M883" s="5">
        <v>3</v>
      </c>
      <c r="N883" s="5" t="s">
        <v>1680</v>
      </c>
      <c r="O883" s="5" t="s">
        <v>1661</v>
      </c>
      <c r="P883">
        <v>1</v>
      </c>
      <c r="Q883" t="s">
        <v>1660</v>
      </c>
    </row>
    <row r="884" spans="1:18" x14ac:dyDescent="0.35">
      <c r="A884" s="5" t="s">
        <v>1506</v>
      </c>
      <c r="B884" s="6">
        <v>46217</v>
      </c>
      <c r="C884" s="5" t="s">
        <v>1487</v>
      </c>
      <c r="D884" s="5" t="s">
        <v>71</v>
      </c>
      <c r="E884" s="5" t="s">
        <v>202</v>
      </c>
      <c r="F884" s="5" t="s">
        <v>17</v>
      </c>
      <c r="G884">
        <v>0.3263888888888889</v>
      </c>
      <c r="H884">
        <v>0.34236111111111112</v>
      </c>
      <c r="I884">
        <v>26</v>
      </c>
      <c r="J884" s="5" t="s">
        <v>129</v>
      </c>
      <c r="K884" s="5" t="s">
        <v>19</v>
      </c>
      <c r="L884">
        <v>1199</v>
      </c>
      <c r="M884" s="5">
        <v>23</v>
      </c>
      <c r="N884" s="5" t="s">
        <v>1680</v>
      </c>
      <c r="O884" s="5" t="s">
        <v>1661</v>
      </c>
      <c r="P884">
        <v>0</v>
      </c>
      <c r="Q884" t="s">
        <v>1660</v>
      </c>
      <c r="R884" t="s">
        <v>1670</v>
      </c>
    </row>
    <row r="885" spans="1:18" x14ac:dyDescent="0.35">
      <c r="A885" s="5" t="s">
        <v>1507</v>
      </c>
      <c r="B885" s="6">
        <v>46217</v>
      </c>
      <c r="C885" s="5" t="s">
        <v>262</v>
      </c>
      <c r="D885" s="5" t="s">
        <v>202</v>
      </c>
      <c r="E885" s="5" t="s">
        <v>1171</v>
      </c>
      <c r="F885" s="5" t="s">
        <v>24</v>
      </c>
      <c r="G885">
        <v>0.61458333333333337</v>
      </c>
      <c r="H885">
        <v>0.61388888888888893</v>
      </c>
      <c r="I885">
        <v>6</v>
      </c>
      <c r="J885" s="5" t="s">
        <v>18</v>
      </c>
      <c r="K885" s="5" t="s">
        <v>19</v>
      </c>
      <c r="L885">
        <v>1969</v>
      </c>
      <c r="M885" s="5">
        <v>-1</v>
      </c>
      <c r="N885" s="5" t="s">
        <v>1680</v>
      </c>
      <c r="O885" s="5" t="s">
        <v>1661</v>
      </c>
      <c r="P885">
        <v>1</v>
      </c>
      <c r="Q885" t="s">
        <v>1663</v>
      </c>
    </row>
    <row r="886" spans="1:18" x14ac:dyDescent="0.35">
      <c r="A886" s="5" t="s">
        <v>1508</v>
      </c>
      <c r="B886" s="6">
        <v>46217</v>
      </c>
      <c r="C886" s="5" t="s">
        <v>607</v>
      </c>
      <c r="D886" s="5" t="s">
        <v>1549</v>
      </c>
      <c r="E886" s="5" t="s">
        <v>71</v>
      </c>
      <c r="F886" s="5" t="s">
        <v>17</v>
      </c>
      <c r="G886">
        <v>0.74652777777777779</v>
      </c>
      <c r="H886">
        <v>0.76041666666666663</v>
      </c>
      <c r="I886">
        <v>20</v>
      </c>
      <c r="J886" s="5" t="s">
        <v>54</v>
      </c>
      <c r="K886" s="5" t="s">
        <v>19</v>
      </c>
      <c r="L886">
        <v>864</v>
      </c>
      <c r="M886" s="5">
        <v>20</v>
      </c>
      <c r="N886" s="5" t="s">
        <v>1680</v>
      </c>
      <c r="O886" s="5" t="s">
        <v>1661</v>
      </c>
      <c r="P886">
        <v>0</v>
      </c>
      <c r="Q886" t="s">
        <v>1665</v>
      </c>
      <c r="R886" t="s">
        <v>1657</v>
      </c>
    </row>
    <row r="887" spans="1:18" x14ac:dyDescent="0.35">
      <c r="A887" s="5" t="s">
        <v>1509</v>
      </c>
      <c r="B887" s="6">
        <v>46218</v>
      </c>
      <c r="C887" s="5" t="s">
        <v>483</v>
      </c>
      <c r="D887" s="5" t="s">
        <v>413</v>
      </c>
      <c r="E887" s="5" t="s">
        <v>71</v>
      </c>
      <c r="F887" s="5" t="s">
        <v>17</v>
      </c>
      <c r="G887">
        <v>0.65972222222222221</v>
      </c>
      <c r="H887">
        <v>0.6645833333333333</v>
      </c>
      <c r="I887">
        <v>17</v>
      </c>
      <c r="J887" s="5" t="s">
        <v>18</v>
      </c>
      <c r="K887" s="5" t="s">
        <v>19</v>
      </c>
      <c r="L887">
        <v>1742</v>
      </c>
      <c r="M887" s="5">
        <v>7</v>
      </c>
      <c r="N887" s="5" t="s">
        <v>1680</v>
      </c>
      <c r="O887" s="5" t="s">
        <v>1662</v>
      </c>
      <c r="P887">
        <v>0</v>
      </c>
      <c r="Q887" t="s">
        <v>1663</v>
      </c>
    </row>
    <row r="888" spans="1:18" x14ac:dyDescent="0.35">
      <c r="A888" s="5" t="s">
        <v>1510</v>
      </c>
      <c r="B888" s="6">
        <v>46219</v>
      </c>
      <c r="C888" s="5" t="s">
        <v>487</v>
      </c>
      <c r="D888" s="5" t="s">
        <v>413</v>
      </c>
      <c r="E888" s="5" t="s">
        <v>79</v>
      </c>
      <c r="F888" s="5" t="s">
        <v>17</v>
      </c>
      <c r="G888">
        <v>0.40277777777777779</v>
      </c>
      <c r="H888">
        <v>0.42777777777777781</v>
      </c>
      <c r="I888">
        <v>41</v>
      </c>
      <c r="J888" s="5" t="s">
        <v>129</v>
      </c>
      <c r="K888" s="5" t="s">
        <v>19</v>
      </c>
      <c r="L888">
        <v>1942</v>
      </c>
      <c r="M888" s="5">
        <v>36</v>
      </c>
      <c r="N888" s="5" t="s">
        <v>1680</v>
      </c>
      <c r="O888" s="5" t="s">
        <v>1664</v>
      </c>
      <c r="P888">
        <v>0</v>
      </c>
      <c r="Q888" t="s">
        <v>1660</v>
      </c>
      <c r="R888" t="s">
        <v>1670</v>
      </c>
    </row>
    <row r="889" spans="1:18" x14ac:dyDescent="0.35">
      <c r="A889" s="5" t="s">
        <v>1511</v>
      </c>
      <c r="B889" s="6">
        <v>46219</v>
      </c>
      <c r="C889" s="5" t="s">
        <v>1483</v>
      </c>
      <c r="D889" s="5" t="s">
        <v>1549</v>
      </c>
      <c r="E889" s="5" t="s">
        <v>226</v>
      </c>
      <c r="F889" s="5" t="s">
        <v>38</v>
      </c>
      <c r="G889">
        <v>0.59722222222222221</v>
      </c>
      <c r="H889">
        <v>0.60486111111111107</v>
      </c>
      <c r="I889">
        <v>5</v>
      </c>
      <c r="J889" s="5" t="s">
        <v>18</v>
      </c>
      <c r="K889" s="5" t="s">
        <v>19</v>
      </c>
      <c r="L889">
        <v>1749</v>
      </c>
      <c r="M889" s="5">
        <v>11</v>
      </c>
      <c r="N889" s="5" t="s">
        <v>1680</v>
      </c>
      <c r="O889" s="5" t="s">
        <v>1664</v>
      </c>
      <c r="P889">
        <v>1</v>
      </c>
      <c r="Q889" t="s">
        <v>1663</v>
      </c>
    </row>
    <row r="890" spans="1:18" x14ac:dyDescent="0.35">
      <c r="A890" s="5" t="s">
        <v>1512</v>
      </c>
      <c r="B890" s="6">
        <v>46221</v>
      </c>
      <c r="C890" s="5" t="s">
        <v>835</v>
      </c>
      <c r="D890" s="5" t="s">
        <v>1171</v>
      </c>
      <c r="E890" s="5" t="s">
        <v>588</v>
      </c>
      <c r="F890" s="5" t="s">
        <v>17</v>
      </c>
      <c r="G890">
        <v>0.78819444444444442</v>
      </c>
      <c r="H890">
        <v>0.79305555555555551</v>
      </c>
      <c r="J890" s="5" t="s">
        <v>18</v>
      </c>
      <c r="K890" s="5" t="s">
        <v>19</v>
      </c>
      <c r="L890">
        <v>866</v>
      </c>
      <c r="M890" s="5">
        <v>7</v>
      </c>
      <c r="N890" s="5" t="s">
        <v>1680</v>
      </c>
      <c r="O890" s="5" t="s">
        <v>1667</v>
      </c>
      <c r="Q890" t="s">
        <v>1665</v>
      </c>
    </row>
    <row r="891" spans="1:18" x14ac:dyDescent="0.35">
      <c r="A891" s="5" t="s">
        <v>1513</v>
      </c>
      <c r="B891" s="6">
        <v>46221</v>
      </c>
      <c r="C891" s="5" t="s">
        <v>417</v>
      </c>
      <c r="D891" s="5" t="s">
        <v>79</v>
      </c>
      <c r="E891" s="5" t="s">
        <v>1295</v>
      </c>
      <c r="F891" s="5" t="s">
        <v>17</v>
      </c>
      <c r="G891">
        <v>0.79861111111111116</v>
      </c>
      <c r="H891">
        <v>0.87430555555555556</v>
      </c>
      <c r="I891">
        <v>116</v>
      </c>
      <c r="J891" s="5" t="s">
        <v>129</v>
      </c>
      <c r="K891" s="5" t="s">
        <v>19</v>
      </c>
      <c r="L891">
        <v>2134</v>
      </c>
      <c r="M891" s="5">
        <v>109</v>
      </c>
      <c r="N891" s="5" t="s">
        <v>1680</v>
      </c>
      <c r="O891" s="5" t="s">
        <v>1667</v>
      </c>
      <c r="P891">
        <v>0</v>
      </c>
      <c r="Q891" t="s">
        <v>1665</v>
      </c>
      <c r="R891" t="s">
        <v>1670</v>
      </c>
    </row>
    <row r="892" spans="1:18" x14ac:dyDescent="0.35">
      <c r="A892" s="5" t="s">
        <v>1514</v>
      </c>
      <c r="B892" s="6">
        <v>46223</v>
      </c>
      <c r="C892" s="5" t="s">
        <v>1195</v>
      </c>
      <c r="D892" s="5" t="s">
        <v>79</v>
      </c>
      <c r="E892" s="5" t="s">
        <v>1171</v>
      </c>
      <c r="F892" s="5" t="s">
        <v>28</v>
      </c>
      <c r="G892">
        <v>0.25</v>
      </c>
      <c r="H892">
        <v>0.24444444444444441</v>
      </c>
      <c r="I892">
        <v>-5</v>
      </c>
      <c r="J892" s="5" t="s">
        <v>18</v>
      </c>
      <c r="K892" s="5" t="s">
        <v>19</v>
      </c>
      <c r="L892">
        <v>1584</v>
      </c>
      <c r="M892" s="5">
        <v>-8</v>
      </c>
      <c r="N892" s="5" t="s">
        <v>1680</v>
      </c>
      <c r="O892" s="5" t="s">
        <v>1659</v>
      </c>
      <c r="P892">
        <v>1</v>
      </c>
      <c r="Q892" t="s">
        <v>1660</v>
      </c>
    </row>
    <row r="893" spans="1:18" x14ac:dyDescent="0.35">
      <c r="A893" s="5" t="s">
        <v>1515</v>
      </c>
      <c r="B893" s="6">
        <v>46223</v>
      </c>
      <c r="C893" s="5" t="s">
        <v>603</v>
      </c>
      <c r="D893" s="5" t="s">
        <v>1549</v>
      </c>
      <c r="E893" s="5" t="s">
        <v>79</v>
      </c>
      <c r="F893" s="5" t="s">
        <v>24</v>
      </c>
      <c r="G893">
        <v>0.2638888888888889</v>
      </c>
      <c r="H893">
        <v>0.26597222222222222</v>
      </c>
      <c r="I893">
        <v>-5</v>
      </c>
      <c r="J893" s="5" t="s">
        <v>18</v>
      </c>
      <c r="K893" s="5" t="s">
        <v>19</v>
      </c>
      <c r="L893">
        <v>945</v>
      </c>
      <c r="M893" s="5">
        <v>3</v>
      </c>
      <c r="N893" s="5" t="s">
        <v>1680</v>
      </c>
      <c r="O893" s="5" t="s">
        <v>1659</v>
      </c>
      <c r="P893">
        <v>1</v>
      </c>
      <c r="Q893" t="s">
        <v>1660</v>
      </c>
    </row>
    <row r="894" spans="1:18" x14ac:dyDescent="0.35">
      <c r="A894" s="5" t="s">
        <v>1516</v>
      </c>
      <c r="B894" s="6">
        <v>46223</v>
      </c>
      <c r="C894" s="5" t="s">
        <v>1077</v>
      </c>
      <c r="D894" s="5" t="s">
        <v>71</v>
      </c>
      <c r="E894" s="5" t="s">
        <v>413</v>
      </c>
      <c r="F894" s="5" t="s">
        <v>38</v>
      </c>
      <c r="G894">
        <v>0.47569444444444442</v>
      </c>
      <c r="H894">
        <v>0.48333333333333328</v>
      </c>
      <c r="I894">
        <v>11</v>
      </c>
      <c r="J894" s="5" t="s">
        <v>18</v>
      </c>
      <c r="K894" s="5" t="s">
        <v>19</v>
      </c>
      <c r="L894">
        <v>1742</v>
      </c>
      <c r="M894" s="5">
        <v>11</v>
      </c>
      <c r="N894" s="5" t="s">
        <v>1680</v>
      </c>
      <c r="O894" s="5" t="s">
        <v>1659</v>
      </c>
      <c r="P894">
        <v>1</v>
      </c>
      <c r="Q894" t="s">
        <v>1660</v>
      </c>
    </row>
    <row r="895" spans="1:18" x14ac:dyDescent="0.35">
      <c r="A895" s="5" t="s">
        <v>1517</v>
      </c>
      <c r="B895" s="6">
        <v>46223</v>
      </c>
      <c r="C895" s="5" t="s">
        <v>1518</v>
      </c>
      <c r="D895" s="5" t="s">
        <v>71</v>
      </c>
      <c r="E895" s="5" t="s">
        <v>546</v>
      </c>
      <c r="F895" s="5" t="s">
        <v>17</v>
      </c>
      <c r="G895">
        <v>0.54513888888888884</v>
      </c>
      <c r="H895">
        <v>0.56805555555555554</v>
      </c>
      <c r="I895">
        <v>31</v>
      </c>
      <c r="J895" s="5" t="s">
        <v>319</v>
      </c>
      <c r="K895" s="5" t="s">
        <v>19</v>
      </c>
      <c r="L895">
        <v>1511</v>
      </c>
      <c r="M895" s="5">
        <v>33</v>
      </c>
      <c r="N895" s="5" t="s">
        <v>1680</v>
      </c>
      <c r="O895" s="5" t="s">
        <v>1659</v>
      </c>
      <c r="P895">
        <v>0</v>
      </c>
      <c r="Q895" t="s">
        <v>1663</v>
      </c>
      <c r="R895" t="s">
        <v>1670</v>
      </c>
    </row>
    <row r="896" spans="1:18" x14ac:dyDescent="0.35">
      <c r="A896" s="5" t="s">
        <v>1519</v>
      </c>
      <c r="B896" s="6">
        <v>46223</v>
      </c>
      <c r="C896" s="5" t="s">
        <v>789</v>
      </c>
      <c r="D896" s="5" t="s">
        <v>79</v>
      </c>
      <c r="E896" s="5" t="s">
        <v>226</v>
      </c>
      <c r="F896" s="5" t="s">
        <v>17</v>
      </c>
      <c r="G896">
        <v>0.69791666666666663</v>
      </c>
      <c r="H896">
        <v>0.7006944444444444</v>
      </c>
      <c r="I896">
        <v>6</v>
      </c>
      <c r="J896" s="5" t="s">
        <v>18</v>
      </c>
      <c r="K896" s="5" t="s">
        <v>19</v>
      </c>
      <c r="L896">
        <v>1197</v>
      </c>
      <c r="M896" s="5">
        <v>4</v>
      </c>
      <c r="N896" s="5" t="s">
        <v>1680</v>
      </c>
      <c r="O896" s="5" t="s">
        <v>1659</v>
      </c>
      <c r="P896">
        <v>1</v>
      </c>
      <c r="Q896" t="s">
        <v>1663</v>
      </c>
    </row>
    <row r="897" spans="1:18" x14ac:dyDescent="0.35">
      <c r="A897" s="5" t="s">
        <v>1520</v>
      </c>
      <c r="B897" s="6">
        <v>46224</v>
      </c>
      <c r="C897" s="5" t="s">
        <v>1521</v>
      </c>
      <c r="D897" s="5" t="s">
        <v>71</v>
      </c>
      <c r="E897" s="5" t="s">
        <v>413</v>
      </c>
      <c r="F897" s="5" t="s">
        <v>17</v>
      </c>
      <c r="G897">
        <v>0.69444444444444442</v>
      </c>
      <c r="H897">
        <v>0.69236111111111109</v>
      </c>
      <c r="I897">
        <v>7</v>
      </c>
      <c r="J897" s="5" t="s">
        <v>18</v>
      </c>
      <c r="K897" s="5" t="s">
        <v>19</v>
      </c>
      <c r="L897">
        <v>1742</v>
      </c>
      <c r="M897" s="5">
        <v>-3</v>
      </c>
      <c r="N897" s="5" t="s">
        <v>1680</v>
      </c>
      <c r="O897" s="5" t="s">
        <v>1661</v>
      </c>
      <c r="P897">
        <v>1</v>
      </c>
      <c r="Q897" t="s">
        <v>1663</v>
      </c>
    </row>
    <row r="898" spans="1:18" x14ac:dyDescent="0.35">
      <c r="A898" s="5" t="s">
        <v>1522</v>
      </c>
      <c r="B898" s="6">
        <v>46225</v>
      </c>
      <c r="C898" s="5" t="s">
        <v>654</v>
      </c>
      <c r="D898" s="5" t="s">
        <v>79</v>
      </c>
      <c r="E898" s="5" t="s">
        <v>413</v>
      </c>
      <c r="F898" s="5" t="s">
        <v>17</v>
      </c>
      <c r="G898">
        <v>0.24305555555555561</v>
      </c>
      <c r="H898">
        <v>0.24236111111111111</v>
      </c>
      <c r="I898">
        <v>1</v>
      </c>
      <c r="J898" s="5" t="s">
        <v>18</v>
      </c>
      <c r="K898" s="5" t="s">
        <v>19</v>
      </c>
      <c r="L898">
        <v>1942</v>
      </c>
      <c r="M898" s="5">
        <v>-1</v>
      </c>
      <c r="N898" s="5" t="s">
        <v>1680</v>
      </c>
      <c r="O898" s="5" t="s">
        <v>1662</v>
      </c>
      <c r="P898">
        <v>1</v>
      </c>
      <c r="Q898" t="s">
        <v>1660</v>
      </c>
    </row>
    <row r="899" spans="1:18" x14ac:dyDescent="0.35">
      <c r="A899" s="5" t="s">
        <v>1523</v>
      </c>
      <c r="B899" s="6">
        <v>46225</v>
      </c>
      <c r="C899" s="5" t="s">
        <v>1524</v>
      </c>
      <c r="D899" s="5" t="s">
        <v>197</v>
      </c>
      <c r="E899" s="5" t="s">
        <v>1171</v>
      </c>
      <c r="F899" s="5" t="s">
        <v>28</v>
      </c>
      <c r="G899">
        <v>0.28819444444444442</v>
      </c>
      <c r="H899">
        <v>0.28472222222222221</v>
      </c>
      <c r="I899">
        <v>-13</v>
      </c>
      <c r="J899" s="5" t="s">
        <v>18</v>
      </c>
      <c r="K899" s="5" t="s">
        <v>19</v>
      </c>
      <c r="L899">
        <v>2149</v>
      </c>
      <c r="M899" s="5">
        <v>-5</v>
      </c>
      <c r="N899" s="5" t="s">
        <v>1680</v>
      </c>
      <c r="O899" s="5" t="s">
        <v>1662</v>
      </c>
      <c r="P899">
        <v>1</v>
      </c>
      <c r="Q899" t="s">
        <v>1660</v>
      </c>
    </row>
    <row r="900" spans="1:18" x14ac:dyDescent="0.35">
      <c r="A900" s="5" t="s">
        <v>1525</v>
      </c>
      <c r="B900" s="6">
        <v>46225</v>
      </c>
      <c r="C900" s="5" t="s">
        <v>1526</v>
      </c>
      <c r="D900" s="5" t="s">
        <v>413</v>
      </c>
      <c r="E900" s="5" t="s">
        <v>79</v>
      </c>
      <c r="F900" s="5" t="s">
        <v>38</v>
      </c>
      <c r="G900">
        <v>0.375</v>
      </c>
      <c r="H900">
        <v>0.45347222222222222</v>
      </c>
      <c r="I900">
        <v>105</v>
      </c>
      <c r="J900" s="5" t="s">
        <v>60</v>
      </c>
      <c r="K900" s="5" t="s">
        <v>19</v>
      </c>
      <c r="L900">
        <v>1942</v>
      </c>
      <c r="M900" s="5">
        <v>113</v>
      </c>
      <c r="N900" s="5" t="s">
        <v>1680</v>
      </c>
      <c r="O900" s="5" t="s">
        <v>1662</v>
      </c>
      <c r="P900">
        <v>0</v>
      </c>
      <c r="Q900" t="s">
        <v>1660</v>
      </c>
      <c r="R900" t="s">
        <v>1657</v>
      </c>
    </row>
    <row r="901" spans="1:18" x14ac:dyDescent="0.35">
      <c r="A901" s="5" t="s">
        <v>1527</v>
      </c>
      <c r="B901" s="6">
        <v>46225</v>
      </c>
      <c r="C901" s="5" t="s">
        <v>1503</v>
      </c>
      <c r="D901" s="5" t="s">
        <v>1549</v>
      </c>
      <c r="E901" s="5" t="s">
        <v>79</v>
      </c>
      <c r="F901" s="5" t="s">
        <v>17</v>
      </c>
      <c r="G901">
        <v>0.47916666666666669</v>
      </c>
      <c r="I901">
        <v>149</v>
      </c>
      <c r="J901" s="5" t="s">
        <v>477</v>
      </c>
      <c r="K901" s="5" t="s">
        <v>19</v>
      </c>
      <c r="L901">
        <v>945</v>
      </c>
      <c r="M901" s="5">
        <v>158</v>
      </c>
      <c r="N901" s="5" t="s">
        <v>1680</v>
      </c>
      <c r="O901" s="5" t="s">
        <v>1662</v>
      </c>
      <c r="P901">
        <v>0</v>
      </c>
      <c r="Q901" t="s">
        <v>1660</v>
      </c>
      <c r="R901" t="s">
        <v>1670</v>
      </c>
    </row>
    <row r="902" spans="1:18" x14ac:dyDescent="0.35">
      <c r="A902" s="5" t="s">
        <v>1528</v>
      </c>
      <c r="B902" s="6">
        <v>46225</v>
      </c>
      <c r="C902" s="5" t="s">
        <v>378</v>
      </c>
      <c r="D902" s="5" t="s">
        <v>79</v>
      </c>
      <c r="E902" s="5" t="s">
        <v>197</v>
      </c>
      <c r="F902" s="5" t="s">
        <v>38</v>
      </c>
      <c r="G902">
        <v>0.625</v>
      </c>
      <c r="J902" s="5" t="s">
        <v>129</v>
      </c>
      <c r="K902" s="5" t="s">
        <v>254</v>
      </c>
      <c r="L902">
        <v>759</v>
      </c>
      <c r="M902" s="5"/>
      <c r="N902" s="5" t="s">
        <v>1680</v>
      </c>
      <c r="O902" s="5" t="s">
        <v>1662</v>
      </c>
      <c r="Q902" t="s">
        <v>1663</v>
      </c>
      <c r="R902" t="s">
        <v>1670</v>
      </c>
    </row>
    <row r="903" spans="1:18" x14ac:dyDescent="0.35">
      <c r="A903" s="5" t="s">
        <v>1529</v>
      </c>
      <c r="B903" s="6">
        <v>46227</v>
      </c>
      <c r="C903" s="5" t="s">
        <v>383</v>
      </c>
      <c r="D903" s="5" t="s">
        <v>79</v>
      </c>
      <c r="E903" s="5" t="s">
        <v>197</v>
      </c>
      <c r="F903" s="5" t="s">
        <v>24</v>
      </c>
      <c r="G903">
        <v>0.5625</v>
      </c>
      <c r="H903">
        <v>0.57361111111111107</v>
      </c>
      <c r="I903">
        <v>20</v>
      </c>
      <c r="J903" s="5" t="s">
        <v>54</v>
      </c>
      <c r="K903" s="5" t="s">
        <v>19</v>
      </c>
      <c r="L903">
        <v>759</v>
      </c>
      <c r="M903" s="5">
        <v>16</v>
      </c>
      <c r="N903" s="5" t="s">
        <v>1680</v>
      </c>
      <c r="O903" s="5" t="s">
        <v>1666</v>
      </c>
      <c r="P903">
        <v>0</v>
      </c>
      <c r="Q903" t="s">
        <v>1663</v>
      </c>
      <c r="R903" t="s">
        <v>1657</v>
      </c>
    </row>
    <row r="904" spans="1:18" x14ac:dyDescent="0.35">
      <c r="A904" s="5" t="s">
        <v>1530</v>
      </c>
      <c r="B904" s="6">
        <v>46227</v>
      </c>
      <c r="C904" s="5" t="s">
        <v>1531</v>
      </c>
      <c r="D904" s="5" t="s">
        <v>1549</v>
      </c>
      <c r="E904" s="5" t="s">
        <v>71</v>
      </c>
      <c r="F904" s="5" t="s">
        <v>17</v>
      </c>
      <c r="G904">
        <v>0.67708333333333337</v>
      </c>
      <c r="H904">
        <v>0.67847222222222225</v>
      </c>
      <c r="I904">
        <v>4</v>
      </c>
      <c r="J904" s="5" t="s">
        <v>18</v>
      </c>
      <c r="K904" s="5" t="s">
        <v>19</v>
      </c>
      <c r="L904">
        <v>864</v>
      </c>
      <c r="M904" s="5">
        <v>2</v>
      </c>
      <c r="N904" s="5" t="s">
        <v>1680</v>
      </c>
      <c r="O904" s="5" t="s">
        <v>1666</v>
      </c>
      <c r="P904">
        <v>1</v>
      </c>
      <c r="Q904" t="s">
        <v>1663</v>
      </c>
    </row>
    <row r="905" spans="1:18" x14ac:dyDescent="0.35">
      <c r="A905" s="5" t="s">
        <v>1532</v>
      </c>
      <c r="B905" s="6">
        <v>46228</v>
      </c>
      <c r="C905" s="5" t="s">
        <v>100</v>
      </c>
      <c r="D905" s="5" t="s">
        <v>197</v>
      </c>
      <c r="E905" s="5" t="s">
        <v>202</v>
      </c>
      <c r="F905" s="5" t="s">
        <v>24</v>
      </c>
      <c r="G905">
        <v>0.2361111111111111</v>
      </c>
      <c r="H905">
        <v>0.25972222222222219</v>
      </c>
      <c r="I905">
        <v>28</v>
      </c>
      <c r="J905" s="5" t="s">
        <v>60</v>
      </c>
      <c r="K905" s="5" t="s">
        <v>19</v>
      </c>
      <c r="L905">
        <v>1092</v>
      </c>
      <c r="M905" s="5">
        <v>34</v>
      </c>
      <c r="N905" s="5" t="s">
        <v>1680</v>
      </c>
      <c r="O905" s="5" t="s">
        <v>1667</v>
      </c>
      <c r="P905">
        <v>0</v>
      </c>
      <c r="Q905" t="s">
        <v>1660</v>
      </c>
      <c r="R905" t="s">
        <v>1657</v>
      </c>
    </row>
    <row r="906" spans="1:18" x14ac:dyDescent="0.35">
      <c r="A906" s="5" t="s">
        <v>1533</v>
      </c>
      <c r="B906" s="6">
        <v>46228</v>
      </c>
      <c r="C906" s="5" t="s">
        <v>847</v>
      </c>
      <c r="D906" s="5" t="s">
        <v>79</v>
      </c>
      <c r="E906" s="5" t="s">
        <v>71</v>
      </c>
      <c r="F906" s="5" t="s">
        <v>17</v>
      </c>
      <c r="G906">
        <v>0.46875</v>
      </c>
      <c r="H906">
        <v>0.46666666666666667</v>
      </c>
      <c r="I906">
        <v>-4</v>
      </c>
      <c r="J906" s="5" t="s">
        <v>18</v>
      </c>
      <c r="K906" s="5" t="s">
        <v>19</v>
      </c>
      <c r="L906">
        <v>606</v>
      </c>
      <c r="M906" s="5">
        <v>-3</v>
      </c>
      <c r="N906" s="5" t="s">
        <v>1680</v>
      </c>
      <c r="O906" s="5" t="s">
        <v>1667</v>
      </c>
      <c r="P906">
        <v>1</v>
      </c>
      <c r="Q906" t="s">
        <v>1660</v>
      </c>
    </row>
    <row r="907" spans="1:18" x14ac:dyDescent="0.35">
      <c r="A907" s="5" t="s">
        <v>1534</v>
      </c>
      <c r="B907" s="6">
        <v>46228</v>
      </c>
      <c r="C907" s="5" t="s">
        <v>837</v>
      </c>
      <c r="D907" s="5" t="s">
        <v>1171</v>
      </c>
      <c r="E907" s="5" t="s">
        <v>71</v>
      </c>
      <c r="F907" s="5" t="s">
        <v>38</v>
      </c>
      <c r="G907">
        <v>0.53125</v>
      </c>
      <c r="H907">
        <v>0.56805555555555554</v>
      </c>
      <c r="I907">
        <v>38</v>
      </c>
      <c r="J907" s="5" t="s">
        <v>54</v>
      </c>
      <c r="K907" s="5" t="s">
        <v>19</v>
      </c>
      <c r="L907">
        <v>1438</v>
      </c>
      <c r="M907" s="5">
        <v>53</v>
      </c>
      <c r="N907" s="5" t="s">
        <v>1680</v>
      </c>
      <c r="O907" s="5" t="s">
        <v>1667</v>
      </c>
      <c r="P907">
        <v>0</v>
      </c>
      <c r="Q907" t="s">
        <v>1663</v>
      </c>
      <c r="R907" t="s">
        <v>1657</v>
      </c>
    </row>
    <row r="908" spans="1:18" x14ac:dyDescent="0.35">
      <c r="A908" s="5" t="s">
        <v>1535</v>
      </c>
      <c r="B908" s="6">
        <v>46229</v>
      </c>
      <c r="C908" s="5" t="s">
        <v>1536</v>
      </c>
      <c r="D908" s="5" t="s">
        <v>71</v>
      </c>
      <c r="E908" s="5" t="s">
        <v>546</v>
      </c>
      <c r="F908" s="5" t="s">
        <v>24</v>
      </c>
      <c r="G908">
        <v>0.42708333333333331</v>
      </c>
      <c r="H908">
        <v>0.4465277777777778</v>
      </c>
      <c r="J908" s="5" t="s">
        <v>60</v>
      </c>
      <c r="K908" s="5" t="s">
        <v>19</v>
      </c>
      <c r="L908">
        <v>1511</v>
      </c>
      <c r="M908" s="5">
        <v>28</v>
      </c>
      <c r="N908" s="5" t="s">
        <v>1680</v>
      </c>
      <c r="O908" s="5" t="s">
        <v>1668</v>
      </c>
      <c r="Q908" t="s">
        <v>1660</v>
      </c>
      <c r="R908" t="s">
        <v>1657</v>
      </c>
    </row>
    <row r="909" spans="1:18" x14ac:dyDescent="0.35">
      <c r="A909" s="5" t="s">
        <v>1537</v>
      </c>
      <c r="B909" s="6">
        <v>46229</v>
      </c>
      <c r="C909" s="5" t="s">
        <v>942</v>
      </c>
      <c r="D909" s="5" t="s">
        <v>197</v>
      </c>
      <c r="E909" s="5" t="s">
        <v>588</v>
      </c>
      <c r="F909" s="5" t="s">
        <v>17</v>
      </c>
      <c r="G909">
        <v>0.70138888888888884</v>
      </c>
      <c r="H909">
        <v>0.70694444444444449</v>
      </c>
      <c r="I909">
        <v>9</v>
      </c>
      <c r="J909" s="5" t="s">
        <v>18</v>
      </c>
      <c r="K909" s="5" t="s">
        <v>19</v>
      </c>
      <c r="L909">
        <v>1389</v>
      </c>
      <c r="M909" s="5">
        <v>8</v>
      </c>
      <c r="N909" s="5" t="s">
        <v>1680</v>
      </c>
      <c r="O909" s="5" t="s">
        <v>1668</v>
      </c>
      <c r="P909">
        <v>1</v>
      </c>
      <c r="Q909" t="s">
        <v>1663</v>
      </c>
    </row>
    <row r="910" spans="1:18" x14ac:dyDescent="0.35">
      <c r="A910" s="5" t="s">
        <v>1538</v>
      </c>
      <c r="B910" s="6">
        <v>46229</v>
      </c>
      <c r="C910" s="5" t="s">
        <v>1105</v>
      </c>
      <c r="D910" s="5" t="s">
        <v>79</v>
      </c>
      <c r="E910" s="5" t="s">
        <v>546</v>
      </c>
      <c r="F910" s="5" t="s">
        <v>17</v>
      </c>
      <c r="G910">
        <v>0.77777777777777779</v>
      </c>
      <c r="H910">
        <v>0.77847222222222223</v>
      </c>
      <c r="I910">
        <v>5</v>
      </c>
      <c r="J910" s="5" t="s">
        <v>18</v>
      </c>
      <c r="K910" s="5" t="s">
        <v>19</v>
      </c>
      <c r="L910">
        <v>1743</v>
      </c>
      <c r="M910" s="5">
        <v>1</v>
      </c>
      <c r="N910" s="5" t="s">
        <v>1680</v>
      </c>
      <c r="O910" s="5" t="s">
        <v>1668</v>
      </c>
      <c r="P910">
        <v>1</v>
      </c>
      <c r="Q910" t="s">
        <v>1665</v>
      </c>
    </row>
    <row r="911" spans="1:18" x14ac:dyDescent="0.35">
      <c r="A911" s="5" t="s">
        <v>1539</v>
      </c>
      <c r="B911" s="6">
        <v>46230</v>
      </c>
      <c r="C911" s="5" t="s">
        <v>21</v>
      </c>
      <c r="D911" s="5" t="s">
        <v>79</v>
      </c>
      <c r="E911" s="5" t="s">
        <v>202</v>
      </c>
      <c r="F911" s="5" t="s">
        <v>24</v>
      </c>
      <c r="G911">
        <v>0.52083333333333337</v>
      </c>
      <c r="H911">
        <v>0.53194444444444444</v>
      </c>
      <c r="I911">
        <v>8</v>
      </c>
      <c r="J911" s="5" t="s">
        <v>54</v>
      </c>
      <c r="K911" s="5" t="s">
        <v>19</v>
      </c>
      <c r="L911">
        <v>596</v>
      </c>
      <c r="M911" s="5">
        <v>16</v>
      </c>
      <c r="N911" s="5" t="s">
        <v>1680</v>
      </c>
      <c r="O911" s="5" t="s">
        <v>1659</v>
      </c>
      <c r="P911">
        <v>1</v>
      </c>
      <c r="Q911" t="s">
        <v>1663</v>
      </c>
      <c r="R911" t="s">
        <v>1657</v>
      </c>
    </row>
    <row r="912" spans="1:18" x14ac:dyDescent="0.35">
      <c r="A912" s="5" t="s">
        <v>1540</v>
      </c>
      <c r="B912" s="6">
        <v>46230</v>
      </c>
      <c r="C912" s="5" t="s">
        <v>1343</v>
      </c>
      <c r="D912" s="5" t="s">
        <v>79</v>
      </c>
      <c r="E912" s="5" t="s">
        <v>588</v>
      </c>
      <c r="F912" s="5" t="s">
        <v>28</v>
      </c>
      <c r="G912">
        <v>0.53125</v>
      </c>
      <c r="H912">
        <v>0.52638888888888891</v>
      </c>
      <c r="J912" s="5" t="s">
        <v>18</v>
      </c>
      <c r="K912" s="5" t="s">
        <v>19</v>
      </c>
      <c r="L912">
        <v>730</v>
      </c>
      <c r="M912" s="5">
        <v>-7</v>
      </c>
      <c r="N912" s="5" t="s">
        <v>1680</v>
      </c>
      <c r="O912" s="5" t="s">
        <v>1659</v>
      </c>
      <c r="Q912" t="s">
        <v>1663</v>
      </c>
    </row>
    <row r="913" spans="1:18" x14ac:dyDescent="0.35">
      <c r="A913" s="5" t="s">
        <v>1541</v>
      </c>
      <c r="B913" s="6">
        <v>46230</v>
      </c>
      <c r="C913" s="5" t="s">
        <v>90</v>
      </c>
      <c r="D913" s="5" t="s">
        <v>588</v>
      </c>
      <c r="E913" s="5" t="s">
        <v>546</v>
      </c>
      <c r="F913" s="5" t="s">
        <v>17</v>
      </c>
      <c r="G913">
        <v>0.68402777777777779</v>
      </c>
      <c r="H913">
        <v>0.67986111111111114</v>
      </c>
      <c r="I913">
        <v>-14</v>
      </c>
      <c r="J913" s="5" t="s">
        <v>18</v>
      </c>
      <c r="K913" s="5" t="s">
        <v>19</v>
      </c>
      <c r="L913">
        <v>1053</v>
      </c>
      <c r="M913" s="5"/>
      <c r="N913" s="5" t="s">
        <v>1680</v>
      </c>
      <c r="O913" s="5" t="s">
        <v>1659</v>
      </c>
      <c r="P913">
        <v>1</v>
      </c>
      <c r="Q913" t="s">
        <v>1663</v>
      </c>
    </row>
    <row r="914" spans="1:18" x14ac:dyDescent="0.35">
      <c r="A914" s="5" t="s">
        <v>1542</v>
      </c>
      <c r="B914" s="6">
        <v>46230</v>
      </c>
      <c r="C914" s="5" t="s">
        <v>1543</v>
      </c>
      <c r="D914" s="5" t="s">
        <v>79</v>
      </c>
      <c r="E914" s="5" t="s">
        <v>197</v>
      </c>
      <c r="F914" s="5" t="s">
        <v>28</v>
      </c>
      <c r="G914">
        <v>0.90972222222222221</v>
      </c>
      <c r="H914">
        <v>0.90486111111111112</v>
      </c>
      <c r="I914">
        <v>-3</v>
      </c>
      <c r="J914" s="5" t="s">
        <v>18</v>
      </c>
      <c r="K914" s="5" t="s">
        <v>19</v>
      </c>
      <c r="L914">
        <v>759</v>
      </c>
      <c r="M914" s="5">
        <v>-7</v>
      </c>
      <c r="N914" s="5" t="s">
        <v>1680</v>
      </c>
      <c r="O914" s="5" t="s">
        <v>1659</v>
      </c>
      <c r="P914">
        <v>1</v>
      </c>
      <c r="Q914" t="s">
        <v>1669</v>
      </c>
    </row>
    <row r="915" spans="1:18" x14ac:dyDescent="0.35">
      <c r="A915" s="5" t="s">
        <v>1544</v>
      </c>
      <c r="B915" s="6">
        <v>46231</v>
      </c>
      <c r="C915" s="5" t="s">
        <v>1545</v>
      </c>
      <c r="D915" s="5" t="s">
        <v>1549</v>
      </c>
      <c r="E915" s="5" t="s">
        <v>202</v>
      </c>
      <c r="F915" s="5" t="s">
        <v>38</v>
      </c>
      <c r="G915">
        <v>0.28125</v>
      </c>
      <c r="H915">
        <v>0.28333333333333333</v>
      </c>
      <c r="I915">
        <v>0</v>
      </c>
      <c r="J915" s="5" t="s">
        <v>18</v>
      </c>
      <c r="K915" s="5" t="s">
        <v>19</v>
      </c>
      <c r="L915">
        <v>1260</v>
      </c>
      <c r="M915" s="5">
        <v>3</v>
      </c>
      <c r="N915" s="5" t="s">
        <v>1680</v>
      </c>
      <c r="O915" s="5" t="s">
        <v>1661</v>
      </c>
      <c r="P915">
        <v>1</v>
      </c>
      <c r="Q915" t="s">
        <v>1660</v>
      </c>
    </row>
    <row r="916" spans="1:18" x14ac:dyDescent="0.35">
      <c r="A916" s="5" t="s">
        <v>1546</v>
      </c>
      <c r="B916" s="6">
        <v>46231</v>
      </c>
      <c r="C916" s="5" t="s">
        <v>1547</v>
      </c>
      <c r="D916" s="5" t="s">
        <v>413</v>
      </c>
      <c r="E916" s="5" t="s">
        <v>226</v>
      </c>
      <c r="F916" s="5" t="s">
        <v>28</v>
      </c>
      <c r="G916">
        <v>0.34375</v>
      </c>
      <c r="H916">
        <v>0.35</v>
      </c>
      <c r="I916">
        <v>-2</v>
      </c>
      <c r="J916" s="5" t="s">
        <v>18</v>
      </c>
      <c r="K916" s="5" t="s">
        <v>19</v>
      </c>
      <c r="L916">
        <v>861</v>
      </c>
      <c r="M916" s="5">
        <v>9</v>
      </c>
      <c r="N916" s="5" t="s">
        <v>1680</v>
      </c>
      <c r="O916" s="5" t="s">
        <v>1661</v>
      </c>
      <c r="P916">
        <v>1</v>
      </c>
      <c r="Q916" t="s">
        <v>1660</v>
      </c>
    </row>
    <row r="917" spans="1:18" x14ac:dyDescent="0.35">
      <c r="A917" s="5" t="s">
        <v>1548</v>
      </c>
      <c r="B917" s="6">
        <v>46231</v>
      </c>
      <c r="C917" s="5" t="s">
        <v>66</v>
      </c>
      <c r="D917" s="5" t="s">
        <v>1549</v>
      </c>
      <c r="E917" s="5" t="s">
        <v>202</v>
      </c>
      <c r="F917" s="5" t="s">
        <v>38</v>
      </c>
      <c r="G917">
        <v>0.53819444444444442</v>
      </c>
      <c r="H917">
        <v>0.53611111111111109</v>
      </c>
      <c r="I917">
        <v>6</v>
      </c>
      <c r="J917" s="5" t="s">
        <v>18</v>
      </c>
      <c r="K917" s="5" t="s">
        <v>19</v>
      </c>
      <c r="L917">
        <v>1260</v>
      </c>
      <c r="M917" s="5">
        <v>-3</v>
      </c>
      <c r="N917" s="5" t="s">
        <v>1680</v>
      </c>
      <c r="O917" s="5" t="s">
        <v>1661</v>
      </c>
      <c r="P917">
        <v>1</v>
      </c>
      <c r="Q917" t="s">
        <v>1663</v>
      </c>
    </row>
    <row r="918" spans="1:18" x14ac:dyDescent="0.35">
      <c r="A918" s="5" t="s">
        <v>1550</v>
      </c>
      <c r="B918" s="6">
        <v>46231</v>
      </c>
      <c r="C918" s="5" t="s">
        <v>1551</v>
      </c>
      <c r="D918" s="5" t="s">
        <v>546</v>
      </c>
      <c r="E918" s="5" t="s">
        <v>413</v>
      </c>
      <c r="F918" s="5" t="s">
        <v>24</v>
      </c>
      <c r="G918">
        <v>0.85069444444444442</v>
      </c>
      <c r="H918">
        <v>0.85</v>
      </c>
      <c r="I918">
        <v>-11</v>
      </c>
      <c r="J918" s="5" t="s">
        <v>18</v>
      </c>
      <c r="K918" s="5" t="s">
        <v>19</v>
      </c>
      <c r="L918">
        <v>236</v>
      </c>
      <c r="M918" s="5">
        <v>-1</v>
      </c>
      <c r="N918" s="5" t="s">
        <v>1680</v>
      </c>
      <c r="O918" s="5" t="s">
        <v>1661</v>
      </c>
      <c r="P918">
        <v>1</v>
      </c>
      <c r="Q918" t="s">
        <v>1665</v>
      </c>
    </row>
    <row r="919" spans="1:18" x14ac:dyDescent="0.35">
      <c r="A919" s="5" t="s">
        <v>1552</v>
      </c>
      <c r="B919" s="6">
        <v>46231</v>
      </c>
      <c r="C919" s="5" t="s">
        <v>406</v>
      </c>
      <c r="D919" s="5" t="s">
        <v>226</v>
      </c>
      <c r="E919" s="5" t="s">
        <v>413</v>
      </c>
      <c r="F919" s="5" t="s">
        <v>17</v>
      </c>
      <c r="G919">
        <v>0.91319444444444442</v>
      </c>
      <c r="H919">
        <v>0.96458333333333335</v>
      </c>
      <c r="I919">
        <v>72</v>
      </c>
      <c r="J919" s="5" t="s">
        <v>54</v>
      </c>
      <c r="K919" s="5" t="s">
        <v>19</v>
      </c>
      <c r="L919">
        <v>861</v>
      </c>
      <c r="M919" s="5">
        <v>74</v>
      </c>
      <c r="N919" s="5" t="s">
        <v>1680</v>
      </c>
      <c r="O919" s="5" t="s">
        <v>1661</v>
      </c>
      <c r="P919">
        <v>0</v>
      </c>
      <c r="Q919" t="s">
        <v>1669</v>
      </c>
      <c r="R919" t="s">
        <v>1657</v>
      </c>
    </row>
    <row r="920" spans="1:18" x14ac:dyDescent="0.35">
      <c r="A920" s="5" t="s">
        <v>1553</v>
      </c>
      <c r="B920" s="6">
        <v>46232</v>
      </c>
      <c r="C920" s="5" t="s">
        <v>1554</v>
      </c>
      <c r="D920" s="5" t="s">
        <v>197</v>
      </c>
      <c r="E920" s="5" t="s">
        <v>413</v>
      </c>
      <c r="F920" s="5" t="s">
        <v>38</v>
      </c>
      <c r="G920">
        <v>0.71527777777777779</v>
      </c>
      <c r="H920">
        <v>0.71319444444444446</v>
      </c>
      <c r="I920">
        <v>-8</v>
      </c>
      <c r="J920" s="5" t="s">
        <v>18</v>
      </c>
      <c r="K920" s="5" t="s">
        <v>19</v>
      </c>
      <c r="L920">
        <v>2470</v>
      </c>
      <c r="M920" s="5">
        <v>-3</v>
      </c>
      <c r="N920" s="5" t="s">
        <v>1680</v>
      </c>
      <c r="O920" s="5" t="s">
        <v>1662</v>
      </c>
      <c r="P920">
        <v>1</v>
      </c>
      <c r="Q920" t="s">
        <v>1665</v>
      </c>
    </row>
    <row r="921" spans="1:18" x14ac:dyDescent="0.35">
      <c r="A921" s="5" t="s">
        <v>1555</v>
      </c>
      <c r="B921" s="6">
        <v>46232</v>
      </c>
      <c r="C921" s="5" t="s">
        <v>567</v>
      </c>
      <c r="D921" s="5" t="s">
        <v>202</v>
      </c>
      <c r="E921" s="5" t="s">
        <v>71</v>
      </c>
      <c r="F921" s="5" t="s">
        <v>28</v>
      </c>
      <c r="G921">
        <v>0.91319444444444442</v>
      </c>
      <c r="H921">
        <v>0.91180555555555554</v>
      </c>
      <c r="I921">
        <v>-6</v>
      </c>
      <c r="J921" s="5" t="s">
        <v>18</v>
      </c>
      <c r="K921" s="5" t="s">
        <v>19</v>
      </c>
      <c r="L921">
        <v>1199</v>
      </c>
      <c r="M921" s="5">
        <v>-2</v>
      </c>
      <c r="N921" s="5" t="s">
        <v>1680</v>
      </c>
      <c r="O921" s="5" t="s">
        <v>1662</v>
      </c>
      <c r="P921">
        <v>1</v>
      </c>
      <c r="Q921" t="s">
        <v>1669</v>
      </c>
    </row>
    <row r="922" spans="1:18" x14ac:dyDescent="0.35">
      <c r="A922" s="5" t="s">
        <v>1556</v>
      </c>
      <c r="B922" s="6">
        <v>46232</v>
      </c>
      <c r="C922" s="5" t="s">
        <v>1557</v>
      </c>
      <c r="D922" s="5" t="s">
        <v>197</v>
      </c>
      <c r="E922" s="5" t="s">
        <v>226</v>
      </c>
      <c r="F922" s="5" t="s">
        <v>28</v>
      </c>
      <c r="G922">
        <v>0.93402777777777779</v>
      </c>
      <c r="H922">
        <v>0.93680555555555556</v>
      </c>
      <c r="I922">
        <v>-4</v>
      </c>
      <c r="J922" s="5" t="s">
        <v>18</v>
      </c>
      <c r="K922" s="5" t="s">
        <v>19</v>
      </c>
      <c r="L922">
        <v>1622</v>
      </c>
      <c r="M922" s="5">
        <v>4</v>
      </c>
      <c r="N922" s="5" t="s">
        <v>1680</v>
      </c>
      <c r="O922" s="5" t="s">
        <v>1662</v>
      </c>
      <c r="P922">
        <v>1</v>
      </c>
      <c r="Q922" t="s">
        <v>1669</v>
      </c>
    </row>
    <row r="923" spans="1:18" x14ac:dyDescent="0.35">
      <c r="A923" s="5" t="s">
        <v>1558</v>
      </c>
      <c r="B923" s="6">
        <v>46233</v>
      </c>
      <c r="C923" s="5" t="s">
        <v>394</v>
      </c>
      <c r="D923" s="5" t="s">
        <v>202</v>
      </c>
      <c r="E923" s="5" t="s">
        <v>71</v>
      </c>
      <c r="F923" s="5" t="s">
        <v>17</v>
      </c>
      <c r="G923">
        <v>0.32291666666666669</v>
      </c>
      <c r="H923">
        <v>0.32500000000000001</v>
      </c>
      <c r="I923">
        <v>-7</v>
      </c>
      <c r="J923" s="5" t="s">
        <v>18</v>
      </c>
      <c r="K923" s="5" t="s">
        <v>19</v>
      </c>
      <c r="L923">
        <v>1199</v>
      </c>
      <c r="M923" s="5">
        <v>3</v>
      </c>
      <c r="N923" s="5" t="s">
        <v>1680</v>
      </c>
      <c r="O923" s="5" t="s">
        <v>1664</v>
      </c>
      <c r="P923">
        <v>1</v>
      </c>
      <c r="Q923" t="s">
        <v>1660</v>
      </c>
    </row>
    <row r="924" spans="1:18" x14ac:dyDescent="0.35">
      <c r="A924" s="5" t="s">
        <v>1559</v>
      </c>
      <c r="B924" s="6">
        <v>46233</v>
      </c>
      <c r="C924" s="5" t="s">
        <v>1560</v>
      </c>
      <c r="D924" s="5" t="s">
        <v>1549</v>
      </c>
      <c r="E924" s="5" t="s">
        <v>202</v>
      </c>
      <c r="F924" s="5" t="s">
        <v>28</v>
      </c>
      <c r="G924">
        <v>0.67708333333333337</v>
      </c>
      <c r="H924">
        <v>0.69236111111111109</v>
      </c>
      <c r="I924">
        <v>16</v>
      </c>
      <c r="J924" s="5" t="s">
        <v>54</v>
      </c>
      <c r="K924" s="5" t="s">
        <v>19</v>
      </c>
      <c r="L924">
        <v>1260</v>
      </c>
      <c r="M924" s="5">
        <v>22</v>
      </c>
      <c r="N924" s="5" t="s">
        <v>1680</v>
      </c>
      <c r="O924" s="5" t="s">
        <v>1664</v>
      </c>
      <c r="P924">
        <v>0</v>
      </c>
      <c r="Q924" t="s">
        <v>1663</v>
      </c>
      <c r="R924" t="s">
        <v>1657</v>
      </c>
    </row>
    <row r="925" spans="1:18" x14ac:dyDescent="0.35">
      <c r="A925" s="5" t="s">
        <v>1561</v>
      </c>
      <c r="B925" s="6">
        <v>46234</v>
      </c>
      <c r="C925" s="5" t="s">
        <v>1562</v>
      </c>
      <c r="D925" s="5" t="s">
        <v>197</v>
      </c>
      <c r="E925" s="5" t="s">
        <v>71</v>
      </c>
      <c r="F925" s="5" t="s">
        <v>28</v>
      </c>
      <c r="G925">
        <v>0.27083333333333331</v>
      </c>
      <c r="H925">
        <v>0.2673611111111111</v>
      </c>
      <c r="I925">
        <v>-3</v>
      </c>
      <c r="J925" s="5" t="s">
        <v>18</v>
      </c>
      <c r="K925" s="5" t="s">
        <v>19</v>
      </c>
      <c r="L925">
        <v>738</v>
      </c>
      <c r="M925" s="5">
        <v>-5</v>
      </c>
      <c r="N925" s="5" t="s">
        <v>1680</v>
      </c>
      <c r="O925" s="5" t="s">
        <v>1666</v>
      </c>
      <c r="P925">
        <v>1</v>
      </c>
      <c r="Q925" t="s">
        <v>1660</v>
      </c>
    </row>
    <row r="926" spans="1:18" x14ac:dyDescent="0.35">
      <c r="A926" s="5" t="s">
        <v>1563</v>
      </c>
      <c r="B926" s="6">
        <v>46234</v>
      </c>
      <c r="C926" s="5" t="s">
        <v>316</v>
      </c>
      <c r="D926" s="5" t="s">
        <v>71</v>
      </c>
      <c r="E926" s="5" t="s">
        <v>1549</v>
      </c>
      <c r="F926" s="5" t="s">
        <v>17</v>
      </c>
      <c r="G926">
        <v>0.69791666666666663</v>
      </c>
      <c r="H926">
        <v>0.75277777777777777</v>
      </c>
      <c r="I926">
        <v>84</v>
      </c>
      <c r="J926" s="5" t="s">
        <v>54</v>
      </c>
      <c r="K926" s="5" t="s">
        <v>19</v>
      </c>
      <c r="L926">
        <v>864</v>
      </c>
      <c r="M926" s="5">
        <v>79</v>
      </c>
      <c r="N926" s="5" t="s">
        <v>1680</v>
      </c>
      <c r="O926" s="5" t="s">
        <v>1666</v>
      </c>
      <c r="P926">
        <v>0</v>
      </c>
      <c r="Q926" t="s">
        <v>1663</v>
      </c>
      <c r="R926" t="s">
        <v>1657</v>
      </c>
    </row>
    <row r="927" spans="1:18" x14ac:dyDescent="0.35">
      <c r="A927" s="5" t="s">
        <v>1564</v>
      </c>
      <c r="B927" s="6">
        <v>46235</v>
      </c>
      <c r="C927" s="5" t="s">
        <v>682</v>
      </c>
      <c r="D927" s="5" t="s">
        <v>1549</v>
      </c>
      <c r="E927" s="5" t="s">
        <v>588</v>
      </c>
      <c r="F927" s="5" t="s">
        <v>38</v>
      </c>
      <c r="G927">
        <v>0.5</v>
      </c>
      <c r="H927">
        <v>0.50208333333333333</v>
      </c>
      <c r="I927">
        <v>8</v>
      </c>
      <c r="J927" s="5" t="s">
        <v>18</v>
      </c>
      <c r="K927" s="5" t="s">
        <v>19</v>
      </c>
      <c r="L927">
        <v>1559</v>
      </c>
      <c r="M927" s="5">
        <v>3</v>
      </c>
      <c r="N927" s="5" t="s">
        <v>1681</v>
      </c>
      <c r="O927" s="5" t="s">
        <v>1667</v>
      </c>
      <c r="P927">
        <v>1</v>
      </c>
      <c r="Q927" t="s">
        <v>1663</v>
      </c>
    </row>
    <row r="928" spans="1:18" x14ac:dyDescent="0.35">
      <c r="A928" s="5" t="s">
        <v>1565</v>
      </c>
      <c r="B928" s="6">
        <v>46235</v>
      </c>
      <c r="C928" s="5" t="s">
        <v>512</v>
      </c>
      <c r="D928" s="5" t="s">
        <v>79</v>
      </c>
      <c r="E928" s="5" t="s">
        <v>71</v>
      </c>
      <c r="F928" s="5" t="s">
        <v>24</v>
      </c>
      <c r="G928">
        <v>0.64930555555555558</v>
      </c>
      <c r="H928">
        <v>0.65069444444444446</v>
      </c>
      <c r="I928">
        <v>-2</v>
      </c>
      <c r="J928" s="5" t="s">
        <v>18</v>
      </c>
      <c r="K928" s="5" t="s">
        <v>19</v>
      </c>
      <c r="L928">
        <v>606</v>
      </c>
      <c r="M928" s="5">
        <v>2</v>
      </c>
      <c r="N928" s="5" t="s">
        <v>1681</v>
      </c>
      <c r="O928" s="5" t="s">
        <v>1667</v>
      </c>
      <c r="P928">
        <v>1</v>
      </c>
      <c r="Q928" t="s">
        <v>1663</v>
      </c>
    </row>
    <row r="929" spans="1:18" x14ac:dyDescent="0.35">
      <c r="A929" s="5" t="s">
        <v>1566</v>
      </c>
      <c r="B929" s="6">
        <v>46235</v>
      </c>
      <c r="C929" s="5" t="s">
        <v>962</v>
      </c>
      <c r="D929" s="5" t="s">
        <v>79</v>
      </c>
      <c r="E929" s="5" t="s">
        <v>71</v>
      </c>
      <c r="F929" s="5" t="s">
        <v>24</v>
      </c>
      <c r="G929">
        <v>0.71527777777777779</v>
      </c>
      <c r="H929">
        <v>0.73472222222222228</v>
      </c>
      <c r="I929">
        <v>34</v>
      </c>
      <c r="J929" s="5" t="s">
        <v>54</v>
      </c>
      <c r="K929" s="5" t="s">
        <v>19</v>
      </c>
      <c r="L929">
        <v>606</v>
      </c>
      <c r="M929" s="5">
        <v>28</v>
      </c>
      <c r="N929" s="5" t="s">
        <v>1681</v>
      </c>
      <c r="O929" s="5" t="s">
        <v>1667</v>
      </c>
      <c r="P929">
        <v>0</v>
      </c>
      <c r="Q929" t="s">
        <v>1665</v>
      </c>
      <c r="R929" t="s">
        <v>1657</v>
      </c>
    </row>
    <row r="930" spans="1:18" x14ac:dyDescent="0.35">
      <c r="A930" s="5" t="s">
        <v>1567</v>
      </c>
      <c r="B930" s="6">
        <v>46235</v>
      </c>
      <c r="C930" s="5" t="s">
        <v>106</v>
      </c>
      <c r="D930" s="5" t="s">
        <v>1295</v>
      </c>
      <c r="E930" s="5" t="s">
        <v>413</v>
      </c>
      <c r="F930" s="5" t="s">
        <v>24</v>
      </c>
      <c r="G930">
        <v>0.72569444444444442</v>
      </c>
      <c r="H930">
        <v>0.72430555555555554</v>
      </c>
      <c r="I930">
        <v>-10</v>
      </c>
      <c r="J930" s="5" t="s">
        <v>18</v>
      </c>
      <c r="K930" s="5" t="s">
        <v>19</v>
      </c>
      <c r="L930">
        <v>338</v>
      </c>
      <c r="M930" s="5">
        <v>-2</v>
      </c>
      <c r="N930" s="5" t="s">
        <v>1681</v>
      </c>
      <c r="O930" s="5" t="s">
        <v>1667</v>
      </c>
      <c r="P930">
        <v>1</v>
      </c>
      <c r="Q930" t="s">
        <v>1665</v>
      </c>
    </row>
    <row r="931" spans="1:18" x14ac:dyDescent="0.35">
      <c r="A931" s="5" t="s">
        <v>1568</v>
      </c>
      <c r="B931" s="6">
        <v>46236</v>
      </c>
      <c r="C931" s="5" t="s">
        <v>1569</v>
      </c>
      <c r="D931" s="5" t="s">
        <v>546</v>
      </c>
      <c r="E931" s="5" t="s">
        <v>79</v>
      </c>
      <c r="F931" s="5" t="s">
        <v>28</v>
      </c>
      <c r="G931">
        <v>0.4513888888888889</v>
      </c>
      <c r="H931">
        <v>0.44930555555555562</v>
      </c>
      <c r="I931">
        <v>-12</v>
      </c>
      <c r="J931" s="5" t="s">
        <v>18</v>
      </c>
      <c r="K931" s="5" t="s">
        <v>19</v>
      </c>
      <c r="L931">
        <v>1743</v>
      </c>
      <c r="M931" s="5">
        <v>-3</v>
      </c>
      <c r="N931" s="5" t="s">
        <v>1681</v>
      </c>
      <c r="O931" s="5" t="s">
        <v>1668</v>
      </c>
      <c r="P931">
        <v>1</v>
      </c>
      <c r="Q931" t="s">
        <v>1660</v>
      </c>
    </row>
    <row r="932" spans="1:18" x14ac:dyDescent="0.35">
      <c r="A932" s="5" t="s">
        <v>1570</v>
      </c>
      <c r="B932" s="6">
        <v>46236</v>
      </c>
      <c r="C932" s="5" t="s">
        <v>760</v>
      </c>
      <c r="D932" s="5" t="s">
        <v>1171</v>
      </c>
      <c r="E932" s="5" t="s">
        <v>413</v>
      </c>
      <c r="F932" s="5" t="s">
        <v>24</v>
      </c>
      <c r="G932">
        <v>0.66319444444444442</v>
      </c>
      <c r="H932">
        <v>0.66319444444444442</v>
      </c>
      <c r="I932">
        <v>8</v>
      </c>
      <c r="J932" s="5" t="s">
        <v>18</v>
      </c>
      <c r="K932" s="5" t="s">
        <v>19</v>
      </c>
      <c r="L932">
        <v>370</v>
      </c>
      <c r="M932" s="5">
        <v>0</v>
      </c>
      <c r="N932" s="5" t="s">
        <v>1681</v>
      </c>
      <c r="O932" s="5" t="s">
        <v>1668</v>
      </c>
      <c r="P932">
        <v>1</v>
      </c>
      <c r="Q932" t="s">
        <v>1663</v>
      </c>
    </row>
    <row r="933" spans="1:18" x14ac:dyDescent="0.35">
      <c r="A933" s="5" t="s">
        <v>1571</v>
      </c>
      <c r="B933" s="6">
        <v>46236</v>
      </c>
      <c r="C933" s="5" t="s">
        <v>487</v>
      </c>
      <c r="D933" s="5" t="s">
        <v>546</v>
      </c>
      <c r="E933" s="5" t="s">
        <v>413</v>
      </c>
      <c r="F933" s="5" t="s">
        <v>38</v>
      </c>
      <c r="G933">
        <v>0.875</v>
      </c>
      <c r="H933">
        <v>0.87708333333333333</v>
      </c>
      <c r="I933">
        <v>6</v>
      </c>
      <c r="J933" s="5" t="s">
        <v>18</v>
      </c>
      <c r="K933" s="5" t="s">
        <v>19</v>
      </c>
      <c r="L933">
        <v>236</v>
      </c>
      <c r="M933" s="5">
        <v>3</v>
      </c>
      <c r="N933" s="5" t="s">
        <v>1681</v>
      </c>
      <c r="O933" s="5" t="s">
        <v>1668</v>
      </c>
      <c r="P933">
        <v>1</v>
      </c>
      <c r="Q933" t="s">
        <v>1669</v>
      </c>
    </row>
    <row r="934" spans="1:18" x14ac:dyDescent="0.35">
      <c r="A934" s="5" t="s">
        <v>1572</v>
      </c>
      <c r="B934" s="6">
        <v>46237</v>
      </c>
      <c r="C934" s="5" t="s">
        <v>778</v>
      </c>
      <c r="D934" s="5" t="s">
        <v>1549</v>
      </c>
      <c r="E934" s="5" t="s">
        <v>79</v>
      </c>
      <c r="F934" s="5" t="s">
        <v>24</v>
      </c>
      <c r="G934">
        <v>0.55555555555555558</v>
      </c>
      <c r="H934">
        <v>0.56874999999999998</v>
      </c>
      <c r="I934">
        <v>17</v>
      </c>
      <c r="J934" s="5" t="s">
        <v>60</v>
      </c>
      <c r="K934" s="5" t="s">
        <v>19</v>
      </c>
      <c r="L934">
        <v>945</v>
      </c>
      <c r="M934" s="5">
        <v>19</v>
      </c>
      <c r="N934" s="5" t="s">
        <v>1681</v>
      </c>
      <c r="O934" s="5" t="s">
        <v>1659</v>
      </c>
      <c r="P934">
        <v>0</v>
      </c>
      <c r="Q934" t="s">
        <v>1663</v>
      </c>
      <c r="R934" t="s">
        <v>1657</v>
      </c>
    </row>
    <row r="935" spans="1:18" x14ac:dyDescent="0.35">
      <c r="A935" s="5" t="s">
        <v>1573</v>
      </c>
      <c r="B935" s="6">
        <v>46238</v>
      </c>
      <c r="C935" s="5" t="s">
        <v>1040</v>
      </c>
      <c r="D935" s="5" t="s">
        <v>71</v>
      </c>
      <c r="E935" s="5" t="s">
        <v>1171</v>
      </c>
      <c r="F935" s="5" t="s">
        <v>24</v>
      </c>
      <c r="G935">
        <v>0.38194444444444442</v>
      </c>
      <c r="H935">
        <v>0.37847222222222221</v>
      </c>
      <c r="I935">
        <v>-11</v>
      </c>
      <c r="J935" s="5" t="s">
        <v>18</v>
      </c>
      <c r="K935" s="5" t="s">
        <v>19</v>
      </c>
      <c r="L935">
        <v>1438</v>
      </c>
      <c r="M935" s="5">
        <v>-5</v>
      </c>
      <c r="N935" s="5" t="s">
        <v>1681</v>
      </c>
      <c r="O935" s="5" t="s">
        <v>1661</v>
      </c>
      <c r="P935">
        <v>1</v>
      </c>
      <c r="Q935" t="s">
        <v>1660</v>
      </c>
    </row>
    <row r="936" spans="1:18" x14ac:dyDescent="0.35">
      <c r="A936" s="5" t="s">
        <v>1574</v>
      </c>
      <c r="B936" s="6">
        <v>46238</v>
      </c>
      <c r="C936" s="5" t="s">
        <v>1575</v>
      </c>
      <c r="D936" s="5" t="s">
        <v>413</v>
      </c>
      <c r="E936" s="5" t="s">
        <v>197</v>
      </c>
      <c r="F936" s="5" t="s">
        <v>28</v>
      </c>
      <c r="G936">
        <v>0.51388888888888884</v>
      </c>
      <c r="H936">
        <v>0.53472222222222221</v>
      </c>
      <c r="I936">
        <v>37</v>
      </c>
      <c r="J936" s="5" t="s">
        <v>60</v>
      </c>
      <c r="K936" s="5" t="s">
        <v>19</v>
      </c>
      <c r="L936">
        <v>2470</v>
      </c>
      <c r="M936" s="5">
        <v>30</v>
      </c>
      <c r="N936" s="5" t="s">
        <v>1681</v>
      </c>
      <c r="O936" s="5" t="s">
        <v>1661</v>
      </c>
      <c r="P936">
        <v>0</v>
      </c>
      <c r="Q936" t="s">
        <v>1663</v>
      </c>
      <c r="R936" t="s">
        <v>1657</v>
      </c>
    </row>
    <row r="937" spans="1:18" x14ac:dyDescent="0.35">
      <c r="A937" s="5" t="s">
        <v>1576</v>
      </c>
      <c r="B937" s="6">
        <v>46238</v>
      </c>
      <c r="C937" s="5" t="s">
        <v>716</v>
      </c>
      <c r="D937" s="5" t="s">
        <v>84</v>
      </c>
      <c r="E937" s="5" t="s">
        <v>71</v>
      </c>
      <c r="F937" s="5" t="s">
        <v>38</v>
      </c>
      <c r="G937">
        <v>0.65972222222222221</v>
      </c>
      <c r="H937">
        <v>0.66527777777777775</v>
      </c>
      <c r="I937">
        <v>5</v>
      </c>
      <c r="J937" s="5" t="s">
        <v>18</v>
      </c>
      <c r="K937" s="5" t="s">
        <v>19</v>
      </c>
      <c r="L937">
        <v>1717</v>
      </c>
      <c r="M937" s="5">
        <v>8</v>
      </c>
      <c r="N937" s="5" t="s">
        <v>1681</v>
      </c>
      <c r="O937" s="5" t="s">
        <v>1661</v>
      </c>
      <c r="P937">
        <v>1</v>
      </c>
      <c r="Q937" t="s">
        <v>1663</v>
      </c>
    </row>
    <row r="938" spans="1:18" x14ac:dyDescent="0.35">
      <c r="A938" s="5" t="s">
        <v>1577</v>
      </c>
      <c r="B938" s="6">
        <v>46238</v>
      </c>
      <c r="C938" s="5" t="s">
        <v>440</v>
      </c>
      <c r="D938" s="5" t="s">
        <v>79</v>
      </c>
      <c r="E938" s="5" t="s">
        <v>202</v>
      </c>
      <c r="F938" s="5" t="s">
        <v>38</v>
      </c>
      <c r="G938">
        <v>0.82291666666666663</v>
      </c>
      <c r="H938">
        <v>0.8256944444444444</v>
      </c>
      <c r="I938">
        <v>3</v>
      </c>
      <c r="J938" s="5" t="s">
        <v>18</v>
      </c>
      <c r="K938" s="5" t="s">
        <v>19</v>
      </c>
      <c r="L938">
        <v>596</v>
      </c>
      <c r="M938" s="5">
        <v>4</v>
      </c>
      <c r="N938" s="5" t="s">
        <v>1681</v>
      </c>
      <c r="O938" s="5" t="s">
        <v>1661</v>
      </c>
      <c r="P938">
        <v>1</v>
      </c>
      <c r="Q938" t="s">
        <v>1665</v>
      </c>
    </row>
    <row r="939" spans="1:18" x14ac:dyDescent="0.35">
      <c r="A939" s="5" t="s">
        <v>1578</v>
      </c>
      <c r="B939" s="6">
        <v>46240</v>
      </c>
      <c r="C939" s="5" t="s">
        <v>394</v>
      </c>
      <c r="D939" s="5" t="s">
        <v>588</v>
      </c>
      <c r="E939" s="5" t="s">
        <v>1171</v>
      </c>
      <c r="F939" s="5" t="s">
        <v>17</v>
      </c>
      <c r="G939">
        <v>0.3923611111111111</v>
      </c>
      <c r="H939">
        <v>0.43194444444444452</v>
      </c>
      <c r="I939">
        <v>45</v>
      </c>
      <c r="J939" s="5" t="s">
        <v>54</v>
      </c>
      <c r="K939" s="5" t="s">
        <v>19</v>
      </c>
      <c r="L939">
        <v>866</v>
      </c>
      <c r="M939" s="5">
        <v>57</v>
      </c>
      <c r="N939" s="5" t="s">
        <v>1681</v>
      </c>
      <c r="O939" s="5" t="s">
        <v>1664</v>
      </c>
      <c r="P939">
        <v>0</v>
      </c>
      <c r="Q939" t="s">
        <v>1660</v>
      </c>
      <c r="R939" t="s">
        <v>1657</v>
      </c>
    </row>
    <row r="940" spans="1:18" x14ac:dyDescent="0.35">
      <c r="A940" s="5" t="s">
        <v>1579</v>
      </c>
      <c r="B940" s="6">
        <v>46240</v>
      </c>
      <c r="C940" s="5" t="s">
        <v>1580</v>
      </c>
      <c r="D940" s="5" t="s">
        <v>71</v>
      </c>
      <c r="E940" s="5" t="s">
        <v>197</v>
      </c>
      <c r="F940" s="5" t="s">
        <v>24</v>
      </c>
      <c r="G940">
        <v>0.92013888888888884</v>
      </c>
      <c r="H940">
        <v>0.92152777777777772</v>
      </c>
      <c r="I940">
        <v>5</v>
      </c>
      <c r="J940" s="5" t="s">
        <v>18</v>
      </c>
      <c r="K940" s="5" t="s">
        <v>19</v>
      </c>
      <c r="L940">
        <v>738</v>
      </c>
      <c r="M940" s="5">
        <v>2</v>
      </c>
      <c r="N940" s="5" t="s">
        <v>1681</v>
      </c>
      <c r="O940" s="5" t="s">
        <v>1664</v>
      </c>
      <c r="P940">
        <v>1</v>
      </c>
      <c r="Q940" t="s">
        <v>1669</v>
      </c>
    </row>
    <row r="941" spans="1:18" x14ac:dyDescent="0.35">
      <c r="A941" s="5" t="s">
        <v>1581</v>
      </c>
      <c r="B941" s="6">
        <v>46241</v>
      </c>
      <c r="C941" s="5" t="s">
        <v>1369</v>
      </c>
      <c r="D941" s="5" t="s">
        <v>226</v>
      </c>
      <c r="E941" s="5" t="s">
        <v>84</v>
      </c>
      <c r="F941" s="5" t="s">
        <v>17</v>
      </c>
      <c r="G941">
        <v>0.55902777777777779</v>
      </c>
      <c r="H941">
        <v>0.58680555555555558</v>
      </c>
      <c r="I941">
        <v>29</v>
      </c>
      <c r="J941" s="5" t="s">
        <v>54</v>
      </c>
      <c r="K941" s="5" t="s">
        <v>19</v>
      </c>
      <c r="L941">
        <v>1023</v>
      </c>
      <c r="M941" s="5">
        <v>40</v>
      </c>
      <c r="N941" s="5" t="s">
        <v>1681</v>
      </c>
      <c r="O941" s="5" t="s">
        <v>1666</v>
      </c>
      <c r="P941">
        <v>0</v>
      </c>
      <c r="Q941" t="s">
        <v>1663</v>
      </c>
      <c r="R941" t="s">
        <v>1657</v>
      </c>
    </row>
    <row r="942" spans="1:18" x14ac:dyDescent="0.35">
      <c r="A942" s="5" t="s">
        <v>1582</v>
      </c>
      <c r="B942" s="6">
        <v>46242</v>
      </c>
      <c r="C942" s="5" t="s">
        <v>1229</v>
      </c>
      <c r="D942" s="5" t="s">
        <v>79</v>
      </c>
      <c r="E942" s="5" t="s">
        <v>546</v>
      </c>
      <c r="F942" s="5" t="s">
        <v>28</v>
      </c>
      <c r="G942">
        <v>0.57986111111111116</v>
      </c>
      <c r="H942">
        <v>0.59305555555555556</v>
      </c>
      <c r="I942">
        <v>13</v>
      </c>
      <c r="J942" s="5" t="s">
        <v>129</v>
      </c>
      <c r="K942" s="5" t="s">
        <v>19</v>
      </c>
      <c r="L942">
        <v>1743</v>
      </c>
      <c r="M942" s="5">
        <v>19</v>
      </c>
      <c r="N942" s="5" t="s">
        <v>1681</v>
      </c>
      <c r="O942" s="5" t="s">
        <v>1667</v>
      </c>
      <c r="P942">
        <v>1</v>
      </c>
      <c r="Q942" t="s">
        <v>1663</v>
      </c>
      <c r="R942" t="s">
        <v>1670</v>
      </c>
    </row>
    <row r="943" spans="1:18" x14ac:dyDescent="0.35">
      <c r="A943" s="5" t="s">
        <v>1583</v>
      </c>
      <c r="B943" s="6">
        <v>46242</v>
      </c>
      <c r="C943" s="5" t="s">
        <v>1575</v>
      </c>
      <c r="D943" s="5" t="s">
        <v>226</v>
      </c>
      <c r="E943" s="5" t="s">
        <v>588</v>
      </c>
      <c r="F943" s="5" t="s">
        <v>17</v>
      </c>
      <c r="G943">
        <v>0.77083333333333337</v>
      </c>
      <c r="H943">
        <v>0.77847222222222223</v>
      </c>
      <c r="I943">
        <v>9</v>
      </c>
      <c r="J943" s="5" t="s">
        <v>18</v>
      </c>
      <c r="K943" s="5" t="s">
        <v>19</v>
      </c>
      <c r="L943">
        <v>641</v>
      </c>
      <c r="M943" s="5">
        <v>11</v>
      </c>
      <c r="N943" s="5" t="s">
        <v>1681</v>
      </c>
      <c r="O943" s="5" t="s">
        <v>1667</v>
      </c>
      <c r="P943">
        <v>1</v>
      </c>
      <c r="Q943" t="s">
        <v>1665</v>
      </c>
    </row>
    <row r="944" spans="1:18" x14ac:dyDescent="0.35">
      <c r="A944" s="5" t="s">
        <v>1584</v>
      </c>
      <c r="B944" s="6">
        <v>46243</v>
      </c>
      <c r="C944" s="5" t="s">
        <v>1585</v>
      </c>
      <c r="D944" s="5" t="s">
        <v>1549</v>
      </c>
      <c r="E944" s="5" t="s">
        <v>79</v>
      </c>
      <c r="F944" s="5" t="s">
        <v>17</v>
      </c>
      <c r="G944">
        <v>0.27083333333333331</v>
      </c>
      <c r="H944">
        <v>0.26874999999999999</v>
      </c>
      <c r="I944">
        <v>-14</v>
      </c>
      <c r="J944" s="5" t="s">
        <v>18</v>
      </c>
      <c r="K944" s="5" t="s">
        <v>19</v>
      </c>
      <c r="L944">
        <v>945</v>
      </c>
      <c r="M944" s="5">
        <v>-3</v>
      </c>
      <c r="N944" s="5" t="s">
        <v>1681</v>
      </c>
      <c r="O944" s="5" t="s">
        <v>1668</v>
      </c>
      <c r="P944">
        <v>1</v>
      </c>
      <c r="Q944" t="s">
        <v>1660</v>
      </c>
    </row>
    <row r="945" spans="1:18" x14ac:dyDescent="0.35">
      <c r="A945" s="5" t="s">
        <v>1586</v>
      </c>
      <c r="B945" s="6">
        <v>46243</v>
      </c>
      <c r="C945" s="5" t="s">
        <v>1079</v>
      </c>
      <c r="D945" s="5" t="s">
        <v>79</v>
      </c>
      <c r="E945" s="5" t="s">
        <v>226</v>
      </c>
      <c r="F945" s="5" t="s">
        <v>28</v>
      </c>
      <c r="G945">
        <v>0.52083333333333337</v>
      </c>
      <c r="H945">
        <v>0.54583333333333328</v>
      </c>
      <c r="I945">
        <v>35</v>
      </c>
      <c r="J945" s="5" t="s">
        <v>129</v>
      </c>
      <c r="K945" s="5" t="s">
        <v>19</v>
      </c>
      <c r="L945">
        <v>1197</v>
      </c>
      <c r="M945" s="5">
        <v>36</v>
      </c>
      <c r="N945" s="5" t="s">
        <v>1681</v>
      </c>
      <c r="O945" s="5" t="s">
        <v>1668</v>
      </c>
      <c r="P945">
        <v>0</v>
      </c>
      <c r="Q945" t="s">
        <v>1663</v>
      </c>
      <c r="R945" t="s">
        <v>1670</v>
      </c>
    </row>
    <row r="946" spans="1:18" x14ac:dyDescent="0.35">
      <c r="A946" s="5" t="s">
        <v>1587</v>
      </c>
      <c r="B946" s="6">
        <v>46243</v>
      </c>
      <c r="C946" s="5" t="s">
        <v>616</v>
      </c>
      <c r="D946" s="5" t="s">
        <v>197</v>
      </c>
      <c r="E946" s="5" t="s">
        <v>1171</v>
      </c>
      <c r="F946" s="5" t="s">
        <v>38</v>
      </c>
      <c r="G946">
        <v>0.58333333333333337</v>
      </c>
      <c r="I946">
        <v>-19</v>
      </c>
      <c r="J946" s="5" t="s">
        <v>18</v>
      </c>
      <c r="K946" s="5" t="s">
        <v>19</v>
      </c>
      <c r="L946">
        <v>2149</v>
      </c>
      <c r="M946" s="5">
        <v>-8</v>
      </c>
      <c r="N946" s="5" t="s">
        <v>1681</v>
      </c>
      <c r="O946" s="5" t="s">
        <v>1668</v>
      </c>
      <c r="P946">
        <v>1</v>
      </c>
      <c r="Q946" t="s">
        <v>1663</v>
      </c>
    </row>
    <row r="947" spans="1:18" x14ac:dyDescent="0.35">
      <c r="A947" s="5" t="s">
        <v>1588</v>
      </c>
      <c r="B947" s="6">
        <v>46243</v>
      </c>
      <c r="C947" s="5" t="s">
        <v>1589</v>
      </c>
      <c r="D947" s="5" t="s">
        <v>546</v>
      </c>
      <c r="E947" s="5" t="s">
        <v>79</v>
      </c>
      <c r="F947" s="5" t="s">
        <v>17</v>
      </c>
      <c r="G947">
        <v>0.69097222222222221</v>
      </c>
      <c r="H947">
        <v>0.69236111111111109</v>
      </c>
      <c r="I947">
        <v>-3</v>
      </c>
      <c r="J947" s="5" t="s">
        <v>18</v>
      </c>
      <c r="K947" s="5" t="s">
        <v>19</v>
      </c>
      <c r="L947">
        <v>1743</v>
      </c>
      <c r="M947" s="5">
        <v>2</v>
      </c>
      <c r="N947" s="5" t="s">
        <v>1681</v>
      </c>
      <c r="O947" s="5" t="s">
        <v>1668</v>
      </c>
      <c r="P947">
        <v>1</v>
      </c>
      <c r="Q947" t="s">
        <v>1663</v>
      </c>
    </row>
    <row r="948" spans="1:18" x14ac:dyDescent="0.35">
      <c r="A948" s="5" t="s">
        <v>1590</v>
      </c>
      <c r="B948" s="6">
        <v>46243</v>
      </c>
      <c r="C948" s="5" t="s">
        <v>1591</v>
      </c>
      <c r="D948" s="5" t="s">
        <v>79</v>
      </c>
      <c r="E948" s="5" t="s">
        <v>84</v>
      </c>
      <c r="F948" s="5" t="s">
        <v>17</v>
      </c>
      <c r="G948">
        <v>0.77430555555555558</v>
      </c>
      <c r="H948">
        <v>0.78749999999999998</v>
      </c>
      <c r="I948">
        <v>16</v>
      </c>
      <c r="J948" s="5" t="s">
        <v>54</v>
      </c>
      <c r="K948" s="5" t="s">
        <v>19</v>
      </c>
      <c r="L948">
        <v>2178</v>
      </c>
      <c r="M948" s="5">
        <v>19</v>
      </c>
      <c r="N948" s="5" t="s">
        <v>1681</v>
      </c>
      <c r="O948" s="5" t="s">
        <v>1668</v>
      </c>
      <c r="P948">
        <v>0</v>
      </c>
      <c r="Q948" t="s">
        <v>1665</v>
      </c>
      <c r="R948" t="s">
        <v>1657</v>
      </c>
    </row>
    <row r="949" spans="1:18" x14ac:dyDescent="0.35">
      <c r="A949" s="5" t="s">
        <v>1592</v>
      </c>
      <c r="B949" s="6">
        <v>46243</v>
      </c>
      <c r="C949" s="5" t="s">
        <v>1451</v>
      </c>
      <c r="D949" s="5" t="s">
        <v>71</v>
      </c>
      <c r="E949" s="5" t="s">
        <v>226</v>
      </c>
      <c r="F949" s="5" t="s">
        <v>24</v>
      </c>
      <c r="G949">
        <v>0.85763888888888884</v>
      </c>
      <c r="H949">
        <v>0.92083333333333328</v>
      </c>
      <c r="I949">
        <v>89</v>
      </c>
      <c r="J949" s="5" t="s">
        <v>60</v>
      </c>
      <c r="K949" s="5" t="s">
        <v>19</v>
      </c>
      <c r="L949">
        <v>886</v>
      </c>
      <c r="M949" s="5">
        <v>91</v>
      </c>
      <c r="N949" s="5" t="s">
        <v>1681</v>
      </c>
      <c r="O949" s="5" t="s">
        <v>1668</v>
      </c>
      <c r="P949">
        <v>0</v>
      </c>
      <c r="Q949" t="s">
        <v>1665</v>
      </c>
      <c r="R949" t="s">
        <v>1657</v>
      </c>
    </row>
    <row r="950" spans="1:18" x14ac:dyDescent="0.35">
      <c r="A950" s="5" t="s">
        <v>1593</v>
      </c>
      <c r="B950" s="6">
        <v>46244</v>
      </c>
      <c r="C950" s="5" t="s">
        <v>256</v>
      </c>
      <c r="D950" s="5" t="s">
        <v>1171</v>
      </c>
      <c r="E950" s="5" t="s">
        <v>79</v>
      </c>
      <c r="F950" s="5" t="s">
        <v>17</v>
      </c>
      <c r="G950">
        <v>0.25694444444444442</v>
      </c>
      <c r="H950">
        <v>0.25347222222222221</v>
      </c>
      <c r="I950">
        <v>-10</v>
      </c>
      <c r="J950" s="5" t="s">
        <v>18</v>
      </c>
      <c r="K950" s="5" t="s">
        <v>19</v>
      </c>
      <c r="L950">
        <v>1584</v>
      </c>
      <c r="M950" s="5">
        <v>-5</v>
      </c>
      <c r="N950" s="5" t="s">
        <v>1681</v>
      </c>
      <c r="O950" s="5" t="s">
        <v>1659</v>
      </c>
      <c r="P950">
        <v>1</v>
      </c>
      <c r="Q950" t="s">
        <v>1660</v>
      </c>
    </row>
    <row r="951" spans="1:18" x14ac:dyDescent="0.35">
      <c r="A951" s="5" t="s">
        <v>1594</v>
      </c>
      <c r="B951" s="6">
        <v>46245</v>
      </c>
      <c r="C951" s="5" t="s">
        <v>541</v>
      </c>
      <c r="D951" s="5" t="s">
        <v>84</v>
      </c>
      <c r="E951" s="5" t="s">
        <v>79</v>
      </c>
      <c r="F951" s="5" t="s">
        <v>24</v>
      </c>
      <c r="G951">
        <v>0.22569444444444439</v>
      </c>
      <c r="H951">
        <v>0.22847222222222219</v>
      </c>
      <c r="I951">
        <v>11</v>
      </c>
      <c r="J951" s="5" t="s">
        <v>18</v>
      </c>
      <c r="K951" s="5" t="s">
        <v>19</v>
      </c>
      <c r="L951">
        <v>2178</v>
      </c>
      <c r="M951" s="5">
        <v>4</v>
      </c>
      <c r="N951" s="5" t="s">
        <v>1681</v>
      </c>
      <c r="O951" s="5" t="s">
        <v>1661</v>
      </c>
      <c r="P951">
        <v>1</v>
      </c>
      <c r="Q951" t="s">
        <v>1660</v>
      </c>
    </row>
    <row r="952" spans="1:18" x14ac:dyDescent="0.35">
      <c r="A952" s="5" t="s">
        <v>1595</v>
      </c>
      <c r="B952" s="6">
        <v>46245</v>
      </c>
      <c r="C952" s="5" t="s">
        <v>1118</v>
      </c>
      <c r="D952" s="5" t="s">
        <v>71</v>
      </c>
      <c r="E952" s="5" t="s">
        <v>79</v>
      </c>
      <c r="F952" s="5" t="s">
        <v>28</v>
      </c>
      <c r="G952">
        <v>0.30208333333333331</v>
      </c>
      <c r="H952">
        <v>0.31041666666666667</v>
      </c>
      <c r="I952">
        <v>2</v>
      </c>
      <c r="J952" s="5" t="s">
        <v>18</v>
      </c>
      <c r="K952" s="5" t="s">
        <v>19</v>
      </c>
      <c r="L952">
        <v>606</v>
      </c>
      <c r="M952" s="5">
        <v>12</v>
      </c>
      <c r="N952" s="5" t="s">
        <v>1681</v>
      </c>
      <c r="O952" s="5" t="s">
        <v>1661</v>
      </c>
      <c r="P952">
        <v>1</v>
      </c>
      <c r="Q952" t="s">
        <v>1660</v>
      </c>
    </row>
    <row r="953" spans="1:18" x14ac:dyDescent="0.35">
      <c r="A953" s="5" t="s">
        <v>1596</v>
      </c>
      <c r="B953" s="6">
        <v>46245</v>
      </c>
      <c r="C953" s="5" t="s">
        <v>481</v>
      </c>
      <c r="D953" s="5" t="s">
        <v>226</v>
      </c>
      <c r="E953" s="5" t="s">
        <v>79</v>
      </c>
      <c r="F953" s="5" t="s">
        <v>24</v>
      </c>
      <c r="G953">
        <v>0.33680555555555558</v>
      </c>
      <c r="H953">
        <v>0.34375</v>
      </c>
      <c r="I953">
        <v>19</v>
      </c>
      <c r="J953" s="5" t="s">
        <v>18</v>
      </c>
      <c r="K953" s="5" t="s">
        <v>19</v>
      </c>
      <c r="L953">
        <v>1197</v>
      </c>
      <c r="M953" s="5">
        <v>10</v>
      </c>
      <c r="N953" s="5" t="s">
        <v>1681</v>
      </c>
      <c r="O953" s="5" t="s">
        <v>1661</v>
      </c>
      <c r="P953">
        <v>0</v>
      </c>
      <c r="Q953" t="s">
        <v>1660</v>
      </c>
    </row>
    <row r="954" spans="1:18" x14ac:dyDescent="0.35">
      <c r="A954" s="5" t="s">
        <v>1597</v>
      </c>
      <c r="B954" s="6">
        <v>46246</v>
      </c>
      <c r="C954" s="5" t="s">
        <v>1598</v>
      </c>
      <c r="D954" s="5" t="s">
        <v>588</v>
      </c>
      <c r="E954" s="5" t="s">
        <v>79</v>
      </c>
      <c r="F954" s="5" t="s">
        <v>38</v>
      </c>
      <c r="G954">
        <v>0.35416666666666669</v>
      </c>
      <c r="H954">
        <v>0.37569444444444439</v>
      </c>
      <c r="I954">
        <v>39</v>
      </c>
      <c r="J954" s="5" t="s">
        <v>319</v>
      </c>
      <c r="K954" s="5" t="s">
        <v>19</v>
      </c>
      <c r="L954">
        <v>730</v>
      </c>
      <c r="M954" s="5">
        <v>31</v>
      </c>
      <c r="N954" s="5" t="s">
        <v>1681</v>
      </c>
      <c r="O954" s="5" t="s">
        <v>1662</v>
      </c>
      <c r="P954">
        <v>0</v>
      </c>
      <c r="Q954" t="s">
        <v>1660</v>
      </c>
      <c r="R954" t="s">
        <v>1670</v>
      </c>
    </row>
    <row r="955" spans="1:18" x14ac:dyDescent="0.35">
      <c r="A955" s="5" t="s">
        <v>1599</v>
      </c>
      <c r="B955" s="6">
        <v>46246</v>
      </c>
      <c r="C955" s="5" t="s">
        <v>88</v>
      </c>
      <c r="D955" s="5" t="s">
        <v>546</v>
      </c>
      <c r="E955" s="5" t="s">
        <v>588</v>
      </c>
      <c r="F955" s="5" t="s">
        <v>28</v>
      </c>
      <c r="G955">
        <v>0.37847222222222221</v>
      </c>
      <c r="H955">
        <v>0.37777777777777782</v>
      </c>
      <c r="I955">
        <v>-13</v>
      </c>
      <c r="J955" s="5" t="s">
        <v>18</v>
      </c>
      <c r="K955" s="5" t="s">
        <v>19</v>
      </c>
      <c r="L955">
        <v>1053</v>
      </c>
      <c r="M955" s="5">
        <v>-1</v>
      </c>
      <c r="N955" s="5" t="s">
        <v>1681</v>
      </c>
      <c r="O955" s="5" t="s">
        <v>1662</v>
      </c>
      <c r="P955">
        <v>1</v>
      </c>
      <c r="Q955" t="s">
        <v>1660</v>
      </c>
    </row>
    <row r="956" spans="1:18" x14ac:dyDescent="0.35">
      <c r="A956" s="5" t="s">
        <v>1600</v>
      </c>
      <c r="B956" s="6">
        <v>46247</v>
      </c>
      <c r="C956" s="5" t="s">
        <v>1601</v>
      </c>
      <c r="D956" s="5" t="s">
        <v>588</v>
      </c>
      <c r="E956" s="5" t="s">
        <v>546</v>
      </c>
      <c r="F956" s="5" t="s">
        <v>24</v>
      </c>
      <c r="G956">
        <v>0.51041666666666663</v>
      </c>
      <c r="H956">
        <v>0.5444444444444444</v>
      </c>
      <c r="I956">
        <v>41</v>
      </c>
      <c r="J956" s="5" t="s">
        <v>60</v>
      </c>
      <c r="K956" s="5" t="s">
        <v>19</v>
      </c>
      <c r="L956">
        <v>1053</v>
      </c>
      <c r="M956" s="5">
        <v>49</v>
      </c>
      <c r="N956" s="5" t="s">
        <v>1681</v>
      </c>
      <c r="O956" s="5" t="s">
        <v>1664</v>
      </c>
      <c r="P956">
        <v>0</v>
      </c>
      <c r="Q956" t="s">
        <v>1663</v>
      </c>
      <c r="R956" t="s">
        <v>1657</v>
      </c>
    </row>
    <row r="957" spans="1:18" x14ac:dyDescent="0.35">
      <c r="A957" s="5" t="s">
        <v>1602</v>
      </c>
      <c r="B957" s="6">
        <v>46247</v>
      </c>
      <c r="C957" s="5" t="s">
        <v>355</v>
      </c>
      <c r="D957" s="5" t="s">
        <v>79</v>
      </c>
      <c r="E957" s="5" t="s">
        <v>413</v>
      </c>
      <c r="F957" s="5" t="s">
        <v>17</v>
      </c>
      <c r="G957">
        <v>0.625</v>
      </c>
      <c r="H957">
        <v>0.62430555555555556</v>
      </c>
      <c r="J957" s="5" t="s">
        <v>18</v>
      </c>
      <c r="K957" s="5" t="s">
        <v>19</v>
      </c>
      <c r="L957">
        <v>1942</v>
      </c>
      <c r="M957" s="5">
        <v>-1</v>
      </c>
      <c r="N957" s="5" t="s">
        <v>1681</v>
      </c>
      <c r="O957" s="5" t="s">
        <v>1664</v>
      </c>
      <c r="Q957" t="s">
        <v>1663</v>
      </c>
    </row>
    <row r="958" spans="1:18" x14ac:dyDescent="0.35">
      <c r="A958" s="5" t="s">
        <v>1603</v>
      </c>
      <c r="B958" s="6">
        <v>46247</v>
      </c>
      <c r="C958" s="5" t="s">
        <v>983</v>
      </c>
      <c r="D958" s="5" t="s">
        <v>1295</v>
      </c>
      <c r="E958" s="5" t="s">
        <v>84</v>
      </c>
      <c r="F958" s="5" t="s">
        <v>38</v>
      </c>
      <c r="G958">
        <v>0.72916666666666663</v>
      </c>
      <c r="H958">
        <v>0.73402777777777772</v>
      </c>
      <c r="I958">
        <v>-1</v>
      </c>
      <c r="J958" s="5" t="s">
        <v>18</v>
      </c>
      <c r="K958" s="5" t="s">
        <v>19</v>
      </c>
      <c r="L958">
        <v>679</v>
      </c>
      <c r="M958" s="5">
        <v>7</v>
      </c>
      <c r="N958" s="5" t="s">
        <v>1681</v>
      </c>
      <c r="O958" s="5" t="s">
        <v>1664</v>
      </c>
      <c r="P958">
        <v>1</v>
      </c>
      <c r="Q958" t="s">
        <v>1665</v>
      </c>
    </row>
    <row r="959" spans="1:18" x14ac:dyDescent="0.35">
      <c r="A959" s="5" t="s">
        <v>1605</v>
      </c>
      <c r="B959" s="6">
        <v>46247</v>
      </c>
      <c r="C959" s="5" t="s">
        <v>1606</v>
      </c>
      <c r="D959" s="5" t="s">
        <v>1549</v>
      </c>
      <c r="E959" s="5" t="s">
        <v>1171</v>
      </c>
      <c r="F959" s="5" t="s">
        <v>38</v>
      </c>
      <c r="G959">
        <v>0.83680555555555558</v>
      </c>
      <c r="H959">
        <v>0.83888888888888891</v>
      </c>
      <c r="I959">
        <v>1</v>
      </c>
      <c r="J959" s="5" t="s">
        <v>18</v>
      </c>
      <c r="K959" s="5" t="s">
        <v>19</v>
      </c>
      <c r="L959">
        <v>2295</v>
      </c>
      <c r="M959" s="5">
        <v>3</v>
      </c>
      <c r="N959" s="5" t="s">
        <v>1681</v>
      </c>
      <c r="O959" s="5" t="s">
        <v>1664</v>
      </c>
      <c r="P959">
        <v>1</v>
      </c>
      <c r="Q959" t="s">
        <v>1665</v>
      </c>
    </row>
    <row r="960" spans="1:18" x14ac:dyDescent="0.35">
      <c r="A960" s="5" t="s">
        <v>1607</v>
      </c>
      <c r="B960" s="6">
        <v>46248</v>
      </c>
      <c r="C960" s="5" t="s">
        <v>991</v>
      </c>
      <c r="D960" s="5" t="s">
        <v>588</v>
      </c>
      <c r="E960" s="5" t="s">
        <v>1295</v>
      </c>
      <c r="F960" s="5" t="s">
        <v>17</v>
      </c>
      <c r="G960">
        <v>0.28125</v>
      </c>
      <c r="H960">
        <v>0.27986111111111112</v>
      </c>
      <c r="I960">
        <v>5</v>
      </c>
      <c r="J960" s="5" t="s">
        <v>18</v>
      </c>
      <c r="K960" s="5" t="s">
        <v>19</v>
      </c>
      <c r="L960">
        <v>1462</v>
      </c>
      <c r="M960" s="5">
        <v>-2</v>
      </c>
      <c r="N960" s="5" t="s">
        <v>1681</v>
      </c>
      <c r="O960" s="5" t="s">
        <v>1666</v>
      </c>
      <c r="P960">
        <v>1</v>
      </c>
      <c r="Q960" t="s">
        <v>1660</v>
      </c>
    </row>
    <row r="961" spans="1:18" x14ac:dyDescent="0.35">
      <c r="A961" s="5" t="s">
        <v>1608</v>
      </c>
      <c r="B961" s="6">
        <v>46248</v>
      </c>
      <c r="C961" s="5" t="s">
        <v>1105</v>
      </c>
      <c r="D961" s="5" t="s">
        <v>79</v>
      </c>
      <c r="E961" s="5" t="s">
        <v>1171</v>
      </c>
      <c r="F961" s="5" t="s">
        <v>38</v>
      </c>
      <c r="G961">
        <v>0.36458333333333331</v>
      </c>
      <c r="H961">
        <v>0.36736111111111108</v>
      </c>
      <c r="J961" s="5" t="s">
        <v>18</v>
      </c>
      <c r="K961" s="5" t="s">
        <v>19</v>
      </c>
      <c r="L961">
        <v>1584</v>
      </c>
      <c r="M961" s="5">
        <v>4</v>
      </c>
      <c r="N961" s="5" t="s">
        <v>1681</v>
      </c>
      <c r="O961" s="5" t="s">
        <v>1666</v>
      </c>
      <c r="Q961" t="s">
        <v>1660</v>
      </c>
    </row>
    <row r="962" spans="1:18" x14ac:dyDescent="0.35">
      <c r="A962" s="5" t="s">
        <v>1609</v>
      </c>
      <c r="B962" s="6">
        <v>46248</v>
      </c>
      <c r="C962" s="5" t="s">
        <v>1610</v>
      </c>
      <c r="D962" s="5" t="s">
        <v>226</v>
      </c>
      <c r="E962" s="5" t="s">
        <v>588</v>
      </c>
      <c r="F962" s="5" t="s">
        <v>17</v>
      </c>
      <c r="G962">
        <v>0.40972222222222221</v>
      </c>
      <c r="H962">
        <v>0.41388888888888892</v>
      </c>
      <c r="I962">
        <v>-6</v>
      </c>
      <c r="J962" s="5" t="s">
        <v>18</v>
      </c>
      <c r="K962" s="5" t="s">
        <v>19</v>
      </c>
      <c r="L962">
        <v>641</v>
      </c>
      <c r="M962" s="5">
        <v>6</v>
      </c>
      <c r="N962" s="5" t="s">
        <v>1681</v>
      </c>
      <c r="O962" s="5" t="s">
        <v>1666</v>
      </c>
      <c r="P962">
        <v>1</v>
      </c>
      <c r="Q962" t="s">
        <v>1660</v>
      </c>
    </row>
    <row r="963" spans="1:18" x14ac:dyDescent="0.35">
      <c r="A963" s="5" t="s">
        <v>1611</v>
      </c>
      <c r="B963" s="6">
        <v>46248</v>
      </c>
      <c r="C963" s="5" t="s">
        <v>603</v>
      </c>
      <c r="D963" s="5" t="s">
        <v>1171</v>
      </c>
      <c r="E963" s="5" t="s">
        <v>84</v>
      </c>
      <c r="F963" s="5" t="s">
        <v>24</v>
      </c>
      <c r="G963">
        <v>0.82291666666666663</v>
      </c>
      <c r="H963">
        <v>0.81874999999999998</v>
      </c>
      <c r="I963">
        <v>-7</v>
      </c>
      <c r="J963" s="5" t="s">
        <v>18</v>
      </c>
      <c r="K963" s="5" t="s">
        <v>19</v>
      </c>
      <c r="L963">
        <v>1108</v>
      </c>
      <c r="M963" s="5">
        <v>-6</v>
      </c>
      <c r="N963" s="5" t="s">
        <v>1681</v>
      </c>
      <c r="O963" s="5" t="s">
        <v>1666</v>
      </c>
      <c r="P963">
        <v>1</v>
      </c>
      <c r="Q963" t="s">
        <v>1665</v>
      </c>
    </row>
    <row r="964" spans="1:18" x14ac:dyDescent="0.35">
      <c r="A964" s="5" t="s">
        <v>1612</v>
      </c>
      <c r="B964" s="6">
        <v>46248</v>
      </c>
      <c r="C964" s="5" t="s">
        <v>1613</v>
      </c>
      <c r="D964" s="5" t="s">
        <v>79</v>
      </c>
      <c r="E964" s="5" t="s">
        <v>84</v>
      </c>
      <c r="F964" s="5" t="s">
        <v>17</v>
      </c>
      <c r="G964">
        <v>0.85416666666666663</v>
      </c>
      <c r="H964">
        <v>0.86527777777777781</v>
      </c>
      <c r="I964">
        <v>2</v>
      </c>
      <c r="J964" s="5" t="s">
        <v>60</v>
      </c>
      <c r="K964" s="5" t="s">
        <v>19</v>
      </c>
      <c r="L964">
        <v>2178</v>
      </c>
      <c r="M964" s="5">
        <v>16</v>
      </c>
      <c r="N964" s="5" t="s">
        <v>1681</v>
      </c>
      <c r="O964" s="5" t="s">
        <v>1666</v>
      </c>
      <c r="P964">
        <v>1</v>
      </c>
      <c r="Q964" t="s">
        <v>1665</v>
      </c>
      <c r="R964" t="s">
        <v>1657</v>
      </c>
    </row>
    <row r="965" spans="1:18" x14ac:dyDescent="0.35">
      <c r="A965" s="5" t="s">
        <v>1614</v>
      </c>
      <c r="B965" s="6">
        <v>46249</v>
      </c>
      <c r="C965" s="5" t="s">
        <v>868</v>
      </c>
      <c r="D965" s="5" t="s">
        <v>413</v>
      </c>
      <c r="E965" s="5" t="s">
        <v>84</v>
      </c>
      <c r="F965" s="5" t="s">
        <v>17</v>
      </c>
      <c r="G965">
        <v>0.3888888888888889</v>
      </c>
      <c r="H965">
        <v>0.38611111111111113</v>
      </c>
      <c r="I965">
        <v>-1</v>
      </c>
      <c r="J965" s="5" t="s">
        <v>18</v>
      </c>
      <c r="K965" s="5" t="s">
        <v>19</v>
      </c>
      <c r="L965">
        <v>955</v>
      </c>
      <c r="M965" s="5">
        <v>-4</v>
      </c>
      <c r="N965" s="5" t="s">
        <v>1681</v>
      </c>
      <c r="O965" s="5" t="s">
        <v>1667</v>
      </c>
      <c r="P965">
        <v>1</v>
      </c>
      <c r="Q965" t="s">
        <v>1660</v>
      </c>
    </row>
    <row r="966" spans="1:18" x14ac:dyDescent="0.35">
      <c r="A966" s="5" t="s">
        <v>1615</v>
      </c>
      <c r="B966" s="6">
        <v>46249</v>
      </c>
      <c r="C966" s="5" t="s">
        <v>1616</v>
      </c>
      <c r="D966" s="5" t="s">
        <v>71</v>
      </c>
      <c r="E966" s="5" t="s">
        <v>1549</v>
      </c>
      <c r="F966" s="5" t="s">
        <v>17</v>
      </c>
      <c r="G966">
        <v>0.74652777777777779</v>
      </c>
      <c r="H966">
        <v>0.74513888888888891</v>
      </c>
      <c r="I966">
        <v>7</v>
      </c>
      <c r="J966" s="5" t="s">
        <v>18</v>
      </c>
      <c r="K966" s="5" t="s">
        <v>19</v>
      </c>
      <c r="L966">
        <v>864</v>
      </c>
      <c r="M966" s="5">
        <v>-2</v>
      </c>
      <c r="N966" s="5" t="s">
        <v>1681</v>
      </c>
      <c r="O966" s="5" t="s">
        <v>1667</v>
      </c>
      <c r="P966">
        <v>1</v>
      </c>
      <c r="Q966" t="s">
        <v>1665</v>
      </c>
    </row>
    <row r="967" spans="1:18" x14ac:dyDescent="0.35">
      <c r="A967" s="5" t="s">
        <v>1617</v>
      </c>
      <c r="B967" s="6">
        <v>46250</v>
      </c>
      <c r="C967" s="5" t="s">
        <v>424</v>
      </c>
      <c r="D967" s="5" t="s">
        <v>202</v>
      </c>
      <c r="E967" s="5" t="s">
        <v>79</v>
      </c>
      <c r="F967" s="5" t="s">
        <v>24</v>
      </c>
      <c r="G967">
        <v>0.28125</v>
      </c>
      <c r="H967">
        <v>0.27569444444444452</v>
      </c>
      <c r="I967">
        <v>-6</v>
      </c>
      <c r="J967" s="5" t="s">
        <v>18</v>
      </c>
      <c r="K967" s="5" t="s">
        <v>19</v>
      </c>
      <c r="L967">
        <v>596</v>
      </c>
      <c r="M967" s="5">
        <v>-8</v>
      </c>
      <c r="N967" s="5" t="s">
        <v>1681</v>
      </c>
      <c r="O967" s="5" t="s">
        <v>1668</v>
      </c>
      <c r="P967">
        <v>1</v>
      </c>
      <c r="Q967" t="s">
        <v>1660</v>
      </c>
    </row>
    <row r="968" spans="1:18" x14ac:dyDescent="0.35">
      <c r="A968" s="5" t="s">
        <v>1618</v>
      </c>
      <c r="B968" s="6">
        <v>46250</v>
      </c>
      <c r="C968" s="5" t="s">
        <v>851</v>
      </c>
      <c r="D968" s="5" t="s">
        <v>1171</v>
      </c>
      <c r="E968" s="5" t="s">
        <v>71</v>
      </c>
      <c r="F968" s="5" t="s">
        <v>17</v>
      </c>
      <c r="G968">
        <v>0.67708333333333337</v>
      </c>
      <c r="H968">
        <v>0.69444444444444442</v>
      </c>
      <c r="I968">
        <v>27</v>
      </c>
      <c r="J968" s="5" t="s">
        <v>477</v>
      </c>
      <c r="K968" s="5" t="s">
        <v>19</v>
      </c>
      <c r="L968">
        <v>1438</v>
      </c>
      <c r="M968" s="5">
        <v>25</v>
      </c>
      <c r="N968" s="5" t="s">
        <v>1681</v>
      </c>
      <c r="O968" s="5" t="s">
        <v>1668</v>
      </c>
      <c r="P968">
        <v>0</v>
      </c>
      <c r="Q968" t="s">
        <v>1663</v>
      </c>
      <c r="R968" t="s">
        <v>1670</v>
      </c>
    </row>
    <row r="969" spans="1:18" x14ac:dyDescent="0.35">
      <c r="A969" s="5" t="s">
        <v>1619</v>
      </c>
      <c r="B969" s="6">
        <v>46250</v>
      </c>
      <c r="C969" s="5" t="s">
        <v>686</v>
      </c>
      <c r="D969" s="5" t="s">
        <v>197</v>
      </c>
      <c r="E969" s="5" t="s">
        <v>1295</v>
      </c>
      <c r="F969" s="5" t="s">
        <v>17</v>
      </c>
      <c r="G969">
        <v>0.68402777777777779</v>
      </c>
      <c r="H969">
        <v>0.6875</v>
      </c>
      <c r="I969">
        <v>-1</v>
      </c>
      <c r="J969" s="5" t="s">
        <v>18</v>
      </c>
      <c r="K969" s="5" t="s">
        <v>19</v>
      </c>
      <c r="L969">
        <v>2580</v>
      </c>
      <c r="M969" s="5">
        <v>5</v>
      </c>
      <c r="N969" s="5" t="s">
        <v>1681</v>
      </c>
      <c r="O969" s="5" t="s">
        <v>1668</v>
      </c>
      <c r="P969">
        <v>1</v>
      </c>
      <c r="Q969" t="s">
        <v>1663</v>
      </c>
    </row>
    <row r="970" spans="1:18" x14ac:dyDescent="0.35">
      <c r="A970" s="5" t="s">
        <v>1620</v>
      </c>
      <c r="B970" s="6">
        <v>46251</v>
      </c>
      <c r="C970" s="5" t="s">
        <v>760</v>
      </c>
      <c r="D970" s="5" t="s">
        <v>546</v>
      </c>
      <c r="E970" s="5" t="s">
        <v>71</v>
      </c>
      <c r="F970" s="5" t="s">
        <v>24</v>
      </c>
      <c r="G970">
        <v>0.71527777777777779</v>
      </c>
      <c r="H970">
        <v>0.72013888888888888</v>
      </c>
      <c r="I970">
        <v>0</v>
      </c>
      <c r="J970" s="5" t="s">
        <v>18</v>
      </c>
      <c r="K970" s="5" t="s">
        <v>19</v>
      </c>
      <c r="L970">
        <v>1511</v>
      </c>
      <c r="M970" s="5">
        <v>7</v>
      </c>
      <c r="N970" s="5" t="s">
        <v>1681</v>
      </c>
      <c r="O970" s="5" t="s">
        <v>1659</v>
      </c>
      <c r="P970">
        <v>1</v>
      </c>
      <c r="Q970" t="s">
        <v>1665</v>
      </c>
    </row>
    <row r="971" spans="1:18" x14ac:dyDescent="0.35">
      <c r="A971" s="5" t="s">
        <v>1621</v>
      </c>
      <c r="B971" s="6">
        <v>46251</v>
      </c>
      <c r="C971" s="5" t="s">
        <v>1014</v>
      </c>
      <c r="D971" s="5" t="s">
        <v>197</v>
      </c>
      <c r="E971" s="5" t="s">
        <v>84</v>
      </c>
      <c r="F971" s="5" t="s">
        <v>17</v>
      </c>
      <c r="G971">
        <v>0.81944444444444442</v>
      </c>
      <c r="H971">
        <v>0.8208333333333333</v>
      </c>
      <c r="I971">
        <v>8</v>
      </c>
      <c r="J971" s="5" t="s">
        <v>18</v>
      </c>
      <c r="K971" s="5" t="s">
        <v>19</v>
      </c>
      <c r="L971">
        <v>2415</v>
      </c>
      <c r="M971" s="5">
        <v>2</v>
      </c>
      <c r="N971" s="5" t="s">
        <v>1681</v>
      </c>
      <c r="O971" s="5" t="s">
        <v>1659</v>
      </c>
      <c r="P971">
        <v>1</v>
      </c>
      <c r="Q971" t="s">
        <v>1665</v>
      </c>
    </row>
    <row r="972" spans="1:18" x14ac:dyDescent="0.35">
      <c r="A972" s="5" t="s">
        <v>1622</v>
      </c>
      <c r="B972" s="6">
        <v>46251</v>
      </c>
      <c r="C972" s="5" t="s">
        <v>271</v>
      </c>
      <c r="D972" s="5" t="s">
        <v>226</v>
      </c>
      <c r="E972" s="5" t="s">
        <v>1171</v>
      </c>
      <c r="F972" s="5" t="s">
        <v>24</v>
      </c>
      <c r="G972">
        <v>0.875</v>
      </c>
      <c r="H972">
        <v>0.87847222222222221</v>
      </c>
      <c r="I972">
        <v>5</v>
      </c>
      <c r="J972" s="5" t="s">
        <v>18</v>
      </c>
      <c r="K972" s="5" t="s">
        <v>19</v>
      </c>
      <c r="L972">
        <v>602</v>
      </c>
      <c r="M972" s="5">
        <v>5</v>
      </c>
      <c r="N972" s="5" t="s">
        <v>1681</v>
      </c>
      <c r="O972" s="5" t="s">
        <v>1659</v>
      </c>
      <c r="P972">
        <v>1</v>
      </c>
      <c r="Q972" t="s">
        <v>1669</v>
      </c>
    </row>
    <row r="973" spans="1:18" x14ac:dyDescent="0.35">
      <c r="A973" s="5" t="s">
        <v>1623</v>
      </c>
      <c r="B973" s="6">
        <v>46252</v>
      </c>
      <c r="C973" s="5" t="s">
        <v>1554</v>
      </c>
      <c r="D973" s="5" t="s">
        <v>588</v>
      </c>
      <c r="E973" s="5" t="s">
        <v>197</v>
      </c>
      <c r="F973" s="5" t="s">
        <v>17</v>
      </c>
      <c r="G973">
        <v>0.2986111111111111</v>
      </c>
      <c r="H973">
        <v>0.29791666666666672</v>
      </c>
      <c r="I973">
        <v>-8</v>
      </c>
      <c r="J973" s="5" t="s">
        <v>18</v>
      </c>
      <c r="K973" s="5" t="s">
        <v>19</v>
      </c>
      <c r="L973">
        <v>1389</v>
      </c>
      <c r="M973" s="5">
        <v>-1</v>
      </c>
      <c r="N973" s="5" t="s">
        <v>1681</v>
      </c>
      <c r="O973" s="5" t="s">
        <v>1661</v>
      </c>
      <c r="P973">
        <v>1</v>
      </c>
      <c r="Q973" t="s">
        <v>1660</v>
      </c>
    </row>
    <row r="974" spans="1:18" x14ac:dyDescent="0.35">
      <c r="A974" s="5" t="s">
        <v>1624</v>
      </c>
      <c r="B974" s="6">
        <v>46252</v>
      </c>
      <c r="C974" s="5" t="s">
        <v>139</v>
      </c>
      <c r="D974" s="5" t="s">
        <v>197</v>
      </c>
      <c r="E974" s="5" t="s">
        <v>413</v>
      </c>
      <c r="F974" s="5" t="s">
        <v>17</v>
      </c>
      <c r="G974">
        <v>0.71180555555555558</v>
      </c>
      <c r="H974">
        <v>0.70625000000000004</v>
      </c>
      <c r="I974">
        <v>-7</v>
      </c>
      <c r="J974" s="5" t="s">
        <v>18</v>
      </c>
      <c r="K974" s="5" t="s">
        <v>19</v>
      </c>
      <c r="L974">
        <v>2470</v>
      </c>
      <c r="M974" s="5">
        <v>-8</v>
      </c>
      <c r="N974" s="5" t="s">
        <v>1681</v>
      </c>
      <c r="O974" s="5" t="s">
        <v>1661</v>
      </c>
      <c r="P974">
        <v>1</v>
      </c>
      <c r="Q974" t="s">
        <v>1665</v>
      </c>
    </row>
    <row r="975" spans="1:18" x14ac:dyDescent="0.35">
      <c r="A975" s="5" t="s">
        <v>1625</v>
      </c>
      <c r="B975" s="6">
        <v>46253</v>
      </c>
      <c r="C975" s="5" t="s">
        <v>322</v>
      </c>
      <c r="D975" s="5" t="s">
        <v>1549</v>
      </c>
      <c r="E975" s="5" t="s">
        <v>202</v>
      </c>
      <c r="F975" s="5" t="s">
        <v>17</v>
      </c>
      <c r="G975">
        <v>0.74652777777777779</v>
      </c>
      <c r="H975">
        <v>0.75763888888888886</v>
      </c>
      <c r="I975">
        <v>10</v>
      </c>
      <c r="J975" s="5" t="s">
        <v>129</v>
      </c>
      <c r="K975" s="5" t="s">
        <v>19</v>
      </c>
      <c r="L975">
        <v>1260</v>
      </c>
      <c r="M975" s="5">
        <v>16</v>
      </c>
      <c r="N975" s="5" t="s">
        <v>1681</v>
      </c>
      <c r="O975" s="5" t="s">
        <v>1662</v>
      </c>
      <c r="P975">
        <v>1</v>
      </c>
      <c r="Q975" t="s">
        <v>1665</v>
      </c>
      <c r="R975" t="s">
        <v>1670</v>
      </c>
    </row>
    <row r="976" spans="1:18" x14ac:dyDescent="0.35">
      <c r="A976" s="5" t="s">
        <v>1626</v>
      </c>
      <c r="B976" s="6">
        <v>46254</v>
      </c>
      <c r="C976" s="5" t="s">
        <v>1585</v>
      </c>
      <c r="D976" s="5" t="s">
        <v>79</v>
      </c>
      <c r="E976" s="5" t="s">
        <v>1171</v>
      </c>
      <c r="F976" s="5" t="s">
        <v>17</v>
      </c>
      <c r="G976">
        <v>0.63541666666666663</v>
      </c>
      <c r="H976">
        <v>0.63958333333333328</v>
      </c>
      <c r="I976">
        <v>6</v>
      </c>
      <c r="J976" s="5" t="s">
        <v>18</v>
      </c>
      <c r="K976" s="5" t="s">
        <v>19</v>
      </c>
      <c r="L976">
        <v>1584</v>
      </c>
      <c r="M976" s="5">
        <v>6</v>
      </c>
      <c r="N976" s="5" t="s">
        <v>1681</v>
      </c>
      <c r="O976" s="5" t="s">
        <v>1664</v>
      </c>
      <c r="P976">
        <v>1</v>
      </c>
      <c r="Q976" t="s">
        <v>1663</v>
      </c>
    </row>
    <row r="977" spans="1:18" x14ac:dyDescent="0.35">
      <c r="A977" s="5" t="s">
        <v>1627</v>
      </c>
      <c r="B977" s="6">
        <v>46255</v>
      </c>
      <c r="C977" s="5" t="s">
        <v>663</v>
      </c>
      <c r="D977" s="5" t="s">
        <v>226</v>
      </c>
      <c r="E977" s="5" t="s">
        <v>79</v>
      </c>
      <c r="F977" s="5" t="s">
        <v>24</v>
      </c>
      <c r="G977">
        <v>0.35416666666666669</v>
      </c>
      <c r="H977">
        <v>0.35555555555555562</v>
      </c>
      <c r="I977">
        <v>10</v>
      </c>
      <c r="J977" s="5" t="s">
        <v>18</v>
      </c>
      <c r="K977" s="5" t="s">
        <v>19</v>
      </c>
      <c r="L977">
        <v>1197</v>
      </c>
      <c r="M977" s="5">
        <v>2</v>
      </c>
      <c r="N977" s="5" t="s">
        <v>1681</v>
      </c>
      <c r="O977" s="5" t="s">
        <v>1666</v>
      </c>
      <c r="P977">
        <v>1</v>
      </c>
      <c r="Q977" t="s">
        <v>1660</v>
      </c>
    </row>
    <row r="978" spans="1:18" x14ac:dyDescent="0.35">
      <c r="A978" s="5" t="s">
        <v>1628</v>
      </c>
      <c r="B978" s="6">
        <v>46255</v>
      </c>
      <c r="C978" s="5" t="s">
        <v>647</v>
      </c>
      <c r="D978" s="5" t="s">
        <v>413</v>
      </c>
      <c r="E978" s="5" t="s">
        <v>71</v>
      </c>
      <c r="F978" s="5" t="s">
        <v>17</v>
      </c>
      <c r="G978">
        <v>0.53819444444444442</v>
      </c>
      <c r="H978">
        <v>0.53819444444444442</v>
      </c>
      <c r="I978">
        <v>-4</v>
      </c>
      <c r="J978" s="5" t="s">
        <v>18</v>
      </c>
      <c r="K978" s="5" t="s">
        <v>19</v>
      </c>
      <c r="L978">
        <v>1742</v>
      </c>
      <c r="M978" s="5">
        <v>0</v>
      </c>
      <c r="N978" s="5" t="s">
        <v>1681</v>
      </c>
      <c r="O978" s="5" t="s">
        <v>1666</v>
      </c>
      <c r="P978">
        <v>1</v>
      </c>
      <c r="Q978" t="s">
        <v>1663</v>
      </c>
    </row>
    <row r="979" spans="1:18" x14ac:dyDescent="0.35">
      <c r="A979" s="5" t="s">
        <v>1629</v>
      </c>
      <c r="B979" s="6">
        <v>46255</v>
      </c>
      <c r="C979" s="5" t="s">
        <v>357</v>
      </c>
      <c r="D979" s="5" t="s">
        <v>1171</v>
      </c>
      <c r="E979" s="5" t="s">
        <v>413</v>
      </c>
      <c r="F979" s="5" t="s">
        <v>24</v>
      </c>
      <c r="G979">
        <v>0.57986111111111116</v>
      </c>
      <c r="H979">
        <v>0.64375000000000004</v>
      </c>
      <c r="I979">
        <v>85</v>
      </c>
      <c r="J979" s="5" t="s">
        <v>60</v>
      </c>
      <c r="K979" s="5" t="s">
        <v>19</v>
      </c>
      <c r="L979">
        <v>370</v>
      </c>
      <c r="M979" s="5">
        <v>92</v>
      </c>
      <c r="N979" s="5" t="s">
        <v>1681</v>
      </c>
      <c r="O979" s="5" t="s">
        <v>1666</v>
      </c>
      <c r="P979">
        <v>0</v>
      </c>
      <c r="Q979" t="s">
        <v>1663</v>
      </c>
      <c r="R979" t="s">
        <v>1657</v>
      </c>
    </row>
    <row r="980" spans="1:18" x14ac:dyDescent="0.35">
      <c r="A980" s="5" t="s">
        <v>1630</v>
      </c>
      <c r="B980" s="6">
        <v>46255</v>
      </c>
      <c r="C980" s="5" t="s">
        <v>438</v>
      </c>
      <c r="D980" s="5" t="s">
        <v>588</v>
      </c>
      <c r="E980" s="5" t="s">
        <v>226</v>
      </c>
      <c r="F980" s="5" t="s">
        <v>24</v>
      </c>
      <c r="G980">
        <v>0.70486111111111116</v>
      </c>
      <c r="H980">
        <v>0.74236111111111114</v>
      </c>
      <c r="I980">
        <v>42</v>
      </c>
      <c r="J980" s="5" t="s">
        <v>477</v>
      </c>
      <c r="K980" s="5" t="s">
        <v>19</v>
      </c>
      <c r="L980">
        <v>641</v>
      </c>
      <c r="M980" s="5">
        <v>54</v>
      </c>
      <c r="N980" s="5" t="s">
        <v>1681</v>
      </c>
      <c r="O980" s="5" t="s">
        <v>1666</v>
      </c>
      <c r="P980">
        <v>0</v>
      </c>
      <c r="Q980" t="s">
        <v>1663</v>
      </c>
      <c r="R980" t="s">
        <v>1670</v>
      </c>
    </row>
    <row r="981" spans="1:18" x14ac:dyDescent="0.35">
      <c r="A981" s="5" t="s">
        <v>1631</v>
      </c>
      <c r="B981" s="6">
        <v>46256</v>
      </c>
      <c r="C981" s="5" t="s">
        <v>496</v>
      </c>
      <c r="D981" s="5" t="s">
        <v>79</v>
      </c>
      <c r="E981" s="5" t="s">
        <v>202</v>
      </c>
      <c r="F981" s="5" t="s">
        <v>38</v>
      </c>
      <c r="G981">
        <v>0.46875</v>
      </c>
      <c r="H981">
        <v>0.47499999999999998</v>
      </c>
      <c r="J981" s="5" t="s">
        <v>18</v>
      </c>
      <c r="K981" s="5" t="s">
        <v>19</v>
      </c>
      <c r="L981">
        <v>596</v>
      </c>
      <c r="M981" s="5">
        <v>9</v>
      </c>
      <c r="N981" s="5" t="s">
        <v>1681</v>
      </c>
      <c r="O981" s="5" t="s">
        <v>1667</v>
      </c>
      <c r="Q981" t="s">
        <v>1660</v>
      </c>
    </row>
    <row r="982" spans="1:18" x14ac:dyDescent="0.35">
      <c r="A982" s="5" t="s">
        <v>1632</v>
      </c>
      <c r="B982" s="6">
        <v>46256</v>
      </c>
      <c r="C982" s="5" t="s">
        <v>424</v>
      </c>
      <c r="D982" s="5" t="s">
        <v>413</v>
      </c>
      <c r="E982" s="5" t="s">
        <v>71</v>
      </c>
      <c r="F982" s="5" t="s">
        <v>28</v>
      </c>
      <c r="G982">
        <v>0.60763888888888884</v>
      </c>
      <c r="H982">
        <v>0.60416666666666663</v>
      </c>
      <c r="I982">
        <v>-10</v>
      </c>
      <c r="J982" s="5" t="s">
        <v>18</v>
      </c>
      <c r="K982" s="5" t="s">
        <v>19</v>
      </c>
      <c r="L982">
        <v>1742</v>
      </c>
      <c r="M982" s="5">
        <v>-5</v>
      </c>
      <c r="N982" s="5" t="s">
        <v>1681</v>
      </c>
      <c r="O982" s="5" t="s">
        <v>1667</v>
      </c>
      <c r="P982">
        <v>1</v>
      </c>
      <c r="Q982" t="s">
        <v>1663</v>
      </c>
    </row>
    <row r="983" spans="1:18" x14ac:dyDescent="0.35">
      <c r="A983" s="5" t="s">
        <v>1633</v>
      </c>
      <c r="B983" s="6">
        <v>46256</v>
      </c>
      <c r="C983" s="5" t="s">
        <v>159</v>
      </c>
      <c r="D983" s="5" t="s">
        <v>79</v>
      </c>
      <c r="E983" s="5" t="s">
        <v>226</v>
      </c>
      <c r="F983" s="5" t="s">
        <v>28</v>
      </c>
      <c r="G983">
        <v>0.87847222222222221</v>
      </c>
      <c r="H983">
        <v>0.87430555555555556</v>
      </c>
      <c r="I983">
        <v>-2</v>
      </c>
      <c r="J983" s="5" t="s">
        <v>18</v>
      </c>
      <c r="K983" s="5" t="s">
        <v>19</v>
      </c>
      <c r="L983">
        <v>1197</v>
      </c>
      <c r="M983" s="5">
        <v>-6</v>
      </c>
      <c r="N983" s="5" t="s">
        <v>1681</v>
      </c>
      <c r="O983" s="5" t="s">
        <v>1667</v>
      </c>
      <c r="P983">
        <v>1</v>
      </c>
      <c r="Q983" t="s">
        <v>1669</v>
      </c>
    </row>
    <row r="984" spans="1:18" x14ac:dyDescent="0.35">
      <c r="A984" s="5" t="s">
        <v>1634</v>
      </c>
      <c r="B984" s="6">
        <v>46257</v>
      </c>
      <c r="C984" s="5" t="s">
        <v>1210</v>
      </c>
      <c r="D984" s="5" t="s">
        <v>79</v>
      </c>
      <c r="E984" s="5" t="s">
        <v>546</v>
      </c>
      <c r="F984" s="5" t="s">
        <v>17</v>
      </c>
      <c r="G984">
        <v>0.37847222222222221</v>
      </c>
      <c r="H984">
        <v>0.37708333333333333</v>
      </c>
      <c r="I984">
        <v>-8</v>
      </c>
      <c r="J984" s="5" t="s">
        <v>18</v>
      </c>
      <c r="K984" s="5" t="s">
        <v>19</v>
      </c>
      <c r="L984">
        <v>1743</v>
      </c>
      <c r="M984" s="5">
        <v>-2</v>
      </c>
      <c r="N984" s="5" t="s">
        <v>1681</v>
      </c>
      <c r="O984" s="5" t="s">
        <v>1668</v>
      </c>
      <c r="P984">
        <v>1</v>
      </c>
      <c r="Q984" t="s">
        <v>1660</v>
      </c>
    </row>
    <row r="985" spans="1:18" x14ac:dyDescent="0.35">
      <c r="A985" s="5" t="s">
        <v>1635</v>
      </c>
      <c r="B985" s="6">
        <v>46257</v>
      </c>
      <c r="C985" s="5" t="s">
        <v>1075</v>
      </c>
      <c r="D985" s="5" t="s">
        <v>226</v>
      </c>
      <c r="E985" s="5" t="s">
        <v>202</v>
      </c>
      <c r="F985" s="5" t="s">
        <v>17</v>
      </c>
      <c r="G985">
        <v>0.94791666666666663</v>
      </c>
      <c r="H985">
        <v>0.95347222222222228</v>
      </c>
      <c r="I985">
        <v>16</v>
      </c>
      <c r="J985" s="5" t="s">
        <v>18</v>
      </c>
      <c r="K985" s="5" t="s">
        <v>19</v>
      </c>
      <c r="L985">
        <v>1708</v>
      </c>
      <c r="M985" s="5">
        <v>8</v>
      </c>
      <c r="N985" s="5" t="s">
        <v>1681</v>
      </c>
      <c r="O985" s="5" t="s">
        <v>1668</v>
      </c>
      <c r="P985">
        <v>0</v>
      </c>
      <c r="Q985" t="s">
        <v>1669</v>
      </c>
    </row>
    <row r="986" spans="1:18" x14ac:dyDescent="0.35">
      <c r="A986" s="5" t="s">
        <v>1636</v>
      </c>
      <c r="B986" s="6">
        <v>46258</v>
      </c>
      <c r="C986" s="5" t="s">
        <v>122</v>
      </c>
      <c r="D986" s="5" t="s">
        <v>413</v>
      </c>
      <c r="E986" s="5" t="s">
        <v>226</v>
      </c>
      <c r="F986" s="5" t="s">
        <v>24</v>
      </c>
      <c r="G986">
        <v>0.25694444444444442</v>
      </c>
      <c r="H986">
        <v>0.25138888888888888</v>
      </c>
      <c r="I986">
        <v>-9</v>
      </c>
      <c r="J986" s="5" t="s">
        <v>18</v>
      </c>
      <c r="K986" s="5" t="s">
        <v>19</v>
      </c>
      <c r="L986">
        <v>861</v>
      </c>
      <c r="M986" s="5">
        <v>-8</v>
      </c>
      <c r="N986" s="5" t="s">
        <v>1681</v>
      </c>
      <c r="O986" s="5" t="s">
        <v>1659</v>
      </c>
      <c r="P986">
        <v>1</v>
      </c>
      <c r="Q986" t="s">
        <v>1660</v>
      </c>
    </row>
    <row r="987" spans="1:18" x14ac:dyDescent="0.35">
      <c r="A987" s="5" t="s">
        <v>1637</v>
      </c>
      <c r="B987" s="6">
        <v>46258</v>
      </c>
      <c r="C987" s="5" t="s">
        <v>1638</v>
      </c>
      <c r="D987" s="5" t="s">
        <v>588</v>
      </c>
      <c r="E987" s="5" t="s">
        <v>84</v>
      </c>
      <c r="F987" s="5" t="s">
        <v>17</v>
      </c>
      <c r="G987">
        <v>0.34722222222222221</v>
      </c>
      <c r="H987">
        <v>0.37986111111111109</v>
      </c>
      <c r="I987">
        <v>35</v>
      </c>
      <c r="J987" s="5" t="s">
        <v>54</v>
      </c>
      <c r="K987" s="5" t="s">
        <v>19</v>
      </c>
      <c r="L987">
        <v>1658</v>
      </c>
      <c r="M987" s="5">
        <v>47</v>
      </c>
      <c r="N987" s="5" t="s">
        <v>1681</v>
      </c>
      <c r="O987" s="5" t="s">
        <v>1659</v>
      </c>
      <c r="P987">
        <v>0</v>
      </c>
      <c r="Q987" t="s">
        <v>1660</v>
      </c>
      <c r="R987" t="s">
        <v>1657</v>
      </c>
    </row>
    <row r="988" spans="1:18" x14ac:dyDescent="0.35">
      <c r="A988" s="5" t="s">
        <v>1639</v>
      </c>
      <c r="B988" s="6">
        <v>46258</v>
      </c>
      <c r="C988" s="5" t="s">
        <v>479</v>
      </c>
      <c r="D988" s="5" t="s">
        <v>197</v>
      </c>
      <c r="E988" s="5" t="s">
        <v>84</v>
      </c>
      <c r="F988" s="5" t="s">
        <v>17</v>
      </c>
      <c r="G988">
        <v>0.86458333333333337</v>
      </c>
      <c r="H988">
        <v>0.87222222222222223</v>
      </c>
      <c r="I988">
        <v>4</v>
      </c>
      <c r="J988" s="5" t="s">
        <v>18</v>
      </c>
      <c r="K988" s="5" t="s">
        <v>19</v>
      </c>
      <c r="L988">
        <v>2415</v>
      </c>
      <c r="M988" s="5">
        <v>11</v>
      </c>
      <c r="N988" s="5" t="s">
        <v>1681</v>
      </c>
      <c r="O988" s="5" t="s">
        <v>1659</v>
      </c>
      <c r="P988">
        <v>1</v>
      </c>
      <c r="Q988" t="s">
        <v>1665</v>
      </c>
    </row>
    <row r="989" spans="1:18" x14ac:dyDescent="0.35">
      <c r="A989" s="5" t="s">
        <v>1640</v>
      </c>
      <c r="B989" s="6">
        <v>46259</v>
      </c>
      <c r="C989" s="5" t="s">
        <v>207</v>
      </c>
      <c r="D989" s="5" t="s">
        <v>197</v>
      </c>
      <c r="E989" s="5" t="s">
        <v>588</v>
      </c>
      <c r="F989" s="5" t="s">
        <v>17</v>
      </c>
      <c r="G989">
        <v>0.32291666666666669</v>
      </c>
      <c r="H989">
        <v>0.32222222222222219</v>
      </c>
      <c r="I989">
        <v>-4</v>
      </c>
      <c r="J989" s="5" t="s">
        <v>18</v>
      </c>
      <c r="K989" s="5" t="s">
        <v>19</v>
      </c>
      <c r="L989">
        <v>1389</v>
      </c>
      <c r="M989" s="5">
        <v>-1</v>
      </c>
      <c r="N989" s="5" t="s">
        <v>1681</v>
      </c>
      <c r="O989" s="5" t="s">
        <v>1661</v>
      </c>
      <c r="P989">
        <v>1</v>
      </c>
      <c r="Q989" t="s">
        <v>1660</v>
      </c>
    </row>
    <row r="990" spans="1:18" x14ac:dyDescent="0.35">
      <c r="A990" s="5" t="s">
        <v>1641</v>
      </c>
      <c r="B990" s="6">
        <v>46259</v>
      </c>
      <c r="C990" s="5" t="s">
        <v>721</v>
      </c>
      <c r="D990" s="5" t="s">
        <v>413</v>
      </c>
      <c r="E990" s="5" t="s">
        <v>202</v>
      </c>
      <c r="F990" s="5" t="s">
        <v>17</v>
      </c>
      <c r="G990">
        <v>0.64930555555555558</v>
      </c>
      <c r="H990">
        <v>0.65069444444444446</v>
      </c>
      <c r="I990">
        <v>-9</v>
      </c>
      <c r="J990" s="5" t="s">
        <v>18</v>
      </c>
      <c r="K990" s="5" t="s">
        <v>19</v>
      </c>
      <c r="L990">
        <v>2338</v>
      </c>
      <c r="M990" s="5">
        <v>2</v>
      </c>
      <c r="N990" s="5" t="s">
        <v>1681</v>
      </c>
      <c r="O990" s="5" t="s">
        <v>1661</v>
      </c>
      <c r="P990">
        <v>1</v>
      </c>
      <c r="Q990" t="s">
        <v>1663</v>
      </c>
    </row>
    <row r="991" spans="1:18" x14ac:dyDescent="0.35">
      <c r="A991" s="5" t="s">
        <v>1642</v>
      </c>
      <c r="B991" s="6">
        <v>46261</v>
      </c>
      <c r="C991" s="5" t="s">
        <v>1075</v>
      </c>
      <c r="D991" s="5" t="s">
        <v>202</v>
      </c>
      <c r="E991" s="5" t="s">
        <v>71</v>
      </c>
      <c r="F991" s="5" t="s">
        <v>24</v>
      </c>
      <c r="G991">
        <v>0.3125</v>
      </c>
      <c r="H991">
        <v>0.31319444444444439</v>
      </c>
      <c r="I991">
        <v>7</v>
      </c>
      <c r="J991" s="5" t="s">
        <v>18</v>
      </c>
      <c r="K991" s="5" t="s">
        <v>19</v>
      </c>
      <c r="L991">
        <v>1199</v>
      </c>
      <c r="M991" s="5">
        <v>1</v>
      </c>
      <c r="N991" s="5" t="s">
        <v>1681</v>
      </c>
      <c r="O991" s="5" t="s">
        <v>1664</v>
      </c>
      <c r="P991">
        <v>1</v>
      </c>
      <c r="Q991" t="s">
        <v>1660</v>
      </c>
    </row>
    <row r="992" spans="1:18" x14ac:dyDescent="0.35">
      <c r="A992" s="5" t="s">
        <v>1643</v>
      </c>
      <c r="B992" s="6">
        <v>46261</v>
      </c>
      <c r="C992" s="5" t="s">
        <v>494</v>
      </c>
      <c r="D992" s="5" t="s">
        <v>546</v>
      </c>
      <c r="E992" s="5" t="s">
        <v>197</v>
      </c>
      <c r="F992" s="5" t="s">
        <v>38</v>
      </c>
      <c r="G992">
        <v>0.61805555555555558</v>
      </c>
      <c r="H992">
        <v>0.61527777777777781</v>
      </c>
      <c r="I992">
        <v>-8</v>
      </c>
      <c r="J992" s="5" t="s">
        <v>18</v>
      </c>
      <c r="K992" s="5" t="s">
        <v>19</v>
      </c>
      <c r="L992">
        <v>2243</v>
      </c>
      <c r="M992" s="5">
        <v>-4</v>
      </c>
      <c r="N992" s="5" t="s">
        <v>1681</v>
      </c>
      <c r="O992" s="5" t="s">
        <v>1664</v>
      </c>
      <c r="P992">
        <v>1</v>
      </c>
      <c r="Q992" t="s">
        <v>1663</v>
      </c>
    </row>
    <row r="993" spans="1:18" x14ac:dyDescent="0.35">
      <c r="A993" s="5" t="s">
        <v>1644</v>
      </c>
      <c r="B993" s="6">
        <v>46261</v>
      </c>
      <c r="C993" s="5" t="s">
        <v>176</v>
      </c>
      <c r="D993" s="5" t="s">
        <v>84</v>
      </c>
      <c r="E993" s="5" t="s">
        <v>197</v>
      </c>
      <c r="F993" s="5" t="s">
        <v>28</v>
      </c>
      <c r="G993">
        <v>0.62847222222222221</v>
      </c>
      <c r="H993">
        <v>0.62777777777777777</v>
      </c>
      <c r="I993">
        <v>-8</v>
      </c>
      <c r="J993" s="5" t="s">
        <v>18</v>
      </c>
      <c r="K993" s="5" t="s">
        <v>19</v>
      </c>
      <c r="L993">
        <v>2415</v>
      </c>
      <c r="M993" s="5">
        <v>-1</v>
      </c>
      <c r="N993" s="5" t="s">
        <v>1681</v>
      </c>
      <c r="O993" s="5" t="s">
        <v>1664</v>
      </c>
      <c r="P993">
        <v>1</v>
      </c>
      <c r="Q993" t="s">
        <v>1663</v>
      </c>
    </row>
    <row r="994" spans="1:18" x14ac:dyDescent="0.35">
      <c r="A994" s="5" t="s">
        <v>1645</v>
      </c>
      <c r="B994" s="6">
        <v>46262</v>
      </c>
      <c r="C994" s="5" t="s">
        <v>118</v>
      </c>
      <c r="D994" s="5" t="s">
        <v>71</v>
      </c>
      <c r="E994" s="5" t="s">
        <v>1549</v>
      </c>
      <c r="F994" s="5" t="s">
        <v>17</v>
      </c>
      <c r="G994">
        <v>0.51388888888888884</v>
      </c>
      <c r="H994">
        <v>0.6118055555555556</v>
      </c>
      <c r="I994">
        <v>126</v>
      </c>
      <c r="J994" s="5" t="s">
        <v>60</v>
      </c>
      <c r="K994" s="5" t="s">
        <v>19</v>
      </c>
      <c r="L994">
        <v>864</v>
      </c>
      <c r="M994" s="5">
        <v>141</v>
      </c>
      <c r="N994" s="5" t="s">
        <v>1681</v>
      </c>
      <c r="O994" s="5" t="s">
        <v>1666</v>
      </c>
      <c r="P994">
        <v>0</v>
      </c>
      <c r="Q994" t="s">
        <v>1663</v>
      </c>
      <c r="R994" t="s">
        <v>1657</v>
      </c>
    </row>
    <row r="995" spans="1:18" x14ac:dyDescent="0.35">
      <c r="A995" s="5" t="s">
        <v>1646</v>
      </c>
      <c r="B995" s="6">
        <v>46262</v>
      </c>
      <c r="C995" s="5" t="s">
        <v>598</v>
      </c>
      <c r="D995" s="5" t="s">
        <v>79</v>
      </c>
      <c r="E995" s="5" t="s">
        <v>71</v>
      </c>
      <c r="F995" s="5" t="s">
        <v>28</v>
      </c>
      <c r="G995">
        <v>0.68055555555555558</v>
      </c>
      <c r="I995">
        <v>57</v>
      </c>
      <c r="J995" s="5" t="s">
        <v>54</v>
      </c>
      <c r="K995" s="5" t="s">
        <v>19</v>
      </c>
      <c r="L995">
        <v>606</v>
      </c>
      <c r="M995" s="5">
        <v>57</v>
      </c>
      <c r="N995" s="5" t="s">
        <v>1681</v>
      </c>
      <c r="O995" s="5" t="s">
        <v>1666</v>
      </c>
      <c r="P995">
        <v>0</v>
      </c>
      <c r="Q995" t="s">
        <v>1663</v>
      </c>
      <c r="R995" t="s">
        <v>1657</v>
      </c>
    </row>
    <row r="996" spans="1:18" x14ac:dyDescent="0.35">
      <c r="A996" s="5" t="s">
        <v>1647</v>
      </c>
      <c r="B996" s="6">
        <v>46263</v>
      </c>
      <c r="C996" s="5" t="s">
        <v>583</v>
      </c>
      <c r="D996" s="5" t="s">
        <v>79</v>
      </c>
      <c r="E996" s="5" t="s">
        <v>202</v>
      </c>
      <c r="F996" s="5" t="s">
        <v>17</v>
      </c>
      <c r="G996">
        <v>0.32291666666666669</v>
      </c>
      <c r="H996">
        <v>0.43472222222222218</v>
      </c>
      <c r="I996">
        <v>165</v>
      </c>
      <c r="J996" s="5" t="s">
        <v>60</v>
      </c>
      <c r="K996" s="5" t="s">
        <v>19</v>
      </c>
      <c r="L996">
        <v>596</v>
      </c>
      <c r="M996" s="5">
        <v>161</v>
      </c>
      <c r="N996" s="5" t="s">
        <v>1681</v>
      </c>
      <c r="O996" s="5" t="s">
        <v>1667</v>
      </c>
      <c r="P996">
        <v>0</v>
      </c>
      <c r="Q996" t="s">
        <v>1660</v>
      </c>
      <c r="R996" t="s">
        <v>1657</v>
      </c>
    </row>
    <row r="997" spans="1:18" x14ac:dyDescent="0.35">
      <c r="A997" s="5" t="s">
        <v>1648</v>
      </c>
      <c r="B997" s="6">
        <v>46264</v>
      </c>
      <c r="C997" s="5" t="s">
        <v>14</v>
      </c>
      <c r="D997" s="5" t="s">
        <v>546</v>
      </c>
      <c r="E997" s="5" t="s">
        <v>71</v>
      </c>
      <c r="F997" s="5" t="s">
        <v>17</v>
      </c>
      <c r="G997">
        <v>0.43055555555555558</v>
      </c>
      <c r="I997">
        <v>0</v>
      </c>
      <c r="J997" s="5" t="s">
        <v>18</v>
      </c>
      <c r="K997" s="5" t="s">
        <v>19</v>
      </c>
      <c r="L997">
        <v>1511</v>
      </c>
      <c r="M997" s="5">
        <v>3</v>
      </c>
      <c r="N997" s="5" t="s">
        <v>1681</v>
      </c>
      <c r="O997" s="5" t="s">
        <v>1668</v>
      </c>
      <c r="P997">
        <v>1</v>
      </c>
      <c r="Q997" t="s">
        <v>1660</v>
      </c>
    </row>
    <row r="998" spans="1:18" x14ac:dyDescent="0.35">
      <c r="A998" s="5" t="s">
        <v>1649</v>
      </c>
      <c r="B998" s="6">
        <v>46264</v>
      </c>
      <c r="C998" s="5" t="s">
        <v>218</v>
      </c>
      <c r="D998" s="5" t="s">
        <v>588</v>
      </c>
      <c r="E998" s="5" t="s">
        <v>71</v>
      </c>
      <c r="F998" s="5" t="s">
        <v>28</v>
      </c>
      <c r="G998">
        <v>0.78125</v>
      </c>
      <c r="H998">
        <v>0.77986111111111112</v>
      </c>
      <c r="I998">
        <v>-4</v>
      </c>
      <c r="J998" s="5" t="s">
        <v>18</v>
      </c>
      <c r="K998" s="5" t="s">
        <v>19</v>
      </c>
      <c r="L998">
        <v>802</v>
      </c>
      <c r="M998" s="5">
        <v>-2</v>
      </c>
      <c r="N998" s="5" t="s">
        <v>1681</v>
      </c>
      <c r="O998" s="5" t="s">
        <v>1668</v>
      </c>
      <c r="P998">
        <v>1</v>
      </c>
      <c r="Q998" t="s">
        <v>1665</v>
      </c>
    </row>
    <row r="999" spans="1:18" x14ac:dyDescent="0.35">
      <c r="A999" s="5" t="s">
        <v>1650</v>
      </c>
      <c r="B999" s="6">
        <v>46264</v>
      </c>
      <c r="C999" s="5" t="s">
        <v>300</v>
      </c>
      <c r="D999" s="5" t="s">
        <v>1171</v>
      </c>
      <c r="E999" s="5" t="s">
        <v>79</v>
      </c>
      <c r="F999" s="5" t="s">
        <v>24</v>
      </c>
      <c r="G999">
        <v>0.82291666666666663</v>
      </c>
      <c r="H999">
        <v>0.82777777777777772</v>
      </c>
      <c r="I999">
        <v>2</v>
      </c>
      <c r="J999" s="5" t="s">
        <v>18</v>
      </c>
      <c r="K999" s="5" t="s">
        <v>19</v>
      </c>
      <c r="L999">
        <v>1584</v>
      </c>
      <c r="M999" s="5">
        <v>7</v>
      </c>
      <c r="N999" s="5" t="s">
        <v>1681</v>
      </c>
      <c r="O999" s="5" t="s">
        <v>1668</v>
      </c>
      <c r="P999">
        <v>1</v>
      </c>
      <c r="Q999" t="s">
        <v>1665</v>
      </c>
    </row>
    <row r="1000" spans="1:18" x14ac:dyDescent="0.35">
      <c r="A1000" s="5" t="s">
        <v>1651</v>
      </c>
      <c r="B1000" s="6">
        <v>46265</v>
      </c>
      <c r="C1000" s="5" t="s">
        <v>1091</v>
      </c>
      <c r="D1000" s="5" t="s">
        <v>588</v>
      </c>
      <c r="E1000" s="5" t="s">
        <v>84</v>
      </c>
      <c r="F1000" s="5" t="s">
        <v>24</v>
      </c>
      <c r="G1000">
        <v>0.70833333333333337</v>
      </c>
      <c r="H1000">
        <v>0.73541666666666672</v>
      </c>
      <c r="I1000">
        <v>36</v>
      </c>
      <c r="J1000" s="5" t="s">
        <v>129</v>
      </c>
      <c r="K1000" s="5" t="s">
        <v>19</v>
      </c>
      <c r="L1000">
        <v>1658</v>
      </c>
      <c r="M1000" s="5">
        <v>39</v>
      </c>
      <c r="N1000" s="5" t="s">
        <v>1681</v>
      </c>
      <c r="O1000" s="5" t="s">
        <v>1659</v>
      </c>
      <c r="P1000">
        <v>0</v>
      </c>
      <c r="Q1000" t="s">
        <v>1665</v>
      </c>
      <c r="R1000" t="s">
        <v>1670</v>
      </c>
    </row>
    <row r="1001" spans="1:18" x14ac:dyDescent="0.35">
      <c r="A1001" s="5" t="s">
        <v>1652</v>
      </c>
      <c r="B1001" s="6">
        <v>46265</v>
      </c>
      <c r="C1001" s="5" t="s">
        <v>269</v>
      </c>
      <c r="D1001" s="5" t="s">
        <v>79</v>
      </c>
      <c r="E1001" s="5" t="s">
        <v>71</v>
      </c>
      <c r="F1001" s="5" t="s">
        <v>38</v>
      </c>
      <c r="G1001">
        <v>0.78125</v>
      </c>
      <c r="H1001">
        <v>0.80555555555555558</v>
      </c>
      <c r="I1001">
        <v>26</v>
      </c>
      <c r="J1001" s="5" t="s">
        <v>60</v>
      </c>
      <c r="K1001" s="5" t="s">
        <v>19</v>
      </c>
      <c r="L1001">
        <v>606</v>
      </c>
      <c r="M1001" s="5">
        <v>35</v>
      </c>
      <c r="N1001" s="5" t="s">
        <v>1681</v>
      </c>
      <c r="O1001" s="5" t="s">
        <v>1659</v>
      </c>
      <c r="P1001">
        <v>0</v>
      </c>
      <c r="Q1001" t="s">
        <v>1665</v>
      </c>
      <c r="R1001" t="s">
        <v>1657</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ACD46-278D-4F24-A07D-35E8A14731BE}">
  <dimension ref="A1:M1013"/>
  <sheetViews>
    <sheetView topLeftCell="C1" workbookViewId="0">
      <pane ySplit="1" topLeftCell="A2" activePane="bottomLeft" state="frozen"/>
      <selection pane="bottomLeft" sqref="A1:M1013"/>
    </sheetView>
  </sheetViews>
  <sheetFormatPr defaultRowHeight="14.5" x14ac:dyDescent="0.35"/>
  <cols>
    <col min="1" max="1" width="11" customWidth="1"/>
    <col min="2" max="2" width="12" customWidth="1"/>
    <col min="3" max="3" width="13.1796875" customWidth="1"/>
    <col min="4" max="5" width="14" customWidth="1"/>
    <col min="6" max="6" width="16" customWidth="1"/>
    <col min="7" max="7" width="18.453125" customWidth="1"/>
    <col min="8" max="8" width="16" customWidth="1"/>
    <col min="9" max="9" width="18" customWidth="1"/>
    <col min="10" max="10" width="16" customWidth="1"/>
    <col min="11" max="11" width="20" customWidth="1"/>
    <col min="12" max="12" width="11" customWidth="1"/>
    <col min="13" max="13" width="14" customWidth="1"/>
  </cols>
  <sheetData>
    <row r="1" spans="1:13" x14ac:dyDescent="0.35">
      <c r="A1" s="4" t="s">
        <v>0</v>
      </c>
      <c r="B1" s="4" t="s">
        <v>1</v>
      </c>
      <c r="C1" s="4" t="s">
        <v>2</v>
      </c>
      <c r="D1" s="4" t="s">
        <v>3</v>
      </c>
      <c r="E1" s="4" t="s">
        <v>4</v>
      </c>
      <c r="F1" s="4" t="s">
        <v>5</v>
      </c>
      <c r="G1" s="4" t="s">
        <v>6</v>
      </c>
      <c r="H1" s="4" t="s">
        <v>7</v>
      </c>
      <c r="I1" s="4" t="s">
        <v>8</v>
      </c>
      <c r="J1" s="4" t="s">
        <v>9</v>
      </c>
      <c r="K1" s="4" t="s">
        <v>10</v>
      </c>
      <c r="L1" s="4" t="s">
        <v>11</v>
      </c>
      <c r="M1" s="4" t="s">
        <v>12</v>
      </c>
    </row>
    <row r="2" spans="1:13" x14ac:dyDescent="0.35">
      <c r="A2" s="1" t="s">
        <v>13</v>
      </c>
      <c r="B2" s="2">
        <v>45901</v>
      </c>
      <c r="C2" s="1" t="s">
        <v>14</v>
      </c>
      <c r="D2" s="1" t="s">
        <v>15</v>
      </c>
      <c r="E2" s="1" t="s">
        <v>16</v>
      </c>
      <c r="F2" s="1" t="s">
        <v>17</v>
      </c>
      <c r="G2" s="3">
        <v>0.28819444444444442</v>
      </c>
      <c r="H2" s="3">
        <v>0.28680555555555548</v>
      </c>
      <c r="I2" s="1">
        <v>-2</v>
      </c>
      <c r="J2" s="1">
        <v>-12</v>
      </c>
      <c r="K2" s="1" t="s">
        <v>18</v>
      </c>
      <c r="L2" s="1" t="s">
        <v>19</v>
      </c>
      <c r="M2" s="1">
        <v>1742</v>
      </c>
    </row>
    <row r="3" spans="1:13" x14ac:dyDescent="0.35">
      <c r="A3" s="1" t="s">
        <v>20</v>
      </c>
      <c r="B3" s="2">
        <v>45901</v>
      </c>
      <c r="C3" s="1" t="s">
        <v>21</v>
      </c>
      <c r="D3" s="1" t="s">
        <v>22</v>
      </c>
      <c r="E3" s="1" t="s">
        <v>23</v>
      </c>
      <c r="F3" s="1" t="s">
        <v>24</v>
      </c>
      <c r="G3" s="3">
        <v>0.375</v>
      </c>
      <c r="H3" s="3">
        <v>0.38333333333333341</v>
      </c>
      <c r="I3" s="1">
        <v>12</v>
      </c>
      <c r="J3" s="1">
        <v>22</v>
      </c>
      <c r="K3" s="1" t="s">
        <v>18</v>
      </c>
      <c r="L3" s="1" t="s">
        <v>19</v>
      </c>
      <c r="M3" s="1">
        <v>1622</v>
      </c>
    </row>
    <row r="4" spans="1:13" x14ac:dyDescent="0.35">
      <c r="A4" s="1" t="s">
        <v>25</v>
      </c>
      <c r="B4" s="2">
        <v>45901</v>
      </c>
      <c r="C4" s="1" t="s">
        <v>26</v>
      </c>
      <c r="D4" s="1" t="s">
        <v>27</v>
      </c>
      <c r="E4" s="1" t="s">
        <v>15</v>
      </c>
      <c r="F4" s="1" t="s">
        <v>28</v>
      </c>
      <c r="G4" s="3">
        <v>0.40625</v>
      </c>
      <c r="H4" s="3">
        <v>0.40486111111111112</v>
      </c>
      <c r="I4" s="1">
        <v>-2</v>
      </c>
      <c r="J4" s="1">
        <v>-3</v>
      </c>
      <c r="K4" s="1" t="s">
        <v>18</v>
      </c>
      <c r="L4" s="1" t="s">
        <v>19</v>
      </c>
      <c r="M4" s="1">
        <v>1232</v>
      </c>
    </row>
    <row r="5" spans="1:13" x14ac:dyDescent="0.35">
      <c r="A5" s="1" t="s">
        <v>29</v>
      </c>
      <c r="B5" s="2">
        <v>45902</v>
      </c>
      <c r="C5" s="1" t="s">
        <v>30</v>
      </c>
      <c r="D5" s="1" t="s">
        <v>31</v>
      </c>
      <c r="E5" s="1" t="s">
        <v>32</v>
      </c>
      <c r="F5" s="1" t="s">
        <v>17</v>
      </c>
      <c r="G5" s="3">
        <v>0.44444444444444442</v>
      </c>
      <c r="H5" s="3">
        <v>0.44166666666666671</v>
      </c>
      <c r="I5" s="1">
        <v>-4</v>
      </c>
      <c r="J5" s="1">
        <v>4</v>
      </c>
      <c r="K5" s="1" t="s">
        <v>18</v>
      </c>
      <c r="L5" s="1" t="s">
        <v>19</v>
      </c>
      <c r="M5" s="1">
        <v>2243</v>
      </c>
    </row>
    <row r="6" spans="1:13" x14ac:dyDescent="0.35">
      <c r="A6" s="1" t="s">
        <v>33</v>
      </c>
      <c r="B6" s="2">
        <v>45903</v>
      </c>
      <c r="C6" s="1" t="s">
        <v>34</v>
      </c>
      <c r="D6" s="1" t="s">
        <v>22</v>
      </c>
      <c r="E6" s="1" t="s">
        <v>23</v>
      </c>
      <c r="F6" s="1" t="s">
        <v>17</v>
      </c>
      <c r="G6" s="3">
        <v>0.26041666666666669</v>
      </c>
      <c r="H6" s="3">
        <v>0.26180555555555562</v>
      </c>
      <c r="I6" s="1">
        <v>2</v>
      </c>
      <c r="J6" s="1">
        <v>-1</v>
      </c>
      <c r="K6" s="1" t="s">
        <v>18</v>
      </c>
      <c r="L6" s="1" t="s">
        <v>19</v>
      </c>
      <c r="M6" s="1">
        <v>1622</v>
      </c>
    </row>
    <row r="7" spans="1:13" x14ac:dyDescent="0.35">
      <c r="A7" s="1" t="s">
        <v>35</v>
      </c>
      <c r="B7" s="2">
        <v>45903</v>
      </c>
      <c r="C7" s="1" t="s">
        <v>36</v>
      </c>
      <c r="D7" s="1" t="s">
        <v>37</v>
      </c>
      <c r="E7" s="1" t="s">
        <v>22</v>
      </c>
      <c r="F7" s="1" t="s">
        <v>38</v>
      </c>
      <c r="G7" s="3">
        <v>0.41319444444444442</v>
      </c>
      <c r="H7" s="3">
        <v>0.41944444444444451</v>
      </c>
      <c r="I7" s="1">
        <v>9</v>
      </c>
      <c r="J7" s="1">
        <v>-2</v>
      </c>
      <c r="K7" s="1" t="s">
        <v>18</v>
      </c>
      <c r="L7" s="1" t="s">
        <v>19</v>
      </c>
      <c r="M7" s="1">
        <v>2415</v>
      </c>
    </row>
    <row r="8" spans="1:13" x14ac:dyDescent="0.35">
      <c r="A8" s="1" t="s">
        <v>39</v>
      </c>
      <c r="B8" s="2">
        <v>45903</v>
      </c>
      <c r="C8" s="1" t="s">
        <v>40</v>
      </c>
      <c r="D8" s="1" t="s">
        <v>16</v>
      </c>
      <c r="E8" s="1" t="s">
        <v>41</v>
      </c>
      <c r="F8" s="1" t="s">
        <v>38</v>
      </c>
      <c r="G8" s="3">
        <v>0.44791666666666669</v>
      </c>
      <c r="H8" s="3">
        <v>0.45624999999999999</v>
      </c>
      <c r="I8" s="1">
        <v>12</v>
      </c>
      <c r="J8" s="1">
        <v>2</v>
      </c>
      <c r="K8" s="1" t="s">
        <v>18</v>
      </c>
      <c r="L8" s="1" t="s">
        <v>19</v>
      </c>
      <c r="M8" s="1">
        <v>1199</v>
      </c>
    </row>
    <row r="9" spans="1:13" x14ac:dyDescent="0.35">
      <c r="A9" s="1" t="s">
        <v>42</v>
      </c>
      <c r="B9" s="2">
        <v>45903</v>
      </c>
      <c r="C9" s="1" t="s">
        <v>43</v>
      </c>
      <c r="D9" s="1" t="s">
        <v>31</v>
      </c>
      <c r="E9" s="1" t="s">
        <v>44</v>
      </c>
      <c r="F9" s="1" t="s">
        <v>28</v>
      </c>
      <c r="G9" s="3">
        <v>0.51736111111111116</v>
      </c>
      <c r="H9" s="3">
        <v>0.51597222222222228</v>
      </c>
      <c r="I9" s="1">
        <v>-2</v>
      </c>
      <c r="J9" s="1">
        <v>1</v>
      </c>
      <c r="K9" s="1" t="s">
        <v>18</v>
      </c>
      <c r="L9" s="1" t="s">
        <v>19</v>
      </c>
      <c r="M9" s="1">
        <v>2375</v>
      </c>
    </row>
    <row r="10" spans="1:13" x14ac:dyDescent="0.35">
      <c r="A10" s="1" t="s">
        <v>45</v>
      </c>
      <c r="B10" s="2">
        <v>45904</v>
      </c>
      <c r="C10" s="1" t="s">
        <v>46</v>
      </c>
      <c r="D10" s="1" t="s">
        <v>47</v>
      </c>
      <c r="E10" s="1" t="s">
        <v>23</v>
      </c>
      <c r="F10" s="1" t="s">
        <v>28</v>
      </c>
      <c r="G10" s="3">
        <v>0.27430555555555558</v>
      </c>
      <c r="H10" s="3">
        <v>0.27152777777777781</v>
      </c>
      <c r="I10" s="1">
        <v>-4</v>
      </c>
      <c r="J10" s="1">
        <v>-10</v>
      </c>
      <c r="K10" s="1"/>
      <c r="L10" s="1" t="s">
        <v>19</v>
      </c>
      <c r="M10" s="1">
        <v>965</v>
      </c>
    </row>
    <row r="11" spans="1:13" x14ac:dyDescent="0.35">
      <c r="A11" s="1" t="s">
        <v>48</v>
      </c>
      <c r="B11" s="2">
        <v>45904</v>
      </c>
      <c r="C11" s="1" t="s">
        <v>49</v>
      </c>
      <c r="D11" s="1" t="s">
        <v>50</v>
      </c>
      <c r="E11" s="1" t="s">
        <v>51</v>
      </c>
      <c r="F11" s="1" t="s">
        <v>38</v>
      </c>
      <c r="G11" s="3">
        <v>0.34722222222222221</v>
      </c>
      <c r="H11" s="3">
        <v>0.35555555555555562</v>
      </c>
      <c r="I11" s="1">
        <v>12</v>
      </c>
      <c r="J11" s="1">
        <v>21</v>
      </c>
      <c r="K11" s="1" t="s">
        <v>18</v>
      </c>
      <c r="L11" s="1" t="s">
        <v>19</v>
      </c>
      <c r="M11" s="1">
        <v>730</v>
      </c>
    </row>
    <row r="12" spans="1:13" x14ac:dyDescent="0.35">
      <c r="A12" s="1" t="s">
        <v>52</v>
      </c>
      <c r="B12" s="2">
        <v>45904</v>
      </c>
      <c r="C12" s="1" t="s">
        <v>53</v>
      </c>
      <c r="D12" s="1" t="s">
        <v>15</v>
      </c>
      <c r="E12" s="1" t="s">
        <v>22</v>
      </c>
      <c r="F12" s="1" t="s">
        <v>17</v>
      </c>
      <c r="G12" s="3">
        <v>0.55555555555555558</v>
      </c>
      <c r="H12" s="3">
        <v>0.60972222222222228</v>
      </c>
      <c r="I12" s="1">
        <v>78</v>
      </c>
      <c r="J12" s="1">
        <v>76</v>
      </c>
      <c r="K12" s="1" t="s">
        <v>54</v>
      </c>
      <c r="L12" s="1" t="s">
        <v>19</v>
      </c>
      <c r="M12" s="1">
        <v>2470</v>
      </c>
    </row>
    <row r="13" spans="1:13" x14ac:dyDescent="0.35">
      <c r="A13" s="1" t="s">
        <v>55</v>
      </c>
      <c r="B13" s="2">
        <v>45904</v>
      </c>
      <c r="C13" s="1" t="s">
        <v>56</v>
      </c>
      <c r="D13" s="1" t="s">
        <v>15</v>
      </c>
      <c r="E13" s="1" t="s">
        <v>27</v>
      </c>
      <c r="F13" s="1" t="s">
        <v>17</v>
      </c>
      <c r="G13" s="3">
        <v>0.57291666666666663</v>
      </c>
      <c r="H13" s="3">
        <v>0.56944444444444442</v>
      </c>
      <c r="I13" s="1">
        <v>-5</v>
      </c>
      <c r="J13" s="1">
        <v>0</v>
      </c>
      <c r="K13" s="1" t="s">
        <v>18</v>
      </c>
      <c r="L13" s="1" t="s">
        <v>19</v>
      </c>
      <c r="M13" s="1">
        <v>1232</v>
      </c>
    </row>
    <row r="14" spans="1:13" x14ac:dyDescent="0.35">
      <c r="A14" s="1" t="s">
        <v>57</v>
      </c>
      <c r="B14" s="2">
        <v>45904</v>
      </c>
      <c r="C14" s="1" t="s">
        <v>58</v>
      </c>
      <c r="D14" s="1" t="s">
        <v>59</v>
      </c>
      <c r="E14" s="1" t="s">
        <v>44</v>
      </c>
      <c r="F14" s="1" t="s">
        <v>24</v>
      </c>
      <c r="G14" s="3">
        <v>0.80555555555555558</v>
      </c>
      <c r="H14" s="3">
        <v>0.81736111111111109</v>
      </c>
      <c r="I14" s="1">
        <v>17</v>
      </c>
      <c r="J14" s="1">
        <v>23</v>
      </c>
      <c r="K14" s="1" t="s">
        <v>60</v>
      </c>
      <c r="L14" s="1" t="s">
        <v>19</v>
      </c>
      <c r="M14" s="1">
        <v>945</v>
      </c>
    </row>
    <row r="15" spans="1:13" x14ac:dyDescent="0.35">
      <c r="A15" s="1" t="s">
        <v>61</v>
      </c>
      <c r="B15" s="2">
        <v>45904</v>
      </c>
      <c r="C15" s="1" t="s">
        <v>62</v>
      </c>
      <c r="D15" s="1" t="s">
        <v>22</v>
      </c>
      <c r="E15" s="1" t="s">
        <v>15</v>
      </c>
      <c r="F15" s="1" t="s">
        <v>28</v>
      </c>
      <c r="G15" s="3">
        <v>0.82638888888888884</v>
      </c>
      <c r="H15" s="3">
        <v>0.83472222222222225</v>
      </c>
      <c r="I15" s="1">
        <v>12</v>
      </c>
      <c r="J15" s="1">
        <v>13</v>
      </c>
      <c r="K15" s="1" t="s">
        <v>18</v>
      </c>
      <c r="L15" s="1" t="s">
        <v>19</v>
      </c>
      <c r="M15" s="1">
        <v>2470</v>
      </c>
    </row>
    <row r="16" spans="1:13" x14ac:dyDescent="0.35">
      <c r="A16" s="1" t="s">
        <v>63</v>
      </c>
      <c r="B16" s="2">
        <v>45905</v>
      </c>
      <c r="C16" s="1" t="s">
        <v>64</v>
      </c>
      <c r="D16" s="1" t="s">
        <v>22</v>
      </c>
      <c r="E16" s="1" t="s">
        <v>50</v>
      </c>
      <c r="F16" s="1" t="s">
        <v>24</v>
      </c>
      <c r="G16" s="3">
        <v>0.58680555555555558</v>
      </c>
      <c r="H16" s="3">
        <v>0.59444444444444444</v>
      </c>
      <c r="I16" s="1">
        <v>11</v>
      </c>
      <c r="J16" s="1">
        <v>2</v>
      </c>
      <c r="K16" s="1" t="s">
        <v>18</v>
      </c>
      <c r="L16" s="1" t="s">
        <v>19</v>
      </c>
      <c r="M16" s="1">
        <v>759</v>
      </c>
    </row>
    <row r="17" spans="1:13" x14ac:dyDescent="0.35">
      <c r="A17" s="1" t="s">
        <v>65</v>
      </c>
      <c r="B17" s="2">
        <v>45905</v>
      </c>
      <c r="C17" s="1" t="s">
        <v>66</v>
      </c>
      <c r="D17" s="1" t="s">
        <v>47</v>
      </c>
      <c r="E17" s="1" t="s">
        <v>50</v>
      </c>
      <c r="F17" s="1" t="s">
        <v>38</v>
      </c>
      <c r="G17" s="3">
        <v>0.69097222222222221</v>
      </c>
      <c r="H17" s="1"/>
      <c r="I17" s="1">
        <v>6</v>
      </c>
      <c r="J17" s="1">
        <v>10</v>
      </c>
      <c r="K17" s="1" t="s">
        <v>18</v>
      </c>
      <c r="L17" s="1" t="s">
        <v>19</v>
      </c>
      <c r="M17" s="1">
        <v>2134</v>
      </c>
    </row>
    <row r="18" spans="1:13" x14ac:dyDescent="0.35">
      <c r="A18" s="1" t="s">
        <v>67</v>
      </c>
      <c r="B18" s="2">
        <v>45906</v>
      </c>
      <c r="C18" s="1" t="s">
        <v>68</v>
      </c>
      <c r="D18" s="1" t="s">
        <v>44</v>
      </c>
      <c r="E18" s="1" t="s">
        <v>15</v>
      </c>
      <c r="F18" s="1" t="s">
        <v>28</v>
      </c>
      <c r="G18" s="3">
        <v>0.52777777777777779</v>
      </c>
      <c r="H18" s="3">
        <v>0.52222222222222225</v>
      </c>
      <c r="I18" s="1">
        <v>-8</v>
      </c>
      <c r="J18" s="1">
        <v>-13</v>
      </c>
      <c r="K18" s="1" t="s">
        <v>18</v>
      </c>
      <c r="L18" s="1" t="s">
        <v>19</v>
      </c>
      <c r="M18" s="1">
        <v>2606</v>
      </c>
    </row>
    <row r="19" spans="1:13" x14ac:dyDescent="0.35">
      <c r="A19" s="1" t="s">
        <v>69</v>
      </c>
      <c r="B19" s="2">
        <v>45906</v>
      </c>
      <c r="C19" s="1" t="s">
        <v>70</v>
      </c>
      <c r="D19" s="1" t="s">
        <v>23</v>
      </c>
      <c r="E19" s="1" t="s">
        <v>71</v>
      </c>
      <c r="F19" s="1" t="s">
        <v>38</v>
      </c>
      <c r="G19" s="3">
        <v>0.56944444444444442</v>
      </c>
      <c r="H19" s="3">
        <v>0.56527777777777777</v>
      </c>
      <c r="I19" s="1">
        <v>-6</v>
      </c>
      <c r="J19" s="1">
        <v>-13</v>
      </c>
      <c r="K19" s="1" t="s">
        <v>18</v>
      </c>
      <c r="L19" s="1" t="s">
        <v>19</v>
      </c>
      <c r="M19" s="1">
        <v>886</v>
      </c>
    </row>
    <row r="20" spans="1:13" x14ac:dyDescent="0.35">
      <c r="A20" s="1" t="s">
        <v>72</v>
      </c>
      <c r="B20" s="2">
        <v>45906</v>
      </c>
      <c r="C20" s="1" t="s">
        <v>73</v>
      </c>
      <c r="D20" s="1" t="s">
        <v>23</v>
      </c>
      <c r="E20" s="1" t="s">
        <v>16</v>
      </c>
      <c r="F20" s="1" t="s">
        <v>17</v>
      </c>
      <c r="G20" s="3">
        <v>0.72569444444444442</v>
      </c>
      <c r="H20" s="3">
        <v>0.73055555555555551</v>
      </c>
      <c r="I20" s="1">
        <v>7</v>
      </c>
      <c r="J20" s="1">
        <v>-2</v>
      </c>
      <c r="K20" s="1" t="s">
        <v>18</v>
      </c>
      <c r="L20" s="1" t="s">
        <v>19</v>
      </c>
      <c r="M20" s="1">
        <v>886</v>
      </c>
    </row>
    <row r="21" spans="1:13" x14ac:dyDescent="0.35">
      <c r="A21" s="1" t="s">
        <v>74</v>
      </c>
      <c r="B21" s="2">
        <v>45907</v>
      </c>
      <c r="C21" s="1" t="s">
        <v>75</v>
      </c>
      <c r="D21" s="1" t="s">
        <v>31</v>
      </c>
      <c r="E21" s="1" t="s">
        <v>32</v>
      </c>
      <c r="F21" s="1" t="s">
        <v>28</v>
      </c>
      <c r="G21" s="3">
        <v>0.375</v>
      </c>
      <c r="H21" s="3">
        <v>0.38055555555555548</v>
      </c>
      <c r="I21" s="1">
        <v>8</v>
      </c>
      <c r="J21" s="1">
        <v>-1</v>
      </c>
      <c r="K21" s="1" t="s">
        <v>18</v>
      </c>
      <c r="L21" s="1" t="s">
        <v>19</v>
      </c>
      <c r="M21" s="1">
        <v>2243</v>
      </c>
    </row>
    <row r="22" spans="1:13" x14ac:dyDescent="0.35">
      <c r="A22" s="1" t="s">
        <v>74</v>
      </c>
      <c r="B22" s="2">
        <v>45907</v>
      </c>
      <c r="C22" s="1" t="s">
        <v>75</v>
      </c>
      <c r="D22" s="1" t="s">
        <v>31</v>
      </c>
      <c r="E22" s="1" t="s">
        <v>32</v>
      </c>
      <c r="F22" s="1" t="s">
        <v>28</v>
      </c>
      <c r="G22" s="3">
        <v>0.375</v>
      </c>
      <c r="H22" s="3">
        <v>0.38055555555555548</v>
      </c>
      <c r="I22" s="1">
        <v>8</v>
      </c>
      <c r="J22" s="1">
        <v>-1</v>
      </c>
      <c r="K22" s="1" t="s">
        <v>18</v>
      </c>
      <c r="L22" s="1" t="s">
        <v>19</v>
      </c>
      <c r="M22" s="1">
        <v>2243</v>
      </c>
    </row>
    <row r="23" spans="1:13" x14ac:dyDescent="0.35">
      <c r="A23" s="1" t="s">
        <v>76</v>
      </c>
      <c r="B23" s="2">
        <v>45908</v>
      </c>
      <c r="C23" s="1" t="s">
        <v>77</v>
      </c>
      <c r="D23" s="1" t="s">
        <v>78</v>
      </c>
      <c r="E23" s="1" t="s">
        <v>79</v>
      </c>
      <c r="F23" s="1" t="s">
        <v>17</v>
      </c>
      <c r="G23" s="3">
        <v>0.47569444444444442</v>
      </c>
      <c r="H23" s="3">
        <v>0.47152777777777782</v>
      </c>
      <c r="I23" s="1">
        <v>-6</v>
      </c>
      <c r="J23" s="1">
        <v>-9</v>
      </c>
      <c r="K23" s="1"/>
      <c r="L23" s="1" t="s">
        <v>19</v>
      </c>
      <c r="M23" s="1">
        <v>1584</v>
      </c>
    </row>
    <row r="24" spans="1:13" x14ac:dyDescent="0.35">
      <c r="A24" s="1" t="s">
        <v>80</v>
      </c>
      <c r="B24" s="2">
        <v>45908</v>
      </c>
      <c r="C24" s="1" t="s">
        <v>81</v>
      </c>
      <c r="D24" s="1" t="s">
        <v>27</v>
      </c>
      <c r="E24" s="1" t="s">
        <v>23</v>
      </c>
      <c r="F24" s="1" t="s">
        <v>38</v>
      </c>
      <c r="G24" s="3">
        <v>0.63541666666666663</v>
      </c>
      <c r="H24" s="1"/>
      <c r="I24" s="1">
        <v>0</v>
      </c>
      <c r="J24" s="1">
        <v>-9</v>
      </c>
      <c r="K24" s="1" t="s">
        <v>18</v>
      </c>
      <c r="L24" s="1" t="s">
        <v>19</v>
      </c>
      <c r="M24" s="1">
        <v>641</v>
      </c>
    </row>
    <row r="25" spans="1:13" x14ac:dyDescent="0.35">
      <c r="A25" s="1" t="s">
        <v>82</v>
      </c>
      <c r="B25" s="2">
        <v>45908</v>
      </c>
      <c r="C25" s="1" t="s">
        <v>83</v>
      </c>
      <c r="D25" s="1" t="s">
        <v>84</v>
      </c>
      <c r="E25" s="1" t="s">
        <v>16</v>
      </c>
      <c r="F25" s="1" t="s">
        <v>24</v>
      </c>
      <c r="G25" s="3">
        <v>0.81597222222222221</v>
      </c>
      <c r="H25" s="3">
        <v>0.81874999999999998</v>
      </c>
      <c r="I25" s="1">
        <v>4</v>
      </c>
      <c r="J25" s="1"/>
      <c r="K25" s="1"/>
      <c r="L25" s="1" t="s">
        <v>19</v>
      </c>
      <c r="M25" s="1">
        <v>1717</v>
      </c>
    </row>
    <row r="26" spans="1:13" x14ac:dyDescent="0.35">
      <c r="A26" s="1" t="s">
        <v>85</v>
      </c>
      <c r="B26" s="2">
        <v>45909</v>
      </c>
      <c r="C26" s="1" t="s">
        <v>86</v>
      </c>
      <c r="D26" s="1" t="s">
        <v>78</v>
      </c>
      <c r="E26" s="1" t="s">
        <v>44</v>
      </c>
      <c r="F26" s="1" t="s">
        <v>28</v>
      </c>
      <c r="G26" s="3">
        <v>0.40972222222222221</v>
      </c>
      <c r="H26" s="3">
        <v>0.5229166666666667</v>
      </c>
      <c r="I26" s="1">
        <v>163</v>
      </c>
      <c r="J26" s="1">
        <v>160</v>
      </c>
      <c r="K26" s="1" t="s">
        <v>60</v>
      </c>
      <c r="L26" s="1" t="s">
        <v>19</v>
      </c>
      <c r="M26" s="1">
        <v>2295</v>
      </c>
    </row>
    <row r="27" spans="1:13" x14ac:dyDescent="0.35">
      <c r="A27" s="1" t="s">
        <v>87</v>
      </c>
      <c r="B27" s="2">
        <v>45909</v>
      </c>
      <c r="C27" s="1" t="s">
        <v>88</v>
      </c>
      <c r="D27" s="1" t="s">
        <v>16</v>
      </c>
      <c r="E27" s="1" t="s">
        <v>41</v>
      </c>
      <c r="F27" s="1" t="s">
        <v>24</v>
      </c>
      <c r="G27" s="3">
        <v>0.56944444444444442</v>
      </c>
      <c r="H27" s="3">
        <v>0.56388888888888888</v>
      </c>
      <c r="I27" s="1">
        <v>-8</v>
      </c>
      <c r="J27" s="1">
        <v>-2</v>
      </c>
      <c r="K27" s="1" t="s">
        <v>18</v>
      </c>
      <c r="L27" s="1" t="s">
        <v>19</v>
      </c>
      <c r="M27" s="1">
        <v>1199</v>
      </c>
    </row>
    <row r="28" spans="1:13" x14ac:dyDescent="0.35">
      <c r="A28" s="1" t="s">
        <v>89</v>
      </c>
      <c r="B28" s="2">
        <v>45909</v>
      </c>
      <c r="C28" s="1" t="s">
        <v>90</v>
      </c>
      <c r="D28" s="1" t="s">
        <v>47</v>
      </c>
      <c r="E28" s="1" t="s">
        <v>44</v>
      </c>
      <c r="F28" s="1" t="s">
        <v>28</v>
      </c>
      <c r="G28" s="3">
        <v>0.59375</v>
      </c>
      <c r="H28" s="3">
        <v>0.59097222222222223</v>
      </c>
      <c r="I28" s="1">
        <v>-4</v>
      </c>
      <c r="J28" s="1">
        <v>-5</v>
      </c>
      <c r="K28" s="1" t="s">
        <v>18</v>
      </c>
      <c r="L28" s="1" t="s">
        <v>19</v>
      </c>
      <c r="M28" s="1">
        <v>2698</v>
      </c>
    </row>
    <row r="29" spans="1:13" x14ac:dyDescent="0.35">
      <c r="A29" s="1" t="s">
        <v>91</v>
      </c>
      <c r="B29" s="2">
        <v>45909</v>
      </c>
      <c r="C29" s="1" t="s">
        <v>92</v>
      </c>
      <c r="D29" s="1" t="s">
        <v>93</v>
      </c>
      <c r="E29" s="1" t="s">
        <v>27</v>
      </c>
      <c r="F29" s="1" t="s">
        <v>24</v>
      </c>
      <c r="G29" s="3">
        <v>0.70486111111111116</v>
      </c>
      <c r="H29" s="3">
        <v>0.7</v>
      </c>
      <c r="I29" s="1">
        <v>-7</v>
      </c>
      <c r="J29" s="1">
        <v>-15</v>
      </c>
      <c r="K29" s="1" t="s">
        <v>18</v>
      </c>
      <c r="L29" s="1" t="s">
        <v>19</v>
      </c>
      <c r="M29" s="1">
        <v>802</v>
      </c>
    </row>
    <row r="30" spans="1:13" x14ac:dyDescent="0.35">
      <c r="A30" s="1" t="s">
        <v>94</v>
      </c>
      <c r="B30" s="2">
        <v>45910</v>
      </c>
      <c r="C30" s="1" t="s">
        <v>95</v>
      </c>
      <c r="D30" s="1" t="s">
        <v>23</v>
      </c>
      <c r="E30" s="1" t="s">
        <v>78</v>
      </c>
      <c r="F30" s="1" t="s">
        <v>17</v>
      </c>
      <c r="G30" s="3">
        <v>0.3576388888888889</v>
      </c>
      <c r="H30" s="3">
        <v>0.3611111111111111</v>
      </c>
      <c r="I30" s="1">
        <v>5</v>
      </c>
      <c r="J30" s="1">
        <v>-3</v>
      </c>
      <c r="K30" s="1" t="s">
        <v>18</v>
      </c>
      <c r="L30" s="1" t="s">
        <v>19</v>
      </c>
      <c r="M30" s="1">
        <v>602</v>
      </c>
    </row>
    <row r="31" spans="1:13" x14ac:dyDescent="0.35">
      <c r="A31" s="1" t="s">
        <v>96</v>
      </c>
      <c r="B31" s="2">
        <v>45910</v>
      </c>
      <c r="C31" s="1" t="s">
        <v>34</v>
      </c>
      <c r="D31" s="1" t="s">
        <v>97</v>
      </c>
      <c r="E31" s="1" t="s">
        <v>37</v>
      </c>
      <c r="F31" s="1" t="s">
        <v>24</v>
      </c>
      <c r="G31" s="3">
        <v>0.64236111111111116</v>
      </c>
      <c r="H31" s="3">
        <v>0.65902777777777777</v>
      </c>
      <c r="I31" s="1">
        <v>24</v>
      </c>
      <c r="J31" s="1">
        <v>13</v>
      </c>
      <c r="K31" s="1" t="s">
        <v>98</v>
      </c>
      <c r="L31" s="1" t="s">
        <v>19</v>
      </c>
      <c r="M31" s="1">
        <v>1023</v>
      </c>
    </row>
    <row r="32" spans="1:13" x14ac:dyDescent="0.35">
      <c r="A32" s="1" t="s">
        <v>99</v>
      </c>
      <c r="B32" s="2">
        <v>45910</v>
      </c>
      <c r="C32" s="1" t="s">
        <v>100</v>
      </c>
      <c r="D32" s="1" t="s">
        <v>23</v>
      </c>
      <c r="E32" s="1" t="s">
        <v>50</v>
      </c>
      <c r="F32" s="1" t="s">
        <v>28</v>
      </c>
      <c r="G32" s="3">
        <v>0.67361111111111116</v>
      </c>
      <c r="H32" s="3">
        <v>0.67638888888888893</v>
      </c>
      <c r="I32" s="1">
        <v>4</v>
      </c>
      <c r="J32" s="1">
        <v>5</v>
      </c>
      <c r="K32" s="1" t="s">
        <v>18</v>
      </c>
      <c r="L32" s="1" t="s">
        <v>19</v>
      </c>
      <c r="M32" s="1">
        <v>1197</v>
      </c>
    </row>
    <row r="33" spans="1:13" x14ac:dyDescent="0.35">
      <c r="A33" s="1" t="s">
        <v>101</v>
      </c>
      <c r="B33" s="2">
        <v>45910</v>
      </c>
      <c r="C33" s="1" t="s">
        <v>102</v>
      </c>
      <c r="D33" s="1" t="s">
        <v>27</v>
      </c>
      <c r="E33" s="1" t="s">
        <v>16</v>
      </c>
      <c r="F33" s="1" t="s">
        <v>28</v>
      </c>
      <c r="G33" s="3">
        <v>0.67708333333333337</v>
      </c>
      <c r="H33" s="3">
        <v>0.67638888888888893</v>
      </c>
      <c r="I33" s="1">
        <v>-1</v>
      </c>
      <c r="J33" s="1">
        <v>-7</v>
      </c>
      <c r="K33" s="1"/>
      <c r="L33" s="1" t="s">
        <v>19</v>
      </c>
      <c r="M33" s="1">
        <v>802</v>
      </c>
    </row>
    <row r="34" spans="1:13" x14ac:dyDescent="0.35">
      <c r="A34" s="1" t="s">
        <v>103</v>
      </c>
      <c r="B34" s="2">
        <v>45910</v>
      </c>
      <c r="C34" s="1" t="s">
        <v>104</v>
      </c>
      <c r="D34" s="1" t="s">
        <v>16</v>
      </c>
      <c r="E34" s="1" t="s">
        <v>23</v>
      </c>
      <c r="F34" s="1" t="s">
        <v>28</v>
      </c>
      <c r="G34" s="3">
        <v>0.70486111111111116</v>
      </c>
      <c r="H34" s="3">
        <v>0.70833333333333337</v>
      </c>
      <c r="I34" s="1">
        <v>5</v>
      </c>
      <c r="J34" s="1">
        <v>4</v>
      </c>
      <c r="K34" s="1"/>
      <c r="L34" s="1" t="s">
        <v>19</v>
      </c>
      <c r="M34" s="1">
        <v>886</v>
      </c>
    </row>
    <row r="35" spans="1:13" x14ac:dyDescent="0.35">
      <c r="A35" s="1" t="s">
        <v>105</v>
      </c>
      <c r="B35" s="2">
        <v>45910</v>
      </c>
      <c r="C35" s="1" t="s">
        <v>106</v>
      </c>
      <c r="D35" s="1" t="s">
        <v>78</v>
      </c>
      <c r="E35" s="1" t="s">
        <v>22</v>
      </c>
      <c r="F35" s="1" t="s">
        <v>17</v>
      </c>
      <c r="G35" s="3">
        <v>0.86111111111111116</v>
      </c>
      <c r="H35" s="3">
        <v>0.88194444444444442</v>
      </c>
      <c r="I35" s="1">
        <v>30</v>
      </c>
      <c r="J35" s="1">
        <v>36</v>
      </c>
      <c r="K35" s="1" t="s">
        <v>54</v>
      </c>
      <c r="L35" s="1" t="s">
        <v>19</v>
      </c>
      <c r="M35" s="1">
        <v>2149</v>
      </c>
    </row>
    <row r="36" spans="1:13" x14ac:dyDescent="0.35">
      <c r="A36" s="1" t="s">
        <v>107</v>
      </c>
      <c r="B36" s="2">
        <v>45911</v>
      </c>
      <c r="C36" s="1" t="s">
        <v>108</v>
      </c>
      <c r="D36" s="1" t="s">
        <v>44</v>
      </c>
      <c r="E36" s="1" t="s">
        <v>16</v>
      </c>
      <c r="F36" s="1" t="s">
        <v>38</v>
      </c>
      <c r="G36" s="3">
        <v>0.24305555555555561</v>
      </c>
      <c r="H36" s="3">
        <v>0.2472222222222222</v>
      </c>
      <c r="I36" s="1">
        <v>6</v>
      </c>
      <c r="J36" s="1">
        <v>15</v>
      </c>
      <c r="K36" s="1" t="s">
        <v>18</v>
      </c>
      <c r="L36" s="1" t="s">
        <v>19</v>
      </c>
      <c r="M36" s="1">
        <v>864</v>
      </c>
    </row>
    <row r="37" spans="1:13" x14ac:dyDescent="0.35">
      <c r="A37" s="1" t="s">
        <v>109</v>
      </c>
      <c r="B37" s="2">
        <v>45911</v>
      </c>
      <c r="C37" s="1" t="s">
        <v>110</v>
      </c>
      <c r="D37" s="1" t="s">
        <v>16</v>
      </c>
      <c r="E37" s="1" t="s">
        <v>37</v>
      </c>
      <c r="F37" s="1" t="s">
        <v>28</v>
      </c>
      <c r="G37" s="3">
        <v>0.3263888888888889</v>
      </c>
      <c r="H37" s="3">
        <v>0.32777777777777778</v>
      </c>
      <c r="I37" s="1">
        <v>2</v>
      </c>
      <c r="J37" s="1">
        <v>-10</v>
      </c>
      <c r="K37" s="1" t="s">
        <v>18</v>
      </c>
      <c r="L37" s="1" t="s">
        <v>19</v>
      </c>
      <c r="M37" s="1">
        <v>1717</v>
      </c>
    </row>
    <row r="38" spans="1:13" x14ac:dyDescent="0.35">
      <c r="A38" s="1" t="s">
        <v>111</v>
      </c>
      <c r="B38" s="2">
        <v>45911</v>
      </c>
      <c r="C38" s="1" t="s">
        <v>112</v>
      </c>
      <c r="D38" s="1" t="s">
        <v>32</v>
      </c>
      <c r="E38" s="1" t="s">
        <v>41</v>
      </c>
      <c r="F38" s="1" t="s">
        <v>38</v>
      </c>
      <c r="G38" s="3">
        <v>0.375</v>
      </c>
      <c r="H38" s="3">
        <v>0.36944444444444452</v>
      </c>
      <c r="I38" s="1">
        <v>-8</v>
      </c>
      <c r="J38" s="1">
        <v>-18</v>
      </c>
      <c r="K38" s="1"/>
      <c r="L38" s="1" t="s">
        <v>19</v>
      </c>
      <c r="M38" s="1">
        <v>1092</v>
      </c>
    </row>
    <row r="39" spans="1:13" x14ac:dyDescent="0.35">
      <c r="A39" s="1" t="s">
        <v>113</v>
      </c>
      <c r="B39" s="2">
        <v>45911</v>
      </c>
      <c r="C39" s="1" t="s">
        <v>114</v>
      </c>
      <c r="D39" s="1" t="s">
        <v>23</v>
      </c>
      <c r="E39" s="1" t="s">
        <v>50</v>
      </c>
      <c r="F39" s="1" t="s">
        <v>17</v>
      </c>
      <c r="G39" s="3">
        <v>0.6875</v>
      </c>
      <c r="H39" s="3">
        <v>0.68680555555555556</v>
      </c>
      <c r="I39" s="1">
        <v>-1</v>
      </c>
      <c r="J39" s="1">
        <v>-7</v>
      </c>
      <c r="K39" s="1" t="s">
        <v>18</v>
      </c>
      <c r="L39" s="1" t="s">
        <v>19</v>
      </c>
      <c r="M39" s="1">
        <v>1197</v>
      </c>
    </row>
    <row r="40" spans="1:13" x14ac:dyDescent="0.35">
      <c r="A40" s="1" t="s">
        <v>115</v>
      </c>
      <c r="B40" s="2">
        <v>45912</v>
      </c>
      <c r="C40" s="1" t="s">
        <v>116</v>
      </c>
      <c r="D40" s="1" t="s">
        <v>47</v>
      </c>
      <c r="E40" s="1" t="s">
        <v>51</v>
      </c>
      <c r="F40" s="1" t="s">
        <v>24</v>
      </c>
      <c r="G40" s="3">
        <v>0.67361111111111116</v>
      </c>
      <c r="H40" s="3">
        <v>0.68194444444444446</v>
      </c>
      <c r="I40" s="1">
        <v>12</v>
      </c>
      <c r="J40" s="1">
        <v>5</v>
      </c>
      <c r="K40" s="1" t="s">
        <v>18</v>
      </c>
      <c r="L40" s="1" t="s">
        <v>19</v>
      </c>
      <c r="M40" s="1">
        <v>1462</v>
      </c>
    </row>
    <row r="41" spans="1:13" x14ac:dyDescent="0.35">
      <c r="A41" s="1" t="s">
        <v>117</v>
      </c>
      <c r="B41" s="2">
        <v>45912</v>
      </c>
      <c r="C41" s="1" t="s">
        <v>118</v>
      </c>
      <c r="D41" s="1" t="s">
        <v>23</v>
      </c>
      <c r="E41" s="1" t="s">
        <v>22</v>
      </c>
      <c r="F41" s="1" t="s">
        <v>17</v>
      </c>
      <c r="G41" s="3">
        <v>0.90972222222222221</v>
      </c>
      <c r="H41" s="3">
        <v>0.91736111111111107</v>
      </c>
      <c r="I41" s="1">
        <v>11</v>
      </c>
      <c r="J41" s="1">
        <v>11</v>
      </c>
      <c r="K41" s="1" t="s">
        <v>18</v>
      </c>
      <c r="L41" s="1" t="s">
        <v>19</v>
      </c>
      <c r="M41" s="1">
        <v>1622</v>
      </c>
    </row>
    <row r="42" spans="1:13" x14ac:dyDescent="0.35">
      <c r="A42" s="1" t="s">
        <v>119</v>
      </c>
      <c r="B42" s="2">
        <v>45913</v>
      </c>
      <c r="C42" s="1" t="s">
        <v>120</v>
      </c>
      <c r="D42" s="1" t="s">
        <v>23</v>
      </c>
      <c r="E42" s="1" t="s">
        <v>15</v>
      </c>
      <c r="F42" s="1" t="s">
        <v>38</v>
      </c>
      <c r="G42" s="3">
        <v>0.36805555555555558</v>
      </c>
      <c r="H42" s="3">
        <v>0.37361111111111112</v>
      </c>
      <c r="I42" s="1">
        <v>8</v>
      </c>
      <c r="J42" s="1">
        <v>17</v>
      </c>
      <c r="K42" s="1" t="s">
        <v>18</v>
      </c>
      <c r="L42" s="1" t="s">
        <v>19</v>
      </c>
      <c r="M42" s="1">
        <v>861</v>
      </c>
    </row>
    <row r="43" spans="1:13" x14ac:dyDescent="0.35">
      <c r="A43" s="1" t="s">
        <v>121</v>
      </c>
      <c r="B43" s="2">
        <v>45913</v>
      </c>
      <c r="C43" s="1" t="s">
        <v>122</v>
      </c>
      <c r="D43" s="1" t="s">
        <v>41</v>
      </c>
      <c r="E43" s="1" t="s">
        <v>123</v>
      </c>
      <c r="F43" s="1" t="s">
        <v>17</v>
      </c>
      <c r="G43" s="3">
        <v>0.66319444444444442</v>
      </c>
      <c r="H43" s="3">
        <v>0.66527777777777775</v>
      </c>
      <c r="I43" s="1">
        <v>3</v>
      </c>
      <c r="J43" s="1">
        <v>10</v>
      </c>
      <c r="K43" s="1" t="s">
        <v>18</v>
      </c>
      <c r="L43" s="1" t="s">
        <v>19</v>
      </c>
      <c r="M43" s="1">
        <v>596</v>
      </c>
    </row>
    <row r="44" spans="1:13" x14ac:dyDescent="0.35">
      <c r="A44" s="1" t="s">
        <v>124</v>
      </c>
      <c r="B44" s="2">
        <v>45914</v>
      </c>
      <c r="C44" s="1" t="s">
        <v>125</v>
      </c>
      <c r="D44" s="1" t="s">
        <v>126</v>
      </c>
      <c r="E44" s="1" t="s">
        <v>16</v>
      </c>
      <c r="F44" s="1" t="s">
        <v>17</v>
      </c>
      <c r="G44" s="3">
        <v>0.79861111111111116</v>
      </c>
      <c r="H44" s="3">
        <v>0.80625000000000002</v>
      </c>
      <c r="I44" s="1">
        <v>11</v>
      </c>
      <c r="J44" s="1">
        <v>13</v>
      </c>
      <c r="K44" s="1" t="s">
        <v>18</v>
      </c>
      <c r="L44" s="1" t="s">
        <v>19</v>
      </c>
      <c r="M44" s="1">
        <v>1511</v>
      </c>
    </row>
    <row r="45" spans="1:13" x14ac:dyDescent="0.35">
      <c r="A45" s="1" t="s">
        <v>127</v>
      </c>
      <c r="B45" s="2">
        <v>45916</v>
      </c>
      <c r="C45" s="1" t="s">
        <v>128</v>
      </c>
      <c r="D45" s="1" t="s">
        <v>22</v>
      </c>
      <c r="E45" s="1" t="s">
        <v>31</v>
      </c>
      <c r="F45" s="1" t="s">
        <v>24</v>
      </c>
      <c r="G45" s="3">
        <v>0.47916666666666669</v>
      </c>
      <c r="H45" s="3">
        <v>0.50416666666666665</v>
      </c>
      <c r="I45" s="1">
        <v>36</v>
      </c>
      <c r="J45" s="1">
        <v>22</v>
      </c>
      <c r="K45" s="1" t="s">
        <v>129</v>
      </c>
      <c r="L45" s="1" t="s">
        <v>19</v>
      </c>
      <c r="M45" s="1">
        <v>2243</v>
      </c>
    </row>
    <row r="46" spans="1:13" x14ac:dyDescent="0.35">
      <c r="A46" s="1" t="s">
        <v>130</v>
      </c>
      <c r="B46" s="2">
        <v>45916</v>
      </c>
      <c r="C46" s="1" t="s">
        <v>131</v>
      </c>
      <c r="D46" s="1" t="s">
        <v>16</v>
      </c>
      <c r="E46" s="1" t="s">
        <v>41</v>
      </c>
      <c r="F46" s="1" t="s">
        <v>28</v>
      </c>
      <c r="G46" s="3">
        <v>0.85416666666666663</v>
      </c>
      <c r="H46" s="3">
        <v>0.85347222222222219</v>
      </c>
      <c r="I46" s="1">
        <v>-1</v>
      </c>
      <c r="J46" s="1">
        <v>-7</v>
      </c>
      <c r="K46" s="1" t="s">
        <v>18</v>
      </c>
      <c r="L46" s="1" t="s">
        <v>19</v>
      </c>
      <c r="M46" s="1">
        <v>1199</v>
      </c>
    </row>
    <row r="47" spans="1:13" x14ac:dyDescent="0.35">
      <c r="A47" s="1" t="s">
        <v>132</v>
      </c>
      <c r="B47" s="2">
        <v>45917</v>
      </c>
      <c r="C47" s="1" t="s">
        <v>133</v>
      </c>
      <c r="D47" s="1" t="s">
        <v>22</v>
      </c>
      <c r="E47" s="1" t="s">
        <v>50</v>
      </c>
      <c r="F47" s="1" t="s">
        <v>17</v>
      </c>
      <c r="G47" s="3">
        <v>0.67013888888888884</v>
      </c>
      <c r="H47" s="3">
        <v>0.67500000000000004</v>
      </c>
      <c r="I47" s="1">
        <v>7</v>
      </c>
      <c r="J47" s="1">
        <v>17</v>
      </c>
      <c r="K47" s="1" t="s">
        <v>18</v>
      </c>
      <c r="L47" s="1" t="s">
        <v>19</v>
      </c>
      <c r="M47" s="1">
        <v>759</v>
      </c>
    </row>
    <row r="48" spans="1:13" x14ac:dyDescent="0.35">
      <c r="A48" s="1" t="s">
        <v>134</v>
      </c>
      <c r="B48" s="2">
        <v>45917</v>
      </c>
      <c r="C48" s="1" t="s">
        <v>135</v>
      </c>
      <c r="D48" s="1" t="s">
        <v>15</v>
      </c>
      <c r="E48" s="1" t="s">
        <v>16</v>
      </c>
      <c r="F48" s="1" t="s">
        <v>24</v>
      </c>
      <c r="G48" s="3">
        <v>0.78819444444444442</v>
      </c>
      <c r="H48" s="3">
        <v>0.83402777777777781</v>
      </c>
      <c r="I48" s="1">
        <v>66</v>
      </c>
      <c r="J48" s="1">
        <v>65</v>
      </c>
      <c r="K48" s="1" t="s">
        <v>54</v>
      </c>
      <c r="L48" s="1" t="s">
        <v>19</v>
      </c>
      <c r="M48" s="1">
        <v>1742</v>
      </c>
    </row>
    <row r="49" spans="1:13" x14ac:dyDescent="0.35">
      <c r="A49" s="1" t="s">
        <v>136</v>
      </c>
      <c r="B49" s="2">
        <v>45917</v>
      </c>
      <c r="C49" s="1" t="s">
        <v>137</v>
      </c>
      <c r="D49" s="1" t="s">
        <v>23</v>
      </c>
      <c r="E49" s="1" t="s">
        <v>47</v>
      </c>
      <c r="F49" s="1" t="s">
        <v>17</v>
      </c>
      <c r="G49" s="3">
        <v>0.80555555555555558</v>
      </c>
      <c r="H49" s="1"/>
      <c r="I49" s="1">
        <v>-7</v>
      </c>
      <c r="J49" s="1">
        <v>-16</v>
      </c>
      <c r="K49" s="1" t="s">
        <v>18</v>
      </c>
      <c r="L49" s="1" t="s">
        <v>19</v>
      </c>
      <c r="M49" s="1">
        <v>965</v>
      </c>
    </row>
    <row r="50" spans="1:13" x14ac:dyDescent="0.35">
      <c r="A50" s="1" t="s">
        <v>138</v>
      </c>
      <c r="B50" s="2">
        <v>45918</v>
      </c>
      <c r="C50" s="1" t="s">
        <v>139</v>
      </c>
      <c r="D50" s="1" t="s">
        <v>50</v>
      </c>
      <c r="E50" s="1" t="s">
        <v>78</v>
      </c>
      <c r="F50" s="1" t="s">
        <v>24</v>
      </c>
      <c r="G50" s="3">
        <v>0.35416666666666669</v>
      </c>
      <c r="H50" s="3">
        <v>0.3576388888888889</v>
      </c>
      <c r="I50" s="1">
        <v>5</v>
      </c>
      <c r="J50" s="1">
        <v>10</v>
      </c>
      <c r="K50" s="1" t="s">
        <v>18</v>
      </c>
      <c r="L50" s="1" t="s">
        <v>19</v>
      </c>
      <c r="M50" s="1">
        <v>1584</v>
      </c>
    </row>
    <row r="51" spans="1:13" x14ac:dyDescent="0.35">
      <c r="A51" s="1" t="s">
        <v>140</v>
      </c>
      <c r="B51" s="2">
        <v>45918</v>
      </c>
      <c r="C51" s="1" t="s">
        <v>131</v>
      </c>
      <c r="D51" s="1" t="s">
        <v>78</v>
      </c>
      <c r="E51" s="1" t="s">
        <v>15</v>
      </c>
      <c r="F51" s="1" t="s">
        <v>38</v>
      </c>
      <c r="G51" s="3">
        <v>0.56944444444444442</v>
      </c>
      <c r="H51" s="3">
        <v>0.56874999999999998</v>
      </c>
      <c r="I51" s="1">
        <v>-1</v>
      </c>
      <c r="J51" s="1">
        <v>1</v>
      </c>
      <c r="K51" s="1" t="s">
        <v>18</v>
      </c>
      <c r="L51" s="1" t="s">
        <v>19</v>
      </c>
      <c r="M51" s="1">
        <v>370</v>
      </c>
    </row>
    <row r="52" spans="1:13" x14ac:dyDescent="0.35">
      <c r="A52" s="1" t="s">
        <v>141</v>
      </c>
      <c r="B52" s="2">
        <v>45918</v>
      </c>
      <c r="C52" s="1" t="s">
        <v>142</v>
      </c>
      <c r="D52" s="1" t="s">
        <v>15</v>
      </c>
      <c r="E52" s="1" t="s">
        <v>22</v>
      </c>
      <c r="F52" s="1" t="s">
        <v>28</v>
      </c>
      <c r="G52" s="3">
        <v>0.73958333333333337</v>
      </c>
      <c r="H52" s="1"/>
      <c r="I52" s="1">
        <v>2</v>
      </c>
      <c r="J52" s="1">
        <v>4</v>
      </c>
      <c r="K52" s="1" t="s">
        <v>18</v>
      </c>
      <c r="L52" s="1" t="s">
        <v>19</v>
      </c>
      <c r="M52" s="1">
        <v>2470</v>
      </c>
    </row>
    <row r="53" spans="1:13" x14ac:dyDescent="0.35">
      <c r="A53" s="1" t="s">
        <v>143</v>
      </c>
      <c r="B53" s="2">
        <v>45919</v>
      </c>
      <c r="C53" s="1" t="s">
        <v>144</v>
      </c>
      <c r="D53" s="1" t="s">
        <v>15</v>
      </c>
      <c r="E53" s="1" t="s">
        <v>16</v>
      </c>
      <c r="F53" s="1" t="s">
        <v>17</v>
      </c>
      <c r="G53" s="3">
        <v>0.34722222222222221</v>
      </c>
      <c r="H53" s="3">
        <v>0.35069444444444442</v>
      </c>
      <c r="I53" s="1">
        <v>5</v>
      </c>
      <c r="J53" s="1">
        <v>14</v>
      </c>
      <c r="K53" s="1"/>
      <c r="L53" s="1" t="s">
        <v>19</v>
      </c>
      <c r="M53" s="1">
        <v>1742</v>
      </c>
    </row>
    <row r="54" spans="1:13" x14ac:dyDescent="0.35">
      <c r="A54" s="1" t="s">
        <v>145</v>
      </c>
      <c r="B54" s="2">
        <v>45919</v>
      </c>
      <c r="C54" s="1" t="s">
        <v>146</v>
      </c>
      <c r="D54" s="1" t="s">
        <v>41</v>
      </c>
      <c r="E54" s="1" t="s">
        <v>50</v>
      </c>
      <c r="F54" s="1" t="s">
        <v>17</v>
      </c>
      <c r="G54" s="3">
        <v>0.51736111111111116</v>
      </c>
      <c r="H54" s="3">
        <v>0.51736111111111116</v>
      </c>
      <c r="I54" s="1">
        <v>0</v>
      </c>
      <c r="J54" s="1">
        <v>-8</v>
      </c>
      <c r="K54" s="1" t="s">
        <v>18</v>
      </c>
      <c r="L54" s="1" t="s">
        <v>19</v>
      </c>
      <c r="M54" s="1">
        <v>596</v>
      </c>
    </row>
    <row r="55" spans="1:13" x14ac:dyDescent="0.35">
      <c r="A55" s="1" t="s">
        <v>147</v>
      </c>
      <c r="B55" s="2">
        <v>45919</v>
      </c>
      <c r="C55" s="1" t="s">
        <v>148</v>
      </c>
      <c r="D55" s="1" t="s">
        <v>44</v>
      </c>
      <c r="E55" s="1" t="s">
        <v>15</v>
      </c>
      <c r="F55" s="1" t="s">
        <v>17</v>
      </c>
      <c r="G55" s="3">
        <v>0.63541666666666663</v>
      </c>
      <c r="H55" s="3">
        <v>0.66180555555555554</v>
      </c>
      <c r="I55" s="1">
        <v>38</v>
      </c>
      <c r="J55" s="1">
        <v>24</v>
      </c>
      <c r="K55" s="1" t="s">
        <v>149</v>
      </c>
      <c r="L55" s="1" t="s">
        <v>19</v>
      </c>
      <c r="M55" s="1">
        <v>2606</v>
      </c>
    </row>
    <row r="56" spans="1:13" x14ac:dyDescent="0.35">
      <c r="A56" s="1" t="s">
        <v>150</v>
      </c>
      <c r="B56" s="2">
        <v>45920</v>
      </c>
      <c r="C56" s="1" t="s">
        <v>151</v>
      </c>
      <c r="D56" s="1" t="s">
        <v>15</v>
      </c>
      <c r="E56" s="1" t="s">
        <v>27</v>
      </c>
      <c r="F56" s="1" t="s">
        <v>24</v>
      </c>
      <c r="G56" s="3">
        <v>0.60416666666666663</v>
      </c>
      <c r="H56" s="3">
        <v>0.59861111111111109</v>
      </c>
      <c r="I56" s="1">
        <v>-8</v>
      </c>
      <c r="J56" s="1">
        <v>-10</v>
      </c>
      <c r="K56" s="1"/>
      <c r="L56" s="1" t="s">
        <v>19</v>
      </c>
      <c r="M56" s="1">
        <v>1232</v>
      </c>
    </row>
    <row r="57" spans="1:13" x14ac:dyDescent="0.35">
      <c r="A57" s="1" t="s">
        <v>152</v>
      </c>
      <c r="B57" s="2">
        <v>45920</v>
      </c>
      <c r="C57" s="1" t="s">
        <v>153</v>
      </c>
      <c r="D57" s="1" t="s">
        <v>31</v>
      </c>
      <c r="E57" s="1" t="s">
        <v>47</v>
      </c>
      <c r="F57" s="1" t="s">
        <v>24</v>
      </c>
      <c r="G57" s="3">
        <v>0.63194444444444442</v>
      </c>
      <c r="H57" s="3">
        <v>0.63611111111111107</v>
      </c>
      <c r="I57" s="1">
        <v>6</v>
      </c>
      <c r="J57" s="1">
        <v>7</v>
      </c>
      <c r="K57" s="1" t="s">
        <v>18</v>
      </c>
      <c r="L57" s="1" t="s">
        <v>19</v>
      </c>
      <c r="M57" s="1">
        <v>414</v>
      </c>
    </row>
    <row r="58" spans="1:13" x14ac:dyDescent="0.35">
      <c r="A58" s="1" t="s">
        <v>154</v>
      </c>
      <c r="B58" s="2">
        <v>45920</v>
      </c>
      <c r="C58" s="1" t="s">
        <v>155</v>
      </c>
      <c r="D58" s="1" t="s">
        <v>16</v>
      </c>
      <c r="E58" s="1" t="s">
        <v>23</v>
      </c>
      <c r="F58" s="1" t="s">
        <v>24</v>
      </c>
      <c r="G58" s="3">
        <v>0.87152777777777779</v>
      </c>
      <c r="H58" s="3">
        <v>0.89513888888888893</v>
      </c>
      <c r="I58" s="1">
        <v>34</v>
      </c>
      <c r="J58" s="1">
        <v>38</v>
      </c>
      <c r="K58" s="1" t="s">
        <v>54</v>
      </c>
      <c r="L58" s="1" t="s">
        <v>19</v>
      </c>
      <c r="M58" s="1">
        <v>886</v>
      </c>
    </row>
    <row r="59" spans="1:13" x14ac:dyDescent="0.35">
      <c r="A59" s="1" t="s">
        <v>156</v>
      </c>
      <c r="B59" s="2">
        <v>45921</v>
      </c>
      <c r="C59" s="1" t="s">
        <v>157</v>
      </c>
      <c r="D59" s="1" t="s">
        <v>50</v>
      </c>
      <c r="E59" s="1" t="s">
        <v>23</v>
      </c>
      <c r="F59" s="1" t="s">
        <v>28</v>
      </c>
      <c r="G59" s="3">
        <v>0.70486111111111116</v>
      </c>
      <c r="H59" s="3">
        <v>0.70486111111111116</v>
      </c>
      <c r="I59" s="1">
        <v>0</v>
      </c>
      <c r="J59" s="1">
        <v>10</v>
      </c>
      <c r="K59" s="1" t="s">
        <v>18</v>
      </c>
      <c r="L59" s="1" t="s">
        <v>19</v>
      </c>
      <c r="M59" s="1">
        <v>1197</v>
      </c>
    </row>
    <row r="60" spans="1:13" x14ac:dyDescent="0.35">
      <c r="A60" s="1" t="s">
        <v>158</v>
      </c>
      <c r="B60" s="2">
        <v>45923</v>
      </c>
      <c r="C60" s="1" t="s">
        <v>159</v>
      </c>
      <c r="D60" s="1" t="s">
        <v>50</v>
      </c>
      <c r="E60" s="1" t="s">
        <v>15</v>
      </c>
      <c r="F60" s="1" t="s">
        <v>17</v>
      </c>
      <c r="G60" s="3">
        <v>0.67013888888888884</v>
      </c>
      <c r="H60" s="3">
        <v>0.67708333333333337</v>
      </c>
      <c r="I60" s="1">
        <v>10</v>
      </c>
      <c r="J60" s="1">
        <v>9</v>
      </c>
      <c r="K60" s="1" t="s">
        <v>18</v>
      </c>
      <c r="L60" s="1" t="s">
        <v>19</v>
      </c>
      <c r="M60" s="1">
        <v>1942</v>
      </c>
    </row>
    <row r="61" spans="1:13" x14ac:dyDescent="0.35">
      <c r="A61" s="1" t="s">
        <v>160</v>
      </c>
      <c r="B61" s="2">
        <v>45924</v>
      </c>
      <c r="C61" s="1" t="s">
        <v>161</v>
      </c>
      <c r="D61" s="1" t="s">
        <v>27</v>
      </c>
      <c r="E61" s="1" t="s">
        <v>22</v>
      </c>
      <c r="F61" s="1" t="s">
        <v>17</v>
      </c>
      <c r="G61" s="3">
        <v>0.30555555555555558</v>
      </c>
      <c r="H61" s="3">
        <v>0.39097222222222222</v>
      </c>
      <c r="I61" s="1">
        <v>123</v>
      </c>
      <c r="J61" s="1">
        <v>117</v>
      </c>
      <c r="K61" s="1" t="s">
        <v>54</v>
      </c>
      <c r="L61" s="1" t="s">
        <v>19</v>
      </c>
      <c r="M61" s="1">
        <v>1389</v>
      </c>
    </row>
    <row r="62" spans="1:13" x14ac:dyDescent="0.35">
      <c r="A62" s="1" t="s">
        <v>162</v>
      </c>
      <c r="B62" s="2">
        <v>45925</v>
      </c>
      <c r="C62" s="1" t="s">
        <v>163</v>
      </c>
      <c r="D62" s="1" t="s">
        <v>23</v>
      </c>
      <c r="E62" s="1" t="s">
        <v>78</v>
      </c>
      <c r="F62" s="1" t="s">
        <v>17</v>
      </c>
      <c r="G62" s="3">
        <v>0.33680555555555558</v>
      </c>
      <c r="H62" s="1"/>
      <c r="I62" s="1">
        <v>12</v>
      </c>
      <c r="J62" s="1">
        <v>0</v>
      </c>
      <c r="K62" s="1" t="s">
        <v>18</v>
      </c>
      <c r="L62" s="1" t="s">
        <v>19</v>
      </c>
      <c r="M62" s="1">
        <v>602</v>
      </c>
    </row>
    <row r="63" spans="1:13" x14ac:dyDescent="0.35">
      <c r="A63" s="1" t="s">
        <v>164</v>
      </c>
      <c r="B63" s="2">
        <v>45925</v>
      </c>
      <c r="C63" s="1" t="s">
        <v>165</v>
      </c>
      <c r="D63" s="1" t="s">
        <v>47</v>
      </c>
      <c r="E63" s="1" t="s">
        <v>79</v>
      </c>
      <c r="F63" s="1" t="s">
        <v>28</v>
      </c>
      <c r="G63" s="3">
        <v>0.61458333333333337</v>
      </c>
      <c r="H63" s="3">
        <v>0.63611111111111107</v>
      </c>
      <c r="I63" s="1">
        <v>31</v>
      </c>
      <c r="J63" s="1">
        <v>29</v>
      </c>
      <c r="K63" s="1" t="s">
        <v>149</v>
      </c>
      <c r="L63" s="1" t="s">
        <v>19</v>
      </c>
      <c r="M63" s="1">
        <v>2134</v>
      </c>
    </row>
    <row r="64" spans="1:13" x14ac:dyDescent="0.35">
      <c r="A64" s="1" t="s">
        <v>166</v>
      </c>
      <c r="B64" s="2">
        <v>45925</v>
      </c>
      <c r="C64" s="1" t="s">
        <v>167</v>
      </c>
      <c r="D64" s="1" t="s">
        <v>27</v>
      </c>
      <c r="E64" s="1" t="s">
        <v>31</v>
      </c>
      <c r="F64" s="1" t="s">
        <v>17</v>
      </c>
      <c r="G64" s="3">
        <v>0.70486111111111116</v>
      </c>
      <c r="H64" s="3">
        <v>0.70347222222222228</v>
      </c>
      <c r="I64" s="1">
        <v>-2</v>
      </c>
      <c r="J64" s="1">
        <v>-8</v>
      </c>
      <c r="K64" s="1" t="s">
        <v>18</v>
      </c>
      <c r="L64" s="1" t="s">
        <v>19</v>
      </c>
      <c r="M64" s="1">
        <v>0</v>
      </c>
    </row>
    <row r="65" spans="1:13" x14ac:dyDescent="0.35">
      <c r="A65" s="1" t="s">
        <v>168</v>
      </c>
      <c r="B65" s="2">
        <v>45926</v>
      </c>
      <c r="C65" s="1" t="s">
        <v>169</v>
      </c>
      <c r="D65" s="1" t="s">
        <v>15</v>
      </c>
      <c r="E65" s="1" t="s">
        <v>16</v>
      </c>
      <c r="F65" s="1" t="s">
        <v>28</v>
      </c>
      <c r="G65" s="3">
        <v>0.31597222222222221</v>
      </c>
      <c r="H65" s="3">
        <v>0.32083333333333341</v>
      </c>
      <c r="I65" s="1">
        <v>7</v>
      </c>
      <c r="J65" s="1">
        <v>7</v>
      </c>
      <c r="K65" s="1" t="s">
        <v>18</v>
      </c>
      <c r="L65" s="1" t="s">
        <v>19</v>
      </c>
      <c r="M65" s="1">
        <v>1742</v>
      </c>
    </row>
    <row r="66" spans="1:13" x14ac:dyDescent="0.35">
      <c r="A66" s="1" t="s">
        <v>170</v>
      </c>
      <c r="B66" s="2">
        <v>45926</v>
      </c>
      <c r="C66" s="1" t="s">
        <v>171</v>
      </c>
      <c r="D66" s="1" t="s">
        <v>79</v>
      </c>
      <c r="E66" s="1" t="s">
        <v>44</v>
      </c>
      <c r="F66" s="1" t="s">
        <v>17</v>
      </c>
      <c r="G66" s="3">
        <v>0.46875</v>
      </c>
      <c r="H66" s="3">
        <v>0.47499999999999998</v>
      </c>
      <c r="I66" s="1">
        <v>9</v>
      </c>
      <c r="J66" s="1">
        <v>14</v>
      </c>
      <c r="K66" s="1" t="s">
        <v>18</v>
      </c>
      <c r="L66" s="1" t="s">
        <v>19</v>
      </c>
      <c r="M66" s="1">
        <v>945</v>
      </c>
    </row>
    <row r="67" spans="1:13" x14ac:dyDescent="0.35">
      <c r="A67" s="1" t="s">
        <v>172</v>
      </c>
      <c r="B67" s="2">
        <v>45926</v>
      </c>
      <c r="C67" s="1" t="s">
        <v>173</v>
      </c>
      <c r="D67" s="1" t="s">
        <v>27</v>
      </c>
      <c r="E67" s="1" t="s">
        <v>15</v>
      </c>
      <c r="F67" s="1" t="s">
        <v>28</v>
      </c>
      <c r="G67" s="3">
        <v>0.82291666666666663</v>
      </c>
      <c r="H67" s="3">
        <v>0.83472222222222225</v>
      </c>
      <c r="I67" s="1">
        <v>17</v>
      </c>
      <c r="J67" s="1">
        <v>12</v>
      </c>
      <c r="K67" s="1" t="s">
        <v>174</v>
      </c>
      <c r="L67" s="1" t="s">
        <v>19</v>
      </c>
      <c r="M67" s="1">
        <v>1232</v>
      </c>
    </row>
    <row r="68" spans="1:13" x14ac:dyDescent="0.35">
      <c r="A68" s="1" t="s">
        <v>175</v>
      </c>
      <c r="B68" s="2">
        <v>45927</v>
      </c>
      <c r="C68" s="1" t="s">
        <v>176</v>
      </c>
      <c r="D68" s="1" t="s">
        <v>22</v>
      </c>
      <c r="E68" s="1" t="s">
        <v>41</v>
      </c>
      <c r="F68" s="1" t="s">
        <v>28</v>
      </c>
      <c r="G68" s="3">
        <v>0.49305555555555558</v>
      </c>
      <c r="H68" s="3">
        <v>0.49722222222222218</v>
      </c>
      <c r="I68" s="1">
        <v>6</v>
      </c>
      <c r="J68" s="1">
        <v>10</v>
      </c>
      <c r="K68" s="1" t="s">
        <v>18</v>
      </c>
      <c r="L68" s="1" t="s">
        <v>19</v>
      </c>
      <c r="M68" s="1">
        <v>1092</v>
      </c>
    </row>
    <row r="69" spans="1:13" x14ac:dyDescent="0.35">
      <c r="A69" s="1" t="s">
        <v>177</v>
      </c>
      <c r="B69" s="2">
        <v>45927</v>
      </c>
      <c r="C69" s="1" t="s">
        <v>178</v>
      </c>
      <c r="D69" s="1" t="s">
        <v>78</v>
      </c>
      <c r="E69" s="1" t="s">
        <v>16</v>
      </c>
      <c r="F69" s="1" t="s">
        <v>17</v>
      </c>
      <c r="G69" s="3">
        <v>0.61805555555555558</v>
      </c>
      <c r="H69" s="3">
        <v>0.61527777777777781</v>
      </c>
      <c r="I69" s="1">
        <v>-4</v>
      </c>
      <c r="J69" s="1">
        <v>-9</v>
      </c>
      <c r="K69" s="1" t="s">
        <v>18</v>
      </c>
      <c r="L69" s="1" t="s">
        <v>19</v>
      </c>
      <c r="M69" s="1">
        <v>1438</v>
      </c>
    </row>
    <row r="70" spans="1:13" x14ac:dyDescent="0.35">
      <c r="A70" s="1" t="s">
        <v>179</v>
      </c>
      <c r="B70" s="2">
        <v>45928</v>
      </c>
      <c r="C70" s="1" t="s">
        <v>180</v>
      </c>
      <c r="D70" s="1" t="s">
        <v>22</v>
      </c>
      <c r="E70" s="1" t="s">
        <v>50</v>
      </c>
      <c r="F70" s="1" t="s">
        <v>17</v>
      </c>
      <c r="G70" s="3">
        <v>0.40277777777777779</v>
      </c>
      <c r="H70" s="3">
        <v>0.40347222222222218</v>
      </c>
      <c r="I70" s="1">
        <v>1</v>
      </c>
      <c r="J70" s="1">
        <v>8</v>
      </c>
      <c r="K70" s="1" t="s">
        <v>18</v>
      </c>
      <c r="L70" s="1" t="s">
        <v>19</v>
      </c>
      <c r="M70" s="1">
        <v>759</v>
      </c>
    </row>
    <row r="71" spans="1:13" x14ac:dyDescent="0.35">
      <c r="A71" s="1" t="s">
        <v>181</v>
      </c>
      <c r="B71" s="2">
        <v>45928</v>
      </c>
      <c r="C71" s="1" t="s">
        <v>182</v>
      </c>
      <c r="D71" s="1" t="s">
        <v>27</v>
      </c>
      <c r="E71" s="1" t="s">
        <v>16</v>
      </c>
      <c r="F71" s="1" t="s">
        <v>17</v>
      </c>
      <c r="G71" s="3">
        <v>0.47916666666666669</v>
      </c>
      <c r="H71" s="3">
        <v>0.47916666666666669</v>
      </c>
      <c r="I71" s="1">
        <v>0</v>
      </c>
      <c r="J71" s="1">
        <v>-8</v>
      </c>
      <c r="K71" s="1"/>
      <c r="L71" s="1" t="s">
        <v>19</v>
      </c>
      <c r="M71" s="1">
        <v>802</v>
      </c>
    </row>
    <row r="72" spans="1:13" x14ac:dyDescent="0.35">
      <c r="A72" s="1" t="s">
        <v>183</v>
      </c>
      <c r="B72" s="2">
        <v>45928</v>
      </c>
      <c r="C72" s="1" t="s">
        <v>184</v>
      </c>
      <c r="D72" s="1" t="s">
        <v>16</v>
      </c>
      <c r="E72" s="1" t="s">
        <v>44</v>
      </c>
      <c r="F72" s="1" t="s">
        <v>28</v>
      </c>
      <c r="G72" s="3">
        <v>0.53472222222222221</v>
      </c>
      <c r="H72" s="3">
        <v>0.53611111111111109</v>
      </c>
      <c r="I72" s="1">
        <v>2</v>
      </c>
      <c r="J72" s="1">
        <v>6</v>
      </c>
      <c r="K72" s="1" t="s">
        <v>18</v>
      </c>
      <c r="L72" s="1" t="s">
        <v>19</v>
      </c>
      <c r="M72" s="1">
        <v>864</v>
      </c>
    </row>
    <row r="73" spans="1:13" x14ac:dyDescent="0.35">
      <c r="A73" s="1" t="s">
        <v>185</v>
      </c>
      <c r="B73" s="2">
        <v>45928</v>
      </c>
      <c r="C73" s="1" t="s">
        <v>186</v>
      </c>
      <c r="D73" s="1" t="s">
        <v>27</v>
      </c>
      <c r="E73" s="1" t="s">
        <v>44</v>
      </c>
      <c r="F73" s="1" t="s">
        <v>24</v>
      </c>
      <c r="G73" s="3">
        <v>0.72222222222222221</v>
      </c>
      <c r="H73" s="3">
        <v>0.74652777777777779</v>
      </c>
      <c r="I73" s="1">
        <v>35</v>
      </c>
      <c r="J73" s="1">
        <v>41</v>
      </c>
      <c r="K73" s="1" t="s">
        <v>60</v>
      </c>
      <c r="L73" s="1" t="s">
        <v>19</v>
      </c>
      <c r="M73" s="1">
        <v>1559</v>
      </c>
    </row>
    <row r="74" spans="1:13" x14ac:dyDescent="0.35">
      <c r="A74" s="1" t="s">
        <v>187</v>
      </c>
      <c r="B74" s="2">
        <v>45928</v>
      </c>
      <c r="C74" s="1" t="s">
        <v>188</v>
      </c>
      <c r="D74" s="1" t="s">
        <v>22</v>
      </c>
      <c r="E74" s="1" t="s">
        <v>27</v>
      </c>
      <c r="F74" s="1" t="s">
        <v>17</v>
      </c>
      <c r="G74" s="3">
        <v>0.88541666666666663</v>
      </c>
      <c r="H74" s="3">
        <v>0.8930555555555556</v>
      </c>
      <c r="I74" s="1">
        <v>11</v>
      </c>
      <c r="J74" s="1">
        <v>-1</v>
      </c>
      <c r="K74" s="1" t="s">
        <v>18</v>
      </c>
      <c r="L74" s="1" t="s">
        <v>19</v>
      </c>
      <c r="M74" s="1">
        <v>1389</v>
      </c>
    </row>
    <row r="75" spans="1:13" x14ac:dyDescent="0.35">
      <c r="A75" s="1" t="s">
        <v>189</v>
      </c>
      <c r="B75" s="2">
        <v>45929</v>
      </c>
      <c r="C75" s="1" t="s">
        <v>190</v>
      </c>
      <c r="D75" s="1" t="s">
        <v>23</v>
      </c>
      <c r="E75" s="1" t="s">
        <v>50</v>
      </c>
      <c r="F75" s="1" t="s">
        <v>17</v>
      </c>
      <c r="G75" s="3">
        <v>0.72569444444444442</v>
      </c>
      <c r="H75" s="3">
        <v>0.74097222222222225</v>
      </c>
      <c r="I75" s="1">
        <v>22</v>
      </c>
      <c r="J75" s="1">
        <v>25</v>
      </c>
      <c r="K75" s="1" t="s">
        <v>54</v>
      </c>
      <c r="L75" s="1" t="s">
        <v>19</v>
      </c>
      <c r="M75" s="1">
        <v>1197</v>
      </c>
    </row>
    <row r="76" spans="1:13" x14ac:dyDescent="0.35">
      <c r="A76" s="1" t="s">
        <v>191</v>
      </c>
      <c r="B76" s="2">
        <v>45929</v>
      </c>
      <c r="C76" s="1" t="s">
        <v>192</v>
      </c>
      <c r="D76" s="1" t="s">
        <v>15</v>
      </c>
      <c r="E76" s="1" t="s">
        <v>50</v>
      </c>
      <c r="F76" s="1" t="s">
        <v>28</v>
      </c>
      <c r="G76" s="3">
        <v>0.78472222222222221</v>
      </c>
      <c r="H76" s="3">
        <v>0.78819444444444442</v>
      </c>
      <c r="I76" s="1">
        <v>5</v>
      </c>
      <c r="J76" s="1"/>
      <c r="K76" s="1" t="s">
        <v>18</v>
      </c>
      <c r="L76" s="1" t="s">
        <v>19</v>
      </c>
      <c r="M76" s="1">
        <v>1942</v>
      </c>
    </row>
    <row r="77" spans="1:13" x14ac:dyDescent="0.35">
      <c r="A77" s="1" t="s">
        <v>193</v>
      </c>
      <c r="B77" s="2">
        <v>45929</v>
      </c>
      <c r="C77" s="1" t="s">
        <v>194</v>
      </c>
      <c r="D77" s="1" t="s">
        <v>23</v>
      </c>
      <c r="E77" s="1" t="s">
        <v>15</v>
      </c>
      <c r="F77" s="1" t="s">
        <v>17</v>
      </c>
      <c r="G77" s="3">
        <v>0.84375</v>
      </c>
      <c r="H77" s="3">
        <v>0.84305555555555556</v>
      </c>
      <c r="I77" s="1">
        <v>-1</v>
      </c>
      <c r="J77" s="1">
        <v>2</v>
      </c>
      <c r="K77" s="1" t="s">
        <v>18</v>
      </c>
      <c r="L77" s="1" t="s">
        <v>19</v>
      </c>
      <c r="M77" s="1">
        <v>861</v>
      </c>
    </row>
    <row r="78" spans="1:13" x14ac:dyDescent="0.35">
      <c r="A78" s="1" t="s">
        <v>195</v>
      </c>
      <c r="B78" s="2">
        <v>45930</v>
      </c>
      <c r="C78" s="1" t="s">
        <v>196</v>
      </c>
      <c r="D78" s="1" t="s">
        <v>197</v>
      </c>
      <c r="E78" s="1" t="s">
        <v>37</v>
      </c>
      <c r="F78" s="1" t="s">
        <v>24</v>
      </c>
      <c r="G78" s="3">
        <v>0.2986111111111111</v>
      </c>
      <c r="H78" s="3">
        <v>0.2986111111111111</v>
      </c>
      <c r="I78" s="1">
        <v>0</v>
      </c>
      <c r="J78" s="1">
        <v>-6</v>
      </c>
      <c r="K78" s="1" t="s">
        <v>18</v>
      </c>
      <c r="L78" s="1" t="s">
        <v>19</v>
      </c>
      <c r="M78" s="1">
        <v>2415</v>
      </c>
    </row>
    <row r="79" spans="1:13" x14ac:dyDescent="0.35">
      <c r="A79" s="1" t="s">
        <v>198</v>
      </c>
      <c r="B79" s="2">
        <v>45930</v>
      </c>
      <c r="C79" s="1" t="s">
        <v>199</v>
      </c>
      <c r="D79" s="1" t="s">
        <v>31</v>
      </c>
      <c r="E79" s="1" t="s">
        <v>37</v>
      </c>
      <c r="F79" s="1" t="s">
        <v>17</v>
      </c>
      <c r="G79" s="3">
        <v>0.3888888888888889</v>
      </c>
      <c r="H79" s="3">
        <v>0.38680555555555562</v>
      </c>
      <c r="I79" s="1">
        <v>-3</v>
      </c>
      <c r="J79" s="1">
        <v>-5</v>
      </c>
      <c r="K79" s="1" t="s">
        <v>18</v>
      </c>
      <c r="L79" s="1" t="s">
        <v>19</v>
      </c>
      <c r="M79" s="1">
        <v>867</v>
      </c>
    </row>
    <row r="80" spans="1:13" x14ac:dyDescent="0.35">
      <c r="A80" s="1" t="s">
        <v>200</v>
      </c>
      <c r="B80" s="2">
        <v>45930</v>
      </c>
      <c r="C80" s="1" t="s">
        <v>201</v>
      </c>
      <c r="D80" s="1" t="s">
        <v>78</v>
      </c>
      <c r="E80" s="1" t="s">
        <v>202</v>
      </c>
      <c r="F80" s="1" t="s">
        <v>17</v>
      </c>
      <c r="G80" s="3">
        <v>0.42708333333333331</v>
      </c>
      <c r="H80" s="3">
        <v>0.42986111111111108</v>
      </c>
      <c r="I80" s="1">
        <v>4</v>
      </c>
      <c r="J80" s="1"/>
      <c r="K80" s="1" t="s">
        <v>18</v>
      </c>
      <c r="L80" s="1" t="s">
        <v>19</v>
      </c>
      <c r="M80" s="1">
        <v>1969</v>
      </c>
    </row>
    <row r="81" spans="1:13" x14ac:dyDescent="0.35">
      <c r="A81" s="1" t="s">
        <v>203</v>
      </c>
      <c r="B81" s="2">
        <v>45931</v>
      </c>
      <c r="C81" s="1" t="s">
        <v>122</v>
      </c>
      <c r="D81" s="1" t="s">
        <v>27</v>
      </c>
      <c r="E81" s="1" t="s">
        <v>31</v>
      </c>
      <c r="F81" s="1" t="s">
        <v>17</v>
      </c>
      <c r="G81" s="3">
        <v>0.2986111111111111</v>
      </c>
      <c r="H81" s="3">
        <v>0.30416666666666659</v>
      </c>
      <c r="I81" s="1">
        <v>8</v>
      </c>
      <c r="J81" s="1">
        <v>8</v>
      </c>
      <c r="K81" s="1" t="s">
        <v>18</v>
      </c>
      <c r="L81" s="1" t="s">
        <v>19</v>
      </c>
      <c r="M81" s="1">
        <v>1053</v>
      </c>
    </row>
    <row r="82" spans="1:13" x14ac:dyDescent="0.35">
      <c r="A82" s="1" t="s">
        <v>204</v>
      </c>
      <c r="B82" s="2">
        <v>45931</v>
      </c>
      <c r="C82" s="1" t="s">
        <v>205</v>
      </c>
      <c r="D82" s="1" t="s">
        <v>50</v>
      </c>
      <c r="E82" s="1" t="s">
        <v>41</v>
      </c>
      <c r="F82" s="1" t="s">
        <v>17</v>
      </c>
      <c r="G82" s="3">
        <v>0.31597222222222221</v>
      </c>
      <c r="H82" s="3">
        <v>0.31527777777777782</v>
      </c>
      <c r="I82" s="1">
        <v>-1</v>
      </c>
      <c r="J82" s="1">
        <v>8</v>
      </c>
      <c r="K82" s="1" t="s">
        <v>18</v>
      </c>
      <c r="L82" s="1" t="s">
        <v>19</v>
      </c>
      <c r="M82" s="1">
        <v>596</v>
      </c>
    </row>
    <row r="83" spans="1:13" x14ac:dyDescent="0.35">
      <c r="A83" s="1" t="s">
        <v>206</v>
      </c>
      <c r="B83" s="2">
        <v>45931</v>
      </c>
      <c r="C83" s="1" t="s">
        <v>207</v>
      </c>
      <c r="D83" s="1" t="s">
        <v>31</v>
      </c>
      <c r="E83" s="1" t="s">
        <v>93</v>
      </c>
      <c r="F83" s="1" t="s">
        <v>24</v>
      </c>
      <c r="G83" s="3">
        <v>0.34375</v>
      </c>
      <c r="H83" s="3">
        <v>0.34930555555555548</v>
      </c>
      <c r="I83" s="1">
        <v>8</v>
      </c>
      <c r="J83" s="1">
        <v>10</v>
      </c>
      <c r="K83" s="1" t="s">
        <v>18</v>
      </c>
      <c r="L83" s="1" t="s">
        <v>19</v>
      </c>
      <c r="M83" s="1">
        <v>1511</v>
      </c>
    </row>
    <row r="84" spans="1:13" x14ac:dyDescent="0.35">
      <c r="A84" s="1" t="s">
        <v>208</v>
      </c>
      <c r="B84" s="2">
        <v>45931</v>
      </c>
      <c r="C84" s="1" t="s">
        <v>209</v>
      </c>
      <c r="D84" s="1" t="s">
        <v>78</v>
      </c>
      <c r="E84" s="1" t="s">
        <v>47</v>
      </c>
      <c r="F84" s="1" t="s">
        <v>17</v>
      </c>
      <c r="G84" s="3">
        <v>0.5625</v>
      </c>
      <c r="H84" s="3">
        <v>0.56319444444444444</v>
      </c>
      <c r="I84" s="1">
        <v>1</v>
      </c>
      <c r="J84" s="1">
        <v>0</v>
      </c>
      <c r="K84" s="1" t="s">
        <v>18</v>
      </c>
      <c r="L84" s="1" t="s">
        <v>19</v>
      </c>
      <c r="M84" s="1">
        <v>0</v>
      </c>
    </row>
    <row r="85" spans="1:13" x14ac:dyDescent="0.35">
      <c r="A85" s="1" t="s">
        <v>210</v>
      </c>
      <c r="B85" s="2">
        <v>45931</v>
      </c>
      <c r="C85" s="1" t="s">
        <v>211</v>
      </c>
      <c r="D85" s="1" t="s">
        <v>50</v>
      </c>
      <c r="E85" s="1" t="s">
        <v>23</v>
      </c>
      <c r="F85" s="1" t="s">
        <v>28</v>
      </c>
      <c r="G85" s="3">
        <v>0.58333333333333337</v>
      </c>
      <c r="H85" s="3">
        <v>0.58750000000000002</v>
      </c>
      <c r="I85" s="1">
        <v>6</v>
      </c>
      <c r="J85" s="1">
        <v>7</v>
      </c>
      <c r="K85" s="1" t="s">
        <v>18</v>
      </c>
      <c r="L85" s="1" t="s">
        <v>19</v>
      </c>
      <c r="M85" s="1">
        <v>1197</v>
      </c>
    </row>
    <row r="86" spans="1:13" x14ac:dyDescent="0.35">
      <c r="A86" s="1" t="s">
        <v>212</v>
      </c>
      <c r="B86" s="2">
        <v>45931</v>
      </c>
      <c r="C86" s="1" t="s">
        <v>213</v>
      </c>
      <c r="D86" s="1" t="s">
        <v>16</v>
      </c>
      <c r="E86" s="1" t="s">
        <v>214</v>
      </c>
      <c r="F86" s="1" t="s">
        <v>24</v>
      </c>
      <c r="G86" s="3">
        <v>0.60416666666666663</v>
      </c>
      <c r="H86" s="3">
        <v>0.60277777777777775</v>
      </c>
      <c r="I86" s="1">
        <v>-2</v>
      </c>
      <c r="J86" s="1">
        <v>-6</v>
      </c>
      <c r="K86" s="1" t="s">
        <v>18</v>
      </c>
      <c r="L86" s="1" t="s">
        <v>19</v>
      </c>
      <c r="M86" s="1">
        <v>886</v>
      </c>
    </row>
    <row r="87" spans="1:13" x14ac:dyDescent="0.35">
      <c r="A87" s="1" t="s">
        <v>215</v>
      </c>
      <c r="B87" s="2">
        <v>45931</v>
      </c>
      <c r="C87" s="1" t="s">
        <v>216</v>
      </c>
      <c r="D87" s="1" t="s">
        <v>37</v>
      </c>
      <c r="E87" s="1" t="s">
        <v>41</v>
      </c>
      <c r="F87" s="1" t="s">
        <v>17</v>
      </c>
      <c r="G87" s="3">
        <v>0.74652777777777779</v>
      </c>
      <c r="H87" s="3">
        <v>0.80208333333333337</v>
      </c>
      <c r="I87" s="1">
        <v>80</v>
      </c>
      <c r="J87" s="1">
        <v>85</v>
      </c>
      <c r="K87" s="1" t="s">
        <v>129</v>
      </c>
      <c r="L87" s="1" t="s">
        <v>19</v>
      </c>
      <c r="M87" s="1">
        <v>2722</v>
      </c>
    </row>
    <row r="88" spans="1:13" x14ac:dyDescent="0.35">
      <c r="A88" s="1" t="s">
        <v>217</v>
      </c>
      <c r="B88" s="2">
        <v>45932</v>
      </c>
      <c r="C88" s="1" t="s">
        <v>218</v>
      </c>
      <c r="D88" s="1" t="s">
        <v>44</v>
      </c>
      <c r="E88" s="1" t="s">
        <v>50</v>
      </c>
      <c r="F88" s="1" t="s">
        <v>24</v>
      </c>
      <c r="G88" s="3">
        <v>0.28125</v>
      </c>
      <c r="H88" s="3">
        <v>0.28125</v>
      </c>
      <c r="I88" s="1">
        <v>0</v>
      </c>
      <c r="J88" s="1">
        <v>-9</v>
      </c>
      <c r="K88" s="1" t="s">
        <v>18</v>
      </c>
      <c r="L88" s="1" t="s">
        <v>19</v>
      </c>
      <c r="M88" s="1">
        <v>945</v>
      </c>
    </row>
    <row r="89" spans="1:13" x14ac:dyDescent="0.35">
      <c r="A89" s="1" t="s">
        <v>219</v>
      </c>
      <c r="B89" s="2">
        <v>45932</v>
      </c>
      <c r="C89" s="1" t="s">
        <v>220</v>
      </c>
      <c r="D89" s="1" t="s">
        <v>93</v>
      </c>
      <c r="E89" s="1" t="s">
        <v>221</v>
      </c>
      <c r="F89" s="1" t="s">
        <v>24</v>
      </c>
      <c r="G89" s="3">
        <v>0.60416666666666663</v>
      </c>
      <c r="H89" s="3">
        <v>0.60972222222222228</v>
      </c>
      <c r="I89" s="1">
        <v>8</v>
      </c>
      <c r="J89" s="1">
        <v>5</v>
      </c>
      <c r="K89" s="1"/>
      <c r="L89" s="1" t="s">
        <v>19</v>
      </c>
      <c r="M89" s="1">
        <v>1742</v>
      </c>
    </row>
    <row r="90" spans="1:13" x14ac:dyDescent="0.35">
      <c r="A90" s="1" t="s">
        <v>222</v>
      </c>
      <c r="B90" s="2">
        <v>45932</v>
      </c>
      <c r="C90" s="1" t="s">
        <v>223</v>
      </c>
      <c r="D90" s="1" t="s">
        <v>41</v>
      </c>
      <c r="E90" s="1" t="s">
        <v>37</v>
      </c>
      <c r="F90" s="1" t="s">
        <v>38</v>
      </c>
      <c r="G90" s="3">
        <v>0.76041666666666663</v>
      </c>
      <c r="H90" s="3">
        <v>0.76041666666666663</v>
      </c>
      <c r="I90" s="1">
        <v>0</v>
      </c>
      <c r="J90" s="1">
        <v>1</v>
      </c>
      <c r="K90" s="1" t="s">
        <v>18</v>
      </c>
      <c r="L90" s="1" t="s">
        <v>19</v>
      </c>
      <c r="M90" s="1">
        <v>2722</v>
      </c>
    </row>
    <row r="91" spans="1:13" x14ac:dyDescent="0.35">
      <c r="A91" s="1" t="s">
        <v>224</v>
      </c>
      <c r="B91" s="2">
        <v>45932</v>
      </c>
      <c r="C91" s="1" t="s">
        <v>225</v>
      </c>
      <c r="D91" s="1" t="s">
        <v>226</v>
      </c>
      <c r="E91" s="1" t="s">
        <v>31</v>
      </c>
      <c r="F91" s="1" t="s">
        <v>17</v>
      </c>
      <c r="G91" s="3">
        <v>0.92708333333333337</v>
      </c>
      <c r="H91" s="3">
        <v>0.93541666666666667</v>
      </c>
      <c r="I91" s="1">
        <v>12</v>
      </c>
      <c r="J91" s="1">
        <v>6</v>
      </c>
      <c r="K91" s="1" t="s">
        <v>18</v>
      </c>
      <c r="L91" s="1" t="s">
        <v>19</v>
      </c>
      <c r="M91" s="1">
        <v>627</v>
      </c>
    </row>
    <row r="92" spans="1:13" x14ac:dyDescent="0.35">
      <c r="A92" s="1" t="s">
        <v>227</v>
      </c>
      <c r="B92" s="2">
        <v>45933</v>
      </c>
      <c r="C92" s="1" t="s">
        <v>228</v>
      </c>
      <c r="D92" s="1" t="s">
        <v>15</v>
      </c>
      <c r="E92" s="1" t="s">
        <v>23</v>
      </c>
      <c r="F92" s="1" t="s">
        <v>28</v>
      </c>
      <c r="G92" s="3">
        <v>0.82986111111111116</v>
      </c>
      <c r="H92" s="3">
        <v>0.83611111111111114</v>
      </c>
      <c r="I92" s="1">
        <v>9</v>
      </c>
      <c r="J92" s="1">
        <v>17</v>
      </c>
      <c r="K92" s="1" t="s">
        <v>18</v>
      </c>
      <c r="L92" s="1" t="s">
        <v>19</v>
      </c>
      <c r="M92" s="1">
        <v>861</v>
      </c>
    </row>
    <row r="93" spans="1:13" x14ac:dyDescent="0.35">
      <c r="A93" s="1" t="s">
        <v>229</v>
      </c>
      <c r="B93" s="2">
        <v>45934</v>
      </c>
      <c r="C93" s="1" t="s">
        <v>230</v>
      </c>
      <c r="D93" s="1" t="s">
        <v>15</v>
      </c>
      <c r="E93" s="1" t="s">
        <v>16</v>
      </c>
      <c r="F93" s="1" t="s">
        <v>24</v>
      </c>
      <c r="G93" s="3">
        <v>0.49652777777777779</v>
      </c>
      <c r="H93" s="3">
        <v>0.49305555555555558</v>
      </c>
      <c r="I93" s="1">
        <v>-5</v>
      </c>
      <c r="J93" s="1">
        <v>-8</v>
      </c>
      <c r="K93" s="1" t="s">
        <v>18</v>
      </c>
      <c r="L93" s="1" t="s">
        <v>19</v>
      </c>
      <c r="M93" s="1">
        <v>1742</v>
      </c>
    </row>
    <row r="94" spans="1:13" x14ac:dyDescent="0.35">
      <c r="A94" s="1" t="s">
        <v>231</v>
      </c>
      <c r="B94" s="2">
        <v>45934</v>
      </c>
      <c r="C94" s="1" t="s">
        <v>232</v>
      </c>
      <c r="D94" s="1" t="s">
        <v>15</v>
      </c>
      <c r="E94" s="1" t="s">
        <v>23</v>
      </c>
      <c r="F94" s="1" t="s">
        <v>38</v>
      </c>
      <c r="G94" s="3">
        <v>0.70138888888888884</v>
      </c>
      <c r="H94" s="3">
        <v>0.70208333333333328</v>
      </c>
      <c r="I94" s="1">
        <v>1</v>
      </c>
      <c r="J94" s="1">
        <v>3</v>
      </c>
      <c r="K94" s="1" t="s">
        <v>18</v>
      </c>
      <c r="L94" s="1" t="s">
        <v>19</v>
      </c>
      <c r="M94" s="1">
        <v>861</v>
      </c>
    </row>
    <row r="95" spans="1:13" x14ac:dyDescent="0.35">
      <c r="A95" s="1" t="s">
        <v>233</v>
      </c>
      <c r="B95" s="2">
        <v>45934</v>
      </c>
      <c r="C95" s="1" t="s">
        <v>234</v>
      </c>
      <c r="D95" s="1" t="s">
        <v>37</v>
      </c>
      <c r="E95" s="1" t="s">
        <v>47</v>
      </c>
      <c r="F95" s="1" t="s">
        <v>28</v>
      </c>
      <c r="G95" s="3">
        <v>0.73263888888888884</v>
      </c>
      <c r="H95" s="3">
        <v>0.73124999999999996</v>
      </c>
      <c r="I95" s="1">
        <v>-2</v>
      </c>
      <c r="J95" s="1">
        <v>-7</v>
      </c>
      <c r="K95" s="1" t="s">
        <v>18</v>
      </c>
      <c r="L95" s="1" t="s">
        <v>19</v>
      </c>
      <c r="M95" s="1">
        <v>679</v>
      </c>
    </row>
    <row r="96" spans="1:13" x14ac:dyDescent="0.35">
      <c r="A96" s="1" t="s">
        <v>235</v>
      </c>
      <c r="B96" s="2">
        <v>45935</v>
      </c>
      <c r="C96" s="1" t="s">
        <v>236</v>
      </c>
      <c r="D96" s="1" t="s">
        <v>97</v>
      </c>
      <c r="E96" s="1" t="s">
        <v>44</v>
      </c>
      <c r="F96" s="1" t="s">
        <v>28</v>
      </c>
      <c r="G96" s="3">
        <v>0.75</v>
      </c>
      <c r="H96" s="3">
        <v>0.74652777777777779</v>
      </c>
      <c r="I96" s="1">
        <v>-5</v>
      </c>
      <c r="J96" s="1">
        <v>-13</v>
      </c>
      <c r="K96" s="1"/>
      <c r="L96" s="1" t="s">
        <v>19</v>
      </c>
      <c r="M96" s="1">
        <v>1749</v>
      </c>
    </row>
    <row r="97" spans="1:13" x14ac:dyDescent="0.35">
      <c r="A97" s="1" t="s">
        <v>237</v>
      </c>
      <c r="B97" s="2">
        <v>45935</v>
      </c>
      <c r="C97" s="1" t="s">
        <v>223</v>
      </c>
      <c r="D97" s="1" t="s">
        <v>27</v>
      </c>
      <c r="E97" s="1" t="s">
        <v>47</v>
      </c>
      <c r="F97" s="1" t="s">
        <v>38</v>
      </c>
      <c r="G97" s="3">
        <v>0.85763888888888884</v>
      </c>
      <c r="H97" s="3">
        <v>0.8569444444444444</v>
      </c>
      <c r="I97" s="1">
        <v>-1</v>
      </c>
      <c r="J97" s="1">
        <v>4</v>
      </c>
      <c r="K97" s="1" t="s">
        <v>18</v>
      </c>
      <c r="L97" s="1" t="s">
        <v>19</v>
      </c>
      <c r="M97" s="1">
        <v>1462</v>
      </c>
    </row>
    <row r="98" spans="1:13" x14ac:dyDescent="0.35">
      <c r="A98" s="1" t="s">
        <v>238</v>
      </c>
      <c r="B98" s="2">
        <v>45936</v>
      </c>
      <c r="C98" s="1" t="s">
        <v>239</v>
      </c>
      <c r="D98" s="1" t="s">
        <v>22</v>
      </c>
      <c r="E98" s="1" t="s">
        <v>44</v>
      </c>
      <c r="F98" s="1" t="s">
        <v>17</v>
      </c>
      <c r="G98" s="3">
        <v>0.33680555555555558</v>
      </c>
      <c r="H98" s="3">
        <v>0.34166666666666667</v>
      </c>
      <c r="I98" s="1">
        <v>7</v>
      </c>
      <c r="J98" s="1">
        <v>-2</v>
      </c>
      <c r="K98" s="1" t="s">
        <v>18</v>
      </c>
      <c r="L98" s="1" t="s">
        <v>19</v>
      </c>
      <c r="M98" s="1">
        <v>186</v>
      </c>
    </row>
    <row r="99" spans="1:13" x14ac:dyDescent="0.35">
      <c r="A99" s="1" t="s">
        <v>240</v>
      </c>
      <c r="B99" s="2">
        <v>45936</v>
      </c>
      <c r="C99" s="1" t="s">
        <v>241</v>
      </c>
      <c r="D99" s="1" t="s">
        <v>32</v>
      </c>
      <c r="E99" s="1" t="s">
        <v>23</v>
      </c>
      <c r="F99" s="1" t="s">
        <v>17</v>
      </c>
      <c r="G99" s="3">
        <v>0.47222222222222221</v>
      </c>
      <c r="H99" s="3">
        <v>0.48055555555555562</v>
      </c>
      <c r="I99" s="1">
        <v>12</v>
      </c>
      <c r="J99" s="1">
        <v>19</v>
      </c>
      <c r="K99" s="1" t="s">
        <v>18</v>
      </c>
      <c r="L99" s="1" t="s">
        <v>19</v>
      </c>
      <c r="M99" s="1">
        <v>1622</v>
      </c>
    </row>
    <row r="100" spans="1:13" x14ac:dyDescent="0.35">
      <c r="A100" s="1" t="s">
        <v>242</v>
      </c>
      <c r="B100" s="2">
        <v>45936</v>
      </c>
      <c r="C100" s="1" t="s">
        <v>243</v>
      </c>
      <c r="D100" s="1" t="s">
        <v>23</v>
      </c>
      <c r="E100" s="1" t="s">
        <v>47</v>
      </c>
      <c r="F100" s="1" t="s">
        <v>24</v>
      </c>
      <c r="G100" s="3">
        <v>0.75694444444444442</v>
      </c>
      <c r="H100" s="3">
        <v>0.75416666666666665</v>
      </c>
      <c r="I100" s="1">
        <v>-4</v>
      </c>
      <c r="J100" s="1">
        <v>-3</v>
      </c>
      <c r="K100" s="1" t="s">
        <v>18</v>
      </c>
      <c r="L100" s="1" t="s">
        <v>19</v>
      </c>
      <c r="M100" s="1">
        <v>965</v>
      </c>
    </row>
    <row r="101" spans="1:13" x14ac:dyDescent="0.35">
      <c r="A101" s="1" t="s">
        <v>244</v>
      </c>
      <c r="B101" s="2">
        <v>45936</v>
      </c>
      <c r="C101" s="1" t="s">
        <v>245</v>
      </c>
      <c r="D101" s="1" t="s">
        <v>27</v>
      </c>
      <c r="E101" s="1" t="s">
        <v>31</v>
      </c>
      <c r="F101" s="1" t="s">
        <v>17</v>
      </c>
      <c r="G101" s="3">
        <v>0.86111111111111116</v>
      </c>
      <c r="H101" s="3">
        <v>0.86736111111111114</v>
      </c>
      <c r="I101" s="1">
        <v>9</v>
      </c>
      <c r="J101" s="1">
        <v>5</v>
      </c>
      <c r="K101" s="1"/>
      <c r="L101" s="1" t="s">
        <v>19</v>
      </c>
      <c r="M101" s="1">
        <v>1053</v>
      </c>
    </row>
    <row r="102" spans="1:13" x14ac:dyDescent="0.35">
      <c r="A102" s="1" t="s">
        <v>246</v>
      </c>
      <c r="B102" s="2">
        <v>45937</v>
      </c>
      <c r="C102" s="1" t="s">
        <v>247</v>
      </c>
      <c r="D102" s="1" t="s">
        <v>50</v>
      </c>
      <c r="E102" s="1" t="s">
        <v>16</v>
      </c>
      <c r="F102" s="1" t="s">
        <v>28</v>
      </c>
      <c r="G102" s="3">
        <v>0.4513888888888889</v>
      </c>
      <c r="H102" s="3">
        <v>0.45694444444444438</v>
      </c>
      <c r="I102" s="1">
        <v>8</v>
      </c>
      <c r="J102" s="1">
        <v>9</v>
      </c>
      <c r="K102" s="1"/>
      <c r="L102" s="1" t="s">
        <v>19</v>
      </c>
      <c r="M102" s="1">
        <v>606</v>
      </c>
    </row>
    <row r="103" spans="1:13" x14ac:dyDescent="0.35">
      <c r="A103" s="1" t="s">
        <v>248</v>
      </c>
      <c r="B103" s="2">
        <v>45937</v>
      </c>
      <c r="C103" s="1" t="s">
        <v>249</v>
      </c>
      <c r="D103" s="1" t="s">
        <v>41</v>
      </c>
      <c r="E103" s="1" t="s">
        <v>16</v>
      </c>
      <c r="F103" s="1" t="s">
        <v>24</v>
      </c>
      <c r="G103" s="3">
        <v>0.60763888888888884</v>
      </c>
      <c r="H103" s="3">
        <v>0.60486111111111107</v>
      </c>
      <c r="I103" s="1">
        <v>-4</v>
      </c>
      <c r="J103" s="1">
        <v>-16</v>
      </c>
      <c r="K103" s="1" t="s">
        <v>18</v>
      </c>
      <c r="L103" s="1" t="s">
        <v>19</v>
      </c>
      <c r="M103" s="1">
        <v>1199</v>
      </c>
    </row>
    <row r="104" spans="1:13" x14ac:dyDescent="0.35">
      <c r="A104" s="1" t="s">
        <v>250</v>
      </c>
      <c r="B104" s="2">
        <v>45937</v>
      </c>
      <c r="C104" s="1" t="s">
        <v>251</v>
      </c>
      <c r="D104" s="1" t="s">
        <v>59</v>
      </c>
      <c r="E104" s="1" t="s">
        <v>22</v>
      </c>
      <c r="F104" s="1" t="s">
        <v>17</v>
      </c>
      <c r="G104" s="3">
        <v>0.64583333333333337</v>
      </c>
      <c r="H104" s="3">
        <v>0.6791666666666667</v>
      </c>
      <c r="I104" s="1">
        <v>48</v>
      </c>
      <c r="J104" s="1">
        <v>34</v>
      </c>
      <c r="K104" s="1" t="s">
        <v>60</v>
      </c>
      <c r="L104" s="1" t="s">
        <v>19</v>
      </c>
      <c r="M104" s="1">
        <v>759</v>
      </c>
    </row>
    <row r="105" spans="1:13" x14ac:dyDescent="0.35">
      <c r="A105" s="1" t="s">
        <v>252</v>
      </c>
      <c r="B105" s="2">
        <v>45937</v>
      </c>
      <c r="C105" s="1" t="s">
        <v>253</v>
      </c>
      <c r="D105" s="1" t="s">
        <v>23</v>
      </c>
      <c r="E105" s="1" t="s">
        <v>15</v>
      </c>
      <c r="F105" s="1" t="s">
        <v>28</v>
      </c>
      <c r="G105" s="3">
        <v>0.82986111111111116</v>
      </c>
      <c r="H105" s="1"/>
      <c r="I105" s="1"/>
      <c r="J105" s="1"/>
      <c r="K105" s="1" t="s">
        <v>129</v>
      </c>
      <c r="L105" s="1" t="s">
        <v>254</v>
      </c>
      <c r="M105" s="1">
        <v>861</v>
      </c>
    </row>
    <row r="106" spans="1:13" x14ac:dyDescent="0.35">
      <c r="A106" s="1" t="s">
        <v>255</v>
      </c>
      <c r="B106" s="2">
        <v>45937</v>
      </c>
      <c r="C106" s="1" t="s">
        <v>256</v>
      </c>
      <c r="D106" s="1" t="s">
        <v>37</v>
      </c>
      <c r="E106" s="1" t="s">
        <v>50</v>
      </c>
      <c r="F106" s="1" t="s">
        <v>28</v>
      </c>
      <c r="G106" s="3">
        <v>0.94791666666666663</v>
      </c>
      <c r="H106" s="3">
        <v>0.95486111111111116</v>
      </c>
      <c r="I106" s="1">
        <v>10</v>
      </c>
      <c r="J106" s="1">
        <v>6</v>
      </c>
      <c r="K106" s="1" t="s">
        <v>18</v>
      </c>
      <c r="L106" s="1" t="s">
        <v>19</v>
      </c>
      <c r="M106" s="1">
        <v>2178</v>
      </c>
    </row>
    <row r="107" spans="1:13" x14ac:dyDescent="0.35">
      <c r="A107" s="1" t="s">
        <v>257</v>
      </c>
      <c r="B107" s="2">
        <v>45938</v>
      </c>
      <c r="C107" s="1" t="s">
        <v>258</v>
      </c>
      <c r="D107" s="1" t="s">
        <v>27</v>
      </c>
      <c r="E107" s="1" t="s">
        <v>41</v>
      </c>
      <c r="F107" s="1" t="s">
        <v>28</v>
      </c>
      <c r="G107" s="3">
        <v>0.44097222222222221</v>
      </c>
      <c r="H107" s="3">
        <v>0.44583333333333341</v>
      </c>
      <c r="I107" s="1">
        <v>7</v>
      </c>
      <c r="J107" s="1">
        <v>-1</v>
      </c>
      <c r="K107" s="1"/>
      <c r="L107" s="1" t="s">
        <v>19</v>
      </c>
      <c r="M107" s="1">
        <v>1120</v>
      </c>
    </row>
    <row r="108" spans="1:13" x14ac:dyDescent="0.35">
      <c r="A108" s="1" t="s">
        <v>259</v>
      </c>
      <c r="B108" s="2">
        <v>45938</v>
      </c>
      <c r="C108" s="1" t="s">
        <v>260</v>
      </c>
      <c r="D108" s="1" t="s">
        <v>22</v>
      </c>
      <c r="E108" s="1" t="s">
        <v>41</v>
      </c>
      <c r="F108" s="1" t="s">
        <v>24</v>
      </c>
      <c r="G108" s="3">
        <v>0.77430555555555558</v>
      </c>
      <c r="H108" s="3">
        <v>0.78055555555555556</v>
      </c>
      <c r="I108" s="1">
        <v>9</v>
      </c>
      <c r="J108" s="1">
        <v>11</v>
      </c>
      <c r="K108" s="1"/>
      <c r="L108" s="1" t="s">
        <v>19</v>
      </c>
      <c r="M108" s="1">
        <v>1092</v>
      </c>
    </row>
    <row r="109" spans="1:13" x14ac:dyDescent="0.35">
      <c r="A109" s="1" t="s">
        <v>261</v>
      </c>
      <c r="B109" s="2">
        <v>45939</v>
      </c>
      <c r="C109" s="1" t="s">
        <v>262</v>
      </c>
      <c r="D109" s="1" t="s">
        <v>22</v>
      </c>
      <c r="E109" s="1" t="s">
        <v>50</v>
      </c>
      <c r="F109" s="1" t="s">
        <v>24</v>
      </c>
      <c r="G109" s="3">
        <v>0.21180555555555561</v>
      </c>
      <c r="H109" s="3">
        <v>0.23958333333333329</v>
      </c>
      <c r="I109" s="1">
        <v>40</v>
      </c>
      <c r="J109" s="1">
        <v>30</v>
      </c>
      <c r="K109" s="1" t="s">
        <v>263</v>
      </c>
      <c r="L109" s="1" t="s">
        <v>19</v>
      </c>
      <c r="M109" s="1">
        <v>759</v>
      </c>
    </row>
    <row r="110" spans="1:13" x14ac:dyDescent="0.35">
      <c r="A110" s="1" t="s">
        <v>264</v>
      </c>
      <c r="B110" s="2">
        <v>45939</v>
      </c>
      <c r="C110" s="1" t="s">
        <v>265</v>
      </c>
      <c r="D110" s="1" t="s">
        <v>44</v>
      </c>
      <c r="E110" s="1" t="s">
        <v>50</v>
      </c>
      <c r="F110" s="1" t="s">
        <v>28</v>
      </c>
      <c r="G110" s="3">
        <v>0.40625</v>
      </c>
      <c r="H110" s="3">
        <v>0.40069444444444452</v>
      </c>
      <c r="I110" s="1">
        <v>-8</v>
      </c>
      <c r="J110" s="1">
        <v>-13</v>
      </c>
      <c r="K110" s="1" t="s">
        <v>18</v>
      </c>
      <c r="L110" s="1" t="s">
        <v>19</v>
      </c>
      <c r="M110" s="1">
        <v>945</v>
      </c>
    </row>
    <row r="111" spans="1:13" x14ac:dyDescent="0.35">
      <c r="A111" s="1" t="s">
        <v>266</v>
      </c>
      <c r="B111" s="2">
        <v>45939</v>
      </c>
      <c r="C111" s="1" t="s">
        <v>267</v>
      </c>
      <c r="D111" s="1" t="s">
        <v>16</v>
      </c>
      <c r="E111" s="1" t="s">
        <v>27</v>
      </c>
      <c r="F111" s="1" t="s">
        <v>24</v>
      </c>
      <c r="G111" s="3">
        <v>0.42708333333333331</v>
      </c>
      <c r="H111" s="3">
        <v>0.42777777777777781</v>
      </c>
      <c r="I111" s="1">
        <v>1</v>
      </c>
      <c r="J111" s="1">
        <v>-8</v>
      </c>
      <c r="K111" s="1" t="s">
        <v>18</v>
      </c>
      <c r="L111" s="1" t="s">
        <v>19</v>
      </c>
      <c r="M111" s="1">
        <v>802</v>
      </c>
    </row>
    <row r="112" spans="1:13" x14ac:dyDescent="0.35">
      <c r="A112" s="1" t="s">
        <v>268</v>
      </c>
      <c r="B112" s="2">
        <v>45939</v>
      </c>
      <c r="C112" s="1" t="s">
        <v>269</v>
      </c>
      <c r="D112" s="1" t="s">
        <v>22</v>
      </c>
      <c r="E112" s="1" t="s">
        <v>16</v>
      </c>
      <c r="F112" s="1" t="s">
        <v>17</v>
      </c>
      <c r="G112" s="3">
        <v>0.66666666666666663</v>
      </c>
      <c r="H112" s="3">
        <v>0.67222222222222228</v>
      </c>
      <c r="I112" s="1">
        <v>8</v>
      </c>
      <c r="J112" s="1">
        <v>10</v>
      </c>
      <c r="K112" s="1" t="s">
        <v>18</v>
      </c>
      <c r="L112" s="1" t="s">
        <v>19</v>
      </c>
      <c r="M112" s="1">
        <v>738</v>
      </c>
    </row>
    <row r="113" spans="1:13" x14ac:dyDescent="0.35">
      <c r="A113" s="1" t="s">
        <v>270</v>
      </c>
      <c r="B113" s="2">
        <v>45940</v>
      </c>
      <c r="C113" s="1" t="s">
        <v>271</v>
      </c>
      <c r="D113" s="1" t="s">
        <v>16</v>
      </c>
      <c r="E113" s="1" t="s">
        <v>27</v>
      </c>
      <c r="F113" s="1" t="s">
        <v>28</v>
      </c>
      <c r="G113" s="3">
        <v>0.53819444444444442</v>
      </c>
      <c r="H113" s="1"/>
      <c r="I113" s="1">
        <v>-8</v>
      </c>
      <c r="J113" s="1">
        <v>-14</v>
      </c>
      <c r="K113" s="1" t="s">
        <v>18</v>
      </c>
      <c r="L113" s="1" t="s">
        <v>19</v>
      </c>
      <c r="M113" s="1">
        <v>802</v>
      </c>
    </row>
    <row r="114" spans="1:13" x14ac:dyDescent="0.35">
      <c r="A114" s="1" t="s">
        <v>272</v>
      </c>
      <c r="B114" s="2">
        <v>45940</v>
      </c>
      <c r="C114" s="1" t="s">
        <v>273</v>
      </c>
      <c r="D114" s="1" t="s">
        <v>23</v>
      </c>
      <c r="E114" s="1" t="s">
        <v>15</v>
      </c>
      <c r="F114" s="1" t="s">
        <v>17</v>
      </c>
      <c r="G114" s="3">
        <v>0.875</v>
      </c>
      <c r="H114" s="3">
        <v>0.87430555555555556</v>
      </c>
      <c r="I114" s="1">
        <v>-1</v>
      </c>
      <c r="J114" s="1">
        <v>7</v>
      </c>
      <c r="K114" s="1" t="s">
        <v>18</v>
      </c>
      <c r="L114" s="1" t="s">
        <v>19</v>
      </c>
      <c r="M114" s="1">
        <v>861</v>
      </c>
    </row>
    <row r="115" spans="1:13" x14ac:dyDescent="0.35">
      <c r="A115" s="1" t="s">
        <v>274</v>
      </c>
      <c r="B115" s="2">
        <v>45940</v>
      </c>
      <c r="C115" s="1" t="s">
        <v>275</v>
      </c>
      <c r="D115" s="1" t="s">
        <v>44</v>
      </c>
      <c r="E115" s="1" t="s">
        <v>27</v>
      </c>
      <c r="F115" s="1" t="s">
        <v>38</v>
      </c>
      <c r="G115" s="3">
        <v>0.91319444444444442</v>
      </c>
      <c r="H115" s="3">
        <v>0.97361111111111109</v>
      </c>
      <c r="I115" s="1">
        <v>87</v>
      </c>
      <c r="J115" s="1">
        <v>95</v>
      </c>
      <c r="K115" s="1" t="s">
        <v>276</v>
      </c>
      <c r="L115" s="1" t="s">
        <v>19</v>
      </c>
      <c r="M115" s="1">
        <v>1559</v>
      </c>
    </row>
    <row r="116" spans="1:13" x14ac:dyDescent="0.35">
      <c r="A116" s="1" t="s">
        <v>277</v>
      </c>
      <c r="B116" s="2">
        <v>45941</v>
      </c>
      <c r="C116" s="1" t="s">
        <v>278</v>
      </c>
      <c r="D116" s="1" t="s">
        <v>16</v>
      </c>
      <c r="E116" s="1" t="s">
        <v>27</v>
      </c>
      <c r="F116" s="1" t="s">
        <v>24</v>
      </c>
      <c r="G116" s="3">
        <v>0.41319444444444442</v>
      </c>
      <c r="H116" s="3">
        <v>0.41319444444444442</v>
      </c>
      <c r="I116" s="1">
        <v>0</v>
      </c>
      <c r="J116" s="1">
        <v>-4</v>
      </c>
      <c r="K116" s="1" t="s">
        <v>18</v>
      </c>
      <c r="L116" s="1" t="s">
        <v>19</v>
      </c>
      <c r="M116" s="1">
        <v>802</v>
      </c>
    </row>
    <row r="117" spans="1:13" x14ac:dyDescent="0.35">
      <c r="A117" s="1" t="s">
        <v>279</v>
      </c>
      <c r="B117" s="2">
        <v>45941</v>
      </c>
      <c r="C117" s="1" t="s">
        <v>280</v>
      </c>
      <c r="D117" s="1" t="s">
        <v>16</v>
      </c>
      <c r="E117" s="1" t="s">
        <v>15</v>
      </c>
      <c r="F117" s="1" t="s">
        <v>17</v>
      </c>
      <c r="G117" s="3">
        <v>0.44444444444444442</v>
      </c>
      <c r="H117" s="3">
        <v>0.44444444444444442</v>
      </c>
      <c r="I117" s="1">
        <v>0</v>
      </c>
      <c r="J117" s="1">
        <v>2</v>
      </c>
      <c r="K117" s="1" t="s">
        <v>18</v>
      </c>
      <c r="L117" s="1" t="s">
        <v>19</v>
      </c>
      <c r="M117" s="1">
        <v>1742</v>
      </c>
    </row>
    <row r="118" spans="1:13" x14ac:dyDescent="0.35">
      <c r="A118" s="1" t="s">
        <v>281</v>
      </c>
      <c r="B118" s="2">
        <v>45941</v>
      </c>
      <c r="C118" s="1" t="s">
        <v>282</v>
      </c>
      <c r="D118" s="1" t="s">
        <v>50</v>
      </c>
      <c r="E118" s="1" t="s">
        <v>31</v>
      </c>
      <c r="F118" s="1" t="s">
        <v>24</v>
      </c>
      <c r="G118" s="3">
        <v>0.57638888888888884</v>
      </c>
      <c r="H118" s="3">
        <v>0.63472222222222219</v>
      </c>
      <c r="I118" s="1">
        <v>84</v>
      </c>
      <c r="J118" s="1">
        <v>84</v>
      </c>
      <c r="K118" s="1" t="s">
        <v>129</v>
      </c>
      <c r="L118" s="1" t="s">
        <v>19</v>
      </c>
      <c r="M118" s="1">
        <v>1743</v>
      </c>
    </row>
    <row r="119" spans="1:13" x14ac:dyDescent="0.35">
      <c r="A119" s="1" t="s">
        <v>283</v>
      </c>
      <c r="B119" s="2">
        <v>45941</v>
      </c>
      <c r="C119" s="1" t="s">
        <v>284</v>
      </c>
      <c r="D119" s="1" t="s">
        <v>44</v>
      </c>
      <c r="E119" s="1" t="s">
        <v>50</v>
      </c>
      <c r="F119" s="1" t="s">
        <v>28</v>
      </c>
      <c r="G119" s="3">
        <v>0.70486111111111116</v>
      </c>
      <c r="H119" s="3">
        <v>0.70694444444444449</v>
      </c>
      <c r="I119" s="1">
        <v>3</v>
      </c>
      <c r="J119" s="1">
        <v>-6</v>
      </c>
      <c r="K119" s="1" t="s">
        <v>18</v>
      </c>
      <c r="L119" s="1" t="s">
        <v>19</v>
      </c>
      <c r="M119" s="1">
        <v>945</v>
      </c>
    </row>
    <row r="120" spans="1:13" x14ac:dyDescent="0.35">
      <c r="A120" s="1" t="s">
        <v>285</v>
      </c>
      <c r="B120" s="2">
        <v>45942</v>
      </c>
      <c r="C120" s="1" t="s">
        <v>286</v>
      </c>
      <c r="D120" s="1" t="s">
        <v>37</v>
      </c>
      <c r="E120" s="1" t="s">
        <v>41</v>
      </c>
      <c r="F120" s="1" t="s">
        <v>17</v>
      </c>
      <c r="G120" s="3">
        <v>0.31597222222222221</v>
      </c>
      <c r="H120" s="3">
        <v>0.31388888888888888</v>
      </c>
      <c r="I120" s="1">
        <v>-3</v>
      </c>
      <c r="J120" s="1">
        <v>-2</v>
      </c>
      <c r="K120" s="1" t="s">
        <v>18</v>
      </c>
      <c r="L120" s="1" t="s">
        <v>19</v>
      </c>
      <c r="M120" s="1">
        <v>2722</v>
      </c>
    </row>
    <row r="121" spans="1:13" x14ac:dyDescent="0.35">
      <c r="A121" s="1" t="s">
        <v>287</v>
      </c>
      <c r="B121" s="2">
        <v>45942</v>
      </c>
      <c r="C121" s="1" t="s">
        <v>288</v>
      </c>
      <c r="D121" s="1" t="s">
        <v>22</v>
      </c>
      <c r="E121" s="1" t="s">
        <v>16</v>
      </c>
      <c r="F121" s="1" t="s">
        <v>17</v>
      </c>
      <c r="G121" s="3">
        <v>0.38541666666666669</v>
      </c>
      <c r="H121" s="3">
        <v>0.3923611111111111</v>
      </c>
      <c r="I121" s="1">
        <v>10</v>
      </c>
      <c r="J121" s="1">
        <v>6</v>
      </c>
      <c r="K121" s="1" t="s">
        <v>18</v>
      </c>
      <c r="L121" s="1" t="s">
        <v>19</v>
      </c>
      <c r="M121" s="1">
        <v>738</v>
      </c>
    </row>
    <row r="122" spans="1:13" x14ac:dyDescent="0.35">
      <c r="A122" s="1" t="s">
        <v>289</v>
      </c>
      <c r="B122" s="2">
        <v>45942</v>
      </c>
      <c r="C122" s="1" t="s">
        <v>290</v>
      </c>
      <c r="D122" s="1" t="s">
        <v>41</v>
      </c>
      <c r="E122" s="1" t="s">
        <v>44</v>
      </c>
      <c r="F122" s="1" t="s">
        <v>24</v>
      </c>
      <c r="G122" s="3">
        <v>0.59375</v>
      </c>
      <c r="H122" s="3">
        <v>0.59722222222222221</v>
      </c>
      <c r="I122" s="1">
        <v>5</v>
      </c>
      <c r="J122" s="1">
        <v>-4</v>
      </c>
      <c r="K122" s="1" t="s">
        <v>18</v>
      </c>
      <c r="L122" s="1" t="s">
        <v>19</v>
      </c>
      <c r="M122" s="1">
        <v>1260</v>
      </c>
    </row>
    <row r="123" spans="1:13" x14ac:dyDescent="0.35">
      <c r="A123" s="1" t="s">
        <v>291</v>
      </c>
      <c r="B123" s="2">
        <v>45942</v>
      </c>
      <c r="C123" s="1" t="s">
        <v>292</v>
      </c>
      <c r="D123" s="1" t="s">
        <v>16</v>
      </c>
      <c r="E123" s="1" t="s">
        <v>23</v>
      </c>
      <c r="F123" s="1" t="s">
        <v>24</v>
      </c>
      <c r="G123" s="3">
        <v>0.61111111111111116</v>
      </c>
      <c r="H123" s="3">
        <v>0.61805555555555558</v>
      </c>
      <c r="I123" s="1">
        <v>10</v>
      </c>
      <c r="J123" s="1">
        <v>-2</v>
      </c>
      <c r="K123" s="1" t="s">
        <v>18</v>
      </c>
      <c r="L123" s="1" t="s">
        <v>19</v>
      </c>
      <c r="M123" s="1">
        <v>886</v>
      </c>
    </row>
    <row r="124" spans="1:13" x14ac:dyDescent="0.35">
      <c r="A124" s="1" t="s">
        <v>293</v>
      </c>
      <c r="B124" s="2">
        <v>45942</v>
      </c>
      <c r="C124" s="1" t="s">
        <v>294</v>
      </c>
      <c r="D124" s="1" t="s">
        <v>51</v>
      </c>
      <c r="E124" s="1" t="s">
        <v>23</v>
      </c>
      <c r="F124" s="1" t="s">
        <v>38</v>
      </c>
      <c r="G124" s="3">
        <v>0.80555555555555558</v>
      </c>
      <c r="H124" s="3">
        <v>0.80347222222222225</v>
      </c>
      <c r="I124" s="1">
        <v>-3</v>
      </c>
      <c r="J124" s="1">
        <v>0</v>
      </c>
      <c r="K124" s="1" t="s">
        <v>18</v>
      </c>
      <c r="L124" s="1" t="s">
        <v>19</v>
      </c>
      <c r="M124" s="1">
        <v>641</v>
      </c>
    </row>
    <row r="125" spans="1:13" x14ac:dyDescent="0.35">
      <c r="A125" s="1" t="s">
        <v>295</v>
      </c>
      <c r="B125" s="2">
        <v>45942</v>
      </c>
      <c r="C125" s="1" t="s">
        <v>296</v>
      </c>
      <c r="D125" s="1" t="s">
        <v>15</v>
      </c>
      <c r="E125" s="1" t="s">
        <v>23</v>
      </c>
      <c r="F125" s="1" t="s">
        <v>17</v>
      </c>
      <c r="G125" s="3">
        <v>0.88541666666666663</v>
      </c>
      <c r="H125" s="3">
        <v>0.88402777777777775</v>
      </c>
      <c r="I125" s="1">
        <v>-2</v>
      </c>
      <c r="J125" s="1">
        <v>-10</v>
      </c>
      <c r="K125" s="1"/>
      <c r="L125" s="1" t="s">
        <v>19</v>
      </c>
      <c r="M125" s="1">
        <v>861</v>
      </c>
    </row>
    <row r="126" spans="1:13" x14ac:dyDescent="0.35">
      <c r="A126" s="1" t="s">
        <v>297</v>
      </c>
      <c r="B126" s="2">
        <v>45943</v>
      </c>
      <c r="C126" s="1" t="s">
        <v>298</v>
      </c>
      <c r="D126" s="1" t="s">
        <v>15</v>
      </c>
      <c r="E126" s="1" t="s">
        <v>27</v>
      </c>
      <c r="F126" s="1" t="s">
        <v>17</v>
      </c>
      <c r="G126" s="3">
        <v>0.2638888888888889</v>
      </c>
      <c r="H126" s="3">
        <v>0.27013888888888887</v>
      </c>
      <c r="I126" s="1">
        <v>9</v>
      </c>
      <c r="J126" s="1">
        <v>4</v>
      </c>
      <c r="K126" s="1" t="s">
        <v>18</v>
      </c>
      <c r="L126" s="1" t="s">
        <v>19</v>
      </c>
      <c r="M126" s="1">
        <v>1232</v>
      </c>
    </row>
    <row r="127" spans="1:13" x14ac:dyDescent="0.35">
      <c r="A127" s="1" t="s">
        <v>299</v>
      </c>
      <c r="B127" s="2">
        <v>45943</v>
      </c>
      <c r="C127" s="1" t="s">
        <v>300</v>
      </c>
      <c r="D127" s="1" t="s">
        <v>47</v>
      </c>
      <c r="E127" s="1" t="s">
        <v>50</v>
      </c>
      <c r="F127" s="1" t="s">
        <v>28</v>
      </c>
      <c r="G127" s="3">
        <v>0.35069444444444442</v>
      </c>
      <c r="H127" s="3">
        <v>0.37083333333333329</v>
      </c>
      <c r="I127" s="1">
        <v>29</v>
      </c>
      <c r="J127" s="1">
        <v>14</v>
      </c>
      <c r="K127" s="1" t="s">
        <v>60</v>
      </c>
      <c r="L127" s="1" t="s">
        <v>19</v>
      </c>
      <c r="M127" s="1">
        <v>2134</v>
      </c>
    </row>
    <row r="128" spans="1:13" x14ac:dyDescent="0.35">
      <c r="A128" s="1" t="s">
        <v>301</v>
      </c>
      <c r="B128" s="2">
        <v>45943</v>
      </c>
      <c r="C128" s="1" t="s">
        <v>302</v>
      </c>
      <c r="D128" s="1" t="s">
        <v>50</v>
      </c>
      <c r="E128" s="1" t="s">
        <v>22</v>
      </c>
      <c r="F128" s="1" t="s">
        <v>28</v>
      </c>
      <c r="G128" s="3">
        <v>0.41319444444444442</v>
      </c>
      <c r="H128" s="3">
        <v>0.42986111111111108</v>
      </c>
      <c r="I128" s="1">
        <v>24</v>
      </c>
      <c r="J128" s="1">
        <v>24</v>
      </c>
      <c r="K128" s="1" t="s">
        <v>303</v>
      </c>
      <c r="L128" s="1" t="s">
        <v>19</v>
      </c>
      <c r="M128" s="1">
        <v>759</v>
      </c>
    </row>
    <row r="129" spans="1:13" x14ac:dyDescent="0.35">
      <c r="A129" s="1" t="s">
        <v>304</v>
      </c>
      <c r="B129" s="2">
        <v>45943</v>
      </c>
      <c r="C129" s="1" t="s">
        <v>305</v>
      </c>
      <c r="D129" s="1" t="s">
        <v>41</v>
      </c>
      <c r="E129" s="1" t="s">
        <v>16</v>
      </c>
      <c r="F129" s="1" t="s">
        <v>17</v>
      </c>
      <c r="G129" s="3">
        <v>0.50347222222222221</v>
      </c>
      <c r="H129" s="3">
        <v>0.50486111111111109</v>
      </c>
      <c r="I129" s="1">
        <v>2</v>
      </c>
      <c r="J129" s="1">
        <v>1</v>
      </c>
      <c r="K129" s="1"/>
      <c r="L129" s="1" t="s">
        <v>19</v>
      </c>
      <c r="M129" s="1">
        <v>1199</v>
      </c>
    </row>
    <row r="130" spans="1:13" x14ac:dyDescent="0.35">
      <c r="A130" s="1" t="s">
        <v>306</v>
      </c>
      <c r="B130" s="2">
        <v>45943</v>
      </c>
      <c r="C130" s="1" t="s">
        <v>307</v>
      </c>
      <c r="D130" s="1" t="s">
        <v>22</v>
      </c>
      <c r="E130" s="1" t="s">
        <v>41</v>
      </c>
      <c r="F130" s="1" t="s">
        <v>28</v>
      </c>
      <c r="G130" s="3">
        <v>0.77430555555555558</v>
      </c>
      <c r="H130" s="3">
        <v>0.77361111111111114</v>
      </c>
      <c r="I130" s="1">
        <v>-1</v>
      </c>
      <c r="J130" s="1">
        <v>8</v>
      </c>
      <c r="K130" s="1" t="s">
        <v>18</v>
      </c>
      <c r="L130" s="1" t="s">
        <v>19</v>
      </c>
      <c r="M130" s="1">
        <v>1092</v>
      </c>
    </row>
    <row r="131" spans="1:13" x14ac:dyDescent="0.35">
      <c r="A131" s="1" t="s">
        <v>308</v>
      </c>
      <c r="B131" s="2">
        <v>45944</v>
      </c>
      <c r="C131" s="1" t="s">
        <v>309</v>
      </c>
      <c r="D131" s="1" t="s">
        <v>27</v>
      </c>
      <c r="E131" s="1" t="s">
        <v>50</v>
      </c>
      <c r="F131" s="1" t="s">
        <v>17</v>
      </c>
      <c r="G131" s="3">
        <v>0.3298611111111111</v>
      </c>
      <c r="H131" s="3">
        <v>0.32916666666666672</v>
      </c>
      <c r="I131" s="1">
        <v>-1</v>
      </c>
      <c r="J131" s="1">
        <v>1</v>
      </c>
      <c r="K131" s="1" t="s">
        <v>18</v>
      </c>
      <c r="L131" s="1" t="s">
        <v>19</v>
      </c>
      <c r="M131" s="1">
        <v>730</v>
      </c>
    </row>
    <row r="132" spans="1:13" x14ac:dyDescent="0.35">
      <c r="A132" s="1" t="s">
        <v>310</v>
      </c>
      <c r="B132" s="2">
        <v>45944</v>
      </c>
      <c r="C132" s="1" t="s">
        <v>205</v>
      </c>
      <c r="D132" s="1" t="s">
        <v>15</v>
      </c>
      <c r="E132" s="1" t="s">
        <v>41</v>
      </c>
      <c r="F132" s="1" t="s">
        <v>28</v>
      </c>
      <c r="G132" s="3">
        <v>0.40972222222222221</v>
      </c>
      <c r="H132" s="3">
        <v>0.41736111111111113</v>
      </c>
      <c r="I132" s="1">
        <v>11</v>
      </c>
      <c r="J132" s="1">
        <v>13</v>
      </c>
      <c r="K132" s="1" t="s">
        <v>18</v>
      </c>
      <c r="L132" s="1" t="s">
        <v>19</v>
      </c>
      <c r="M132" s="1">
        <v>2338</v>
      </c>
    </row>
    <row r="133" spans="1:13" x14ac:dyDescent="0.35">
      <c r="A133" s="1" t="s">
        <v>311</v>
      </c>
      <c r="B133" s="2">
        <v>45944</v>
      </c>
      <c r="C133" s="1" t="s">
        <v>312</v>
      </c>
      <c r="D133" s="1" t="s">
        <v>15</v>
      </c>
      <c r="E133" s="1" t="s">
        <v>22</v>
      </c>
      <c r="F133" s="1" t="s">
        <v>17</v>
      </c>
      <c r="G133" s="3">
        <v>0.76388888888888884</v>
      </c>
      <c r="H133" s="3">
        <v>0.77708333333333335</v>
      </c>
      <c r="I133" s="1">
        <v>19</v>
      </c>
      <c r="J133" s="1">
        <v>20</v>
      </c>
      <c r="K133" s="1" t="s">
        <v>129</v>
      </c>
      <c r="L133" s="1" t="s">
        <v>19</v>
      </c>
      <c r="M133" s="1">
        <v>2470</v>
      </c>
    </row>
    <row r="134" spans="1:13" x14ac:dyDescent="0.35">
      <c r="A134" s="1" t="s">
        <v>313</v>
      </c>
      <c r="B134" s="2">
        <v>45945</v>
      </c>
      <c r="C134" s="1" t="s">
        <v>314</v>
      </c>
      <c r="D134" s="1" t="s">
        <v>31</v>
      </c>
      <c r="E134" s="1" t="s">
        <v>78</v>
      </c>
      <c r="F134" s="1" t="s">
        <v>17</v>
      </c>
      <c r="G134" s="3">
        <v>0.41666666666666669</v>
      </c>
      <c r="H134" s="3">
        <v>0.42083333333333328</v>
      </c>
      <c r="I134" s="1">
        <v>6</v>
      </c>
      <c r="J134" s="1">
        <v>-5</v>
      </c>
      <c r="K134" s="1" t="s">
        <v>18</v>
      </c>
      <c r="L134" s="1" t="s">
        <v>19</v>
      </c>
      <c r="M134" s="1">
        <v>256</v>
      </c>
    </row>
    <row r="135" spans="1:13" x14ac:dyDescent="0.35">
      <c r="A135" s="1" t="s">
        <v>315</v>
      </c>
      <c r="B135" s="2">
        <v>45945</v>
      </c>
      <c r="C135" s="1" t="s">
        <v>316</v>
      </c>
      <c r="D135" s="1" t="s">
        <v>27</v>
      </c>
      <c r="E135" s="1" t="s">
        <v>44</v>
      </c>
      <c r="F135" s="1" t="s">
        <v>17</v>
      </c>
      <c r="G135" s="3">
        <v>0.4375</v>
      </c>
      <c r="H135" s="3">
        <v>0.44444444444444442</v>
      </c>
      <c r="I135" s="1">
        <v>10</v>
      </c>
      <c r="J135" s="1">
        <v>11</v>
      </c>
      <c r="K135" s="1" t="s">
        <v>18</v>
      </c>
      <c r="L135" s="1" t="s">
        <v>19</v>
      </c>
      <c r="M135" s="1">
        <v>1559</v>
      </c>
    </row>
    <row r="136" spans="1:13" x14ac:dyDescent="0.35">
      <c r="A136" s="1" t="s">
        <v>317</v>
      </c>
      <c r="B136" s="2">
        <v>45945</v>
      </c>
      <c r="C136" s="1" t="s">
        <v>318</v>
      </c>
      <c r="D136" s="1" t="s">
        <v>123</v>
      </c>
      <c r="E136" s="1" t="s">
        <v>37</v>
      </c>
      <c r="F136" s="1" t="s">
        <v>24</v>
      </c>
      <c r="G136" s="3">
        <v>0.75347222222222221</v>
      </c>
      <c r="H136" s="3">
        <v>0.77708333333333335</v>
      </c>
      <c r="I136" s="1">
        <v>34</v>
      </c>
      <c r="J136" s="1">
        <v>31</v>
      </c>
      <c r="K136" s="1" t="s">
        <v>319</v>
      </c>
      <c r="L136" s="1" t="s">
        <v>19</v>
      </c>
      <c r="M136" s="1">
        <v>2178</v>
      </c>
    </row>
    <row r="137" spans="1:13" x14ac:dyDescent="0.35">
      <c r="A137" s="1" t="s">
        <v>320</v>
      </c>
      <c r="B137" s="2">
        <v>45945</v>
      </c>
      <c r="C137" s="1" t="s">
        <v>298</v>
      </c>
      <c r="D137" s="1" t="s">
        <v>37</v>
      </c>
      <c r="E137" s="1" t="s">
        <v>31</v>
      </c>
      <c r="F137" s="1" t="s">
        <v>38</v>
      </c>
      <c r="G137" s="3">
        <v>0.78819444444444442</v>
      </c>
      <c r="H137" s="3">
        <v>0.79166666666666663</v>
      </c>
      <c r="I137" s="1">
        <v>5</v>
      </c>
      <c r="J137" s="1">
        <v>-7</v>
      </c>
      <c r="K137" s="1"/>
      <c r="L137" s="1" t="s">
        <v>19</v>
      </c>
      <c r="M137" s="1">
        <v>867</v>
      </c>
    </row>
    <row r="138" spans="1:13" x14ac:dyDescent="0.35">
      <c r="A138" s="1" t="s">
        <v>321</v>
      </c>
      <c r="B138" s="2">
        <v>45946</v>
      </c>
      <c r="C138" s="1" t="s">
        <v>322</v>
      </c>
      <c r="D138" s="1" t="s">
        <v>41</v>
      </c>
      <c r="E138" s="1" t="s">
        <v>50</v>
      </c>
      <c r="F138" s="1" t="s">
        <v>28</v>
      </c>
      <c r="G138" s="3">
        <v>0.36458333333333331</v>
      </c>
      <c r="H138" s="3">
        <v>0.36249999999999999</v>
      </c>
      <c r="I138" s="1">
        <v>-3</v>
      </c>
      <c r="J138" s="1">
        <v>1</v>
      </c>
      <c r="K138" s="1" t="s">
        <v>18</v>
      </c>
      <c r="L138" s="1" t="s">
        <v>19</v>
      </c>
      <c r="M138" s="1">
        <v>596</v>
      </c>
    </row>
    <row r="139" spans="1:13" x14ac:dyDescent="0.35">
      <c r="A139" s="1" t="s">
        <v>323</v>
      </c>
      <c r="B139" s="2">
        <v>45946</v>
      </c>
      <c r="C139" s="1" t="s">
        <v>324</v>
      </c>
      <c r="D139" s="1" t="s">
        <v>325</v>
      </c>
      <c r="E139" s="1" t="s">
        <v>37</v>
      </c>
      <c r="F139" s="1" t="s">
        <v>24</v>
      </c>
      <c r="G139" s="3">
        <v>0.44791666666666669</v>
      </c>
      <c r="H139" s="3">
        <v>0.46388888888888891</v>
      </c>
      <c r="I139" s="1">
        <v>23</v>
      </c>
      <c r="J139" s="1">
        <v>23</v>
      </c>
      <c r="K139" s="1" t="s">
        <v>263</v>
      </c>
      <c r="L139" s="1" t="s">
        <v>19</v>
      </c>
      <c r="M139" s="1">
        <v>2489</v>
      </c>
    </row>
    <row r="140" spans="1:13" x14ac:dyDescent="0.35">
      <c r="A140" s="1" t="s">
        <v>326</v>
      </c>
      <c r="B140" s="2">
        <v>45946</v>
      </c>
      <c r="C140" s="1" t="s">
        <v>327</v>
      </c>
      <c r="D140" s="1" t="s">
        <v>328</v>
      </c>
      <c r="E140" s="1" t="s">
        <v>37</v>
      </c>
      <c r="F140" s="1" t="s">
        <v>17</v>
      </c>
      <c r="G140" s="3">
        <v>0.46180555555555558</v>
      </c>
      <c r="H140" s="3">
        <v>0.46944444444444439</v>
      </c>
      <c r="I140" s="1">
        <v>11</v>
      </c>
      <c r="J140" s="1">
        <v>9</v>
      </c>
      <c r="K140" s="1" t="s">
        <v>18</v>
      </c>
      <c r="L140" s="1" t="s">
        <v>19</v>
      </c>
      <c r="M140" s="1">
        <v>2415</v>
      </c>
    </row>
    <row r="141" spans="1:13" x14ac:dyDescent="0.35">
      <c r="A141" s="1" t="s">
        <v>329</v>
      </c>
      <c r="B141" s="2">
        <v>45946</v>
      </c>
      <c r="C141" s="1" t="s">
        <v>330</v>
      </c>
      <c r="D141" s="1" t="s">
        <v>16</v>
      </c>
      <c r="E141" s="1" t="s">
        <v>41</v>
      </c>
      <c r="F141" s="1" t="s">
        <v>17</v>
      </c>
      <c r="G141" s="3">
        <v>0.78472222222222221</v>
      </c>
      <c r="H141" s="3">
        <v>0.78402777777777777</v>
      </c>
      <c r="I141" s="1">
        <v>-1</v>
      </c>
      <c r="J141" s="1">
        <v>-10</v>
      </c>
      <c r="K141" s="1"/>
      <c r="L141" s="1" t="s">
        <v>19</v>
      </c>
      <c r="M141" s="1">
        <v>1199</v>
      </c>
    </row>
    <row r="142" spans="1:13" x14ac:dyDescent="0.35">
      <c r="A142" s="1" t="s">
        <v>331</v>
      </c>
      <c r="B142" s="2">
        <v>45946</v>
      </c>
      <c r="C142" s="1" t="s">
        <v>332</v>
      </c>
      <c r="D142" s="1" t="s">
        <v>78</v>
      </c>
      <c r="E142" s="1" t="s">
        <v>41</v>
      </c>
      <c r="F142" s="1" t="s">
        <v>28</v>
      </c>
      <c r="G142" s="3">
        <v>0.84375</v>
      </c>
      <c r="H142" s="3">
        <v>0.85069444444444442</v>
      </c>
      <c r="I142" s="1">
        <v>10</v>
      </c>
      <c r="J142" s="1">
        <v>9</v>
      </c>
      <c r="K142" s="1" t="s">
        <v>18</v>
      </c>
      <c r="L142" s="1" t="s">
        <v>19</v>
      </c>
      <c r="M142" s="1">
        <v>1969</v>
      </c>
    </row>
    <row r="143" spans="1:13" x14ac:dyDescent="0.35">
      <c r="A143" s="1" t="s">
        <v>333</v>
      </c>
      <c r="B143" s="2">
        <v>45947</v>
      </c>
      <c r="C143" s="1" t="s">
        <v>334</v>
      </c>
      <c r="D143" s="1" t="s">
        <v>31</v>
      </c>
      <c r="E143" s="1" t="s">
        <v>16</v>
      </c>
      <c r="F143" s="1" t="s">
        <v>17</v>
      </c>
      <c r="G143" s="3">
        <v>0.27430555555555558</v>
      </c>
      <c r="H143" s="3">
        <v>0.2722222222222222</v>
      </c>
      <c r="I143" s="1">
        <v>-3</v>
      </c>
      <c r="J143" s="1">
        <v>5</v>
      </c>
      <c r="K143" s="1" t="s">
        <v>18</v>
      </c>
      <c r="L143" s="1" t="s">
        <v>19</v>
      </c>
      <c r="M143" s="1">
        <v>1511</v>
      </c>
    </row>
    <row r="144" spans="1:13" x14ac:dyDescent="0.35">
      <c r="A144" s="1" t="s">
        <v>335</v>
      </c>
      <c r="B144" s="2">
        <v>45947</v>
      </c>
      <c r="C144" s="1" t="s">
        <v>336</v>
      </c>
      <c r="D144" s="1" t="s">
        <v>16</v>
      </c>
      <c r="E144" s="1" t="s">
        <v>27</v>
      </c>
      <c r="F144" s="1" t="s">
        <v>24</v>
      </c>
      <c r="G144" s="3">
        <v>0.67708333333333337</v>
      </c>
      <c r="H144" s="3">
        <v>0.68194444444444446</v>
      </c>
      <c r="I144" s="1">
        <v>7</v>
      </c>
      <c r="J144" s="1">
        <v>6</v>
      </c>
      <c r="K144" s="1" t="s">
        <v>18</v>
      </c>
      <c r="L144" s="1" t="s">
        <v>19</v>
      </c>
      <c r="M144" s="1">
        <v>802</v>
      </c>
    </row>
    <row r="145" spans="1:13" x14ac:dyDescent="0.35">
      <c r="A145" s="1" t="s">
        <v>337</v>
      </c>
      <c r="B145" s="2">
        <v>45947</v>
      </c>
      <c r="C145" s="1" t="s">
        <v>338</v>
      </c>
      <c r="D145" s="1" t="s">
        <v>27</v>
      </c>
      <c r="E145" s="1" t="s">
        <v>15</v>
      </c>
      <c r="F145" s="1" t="s">
        <v>24</v>
      </c>
      <c r="G145" s="3">
        <v>0.83333333333333337</v>
      </c>
      <c r="H145" s="3">
        <v>0.84861111111111109</v>
      </c>
      <c r="I145" s="1">
        <v>22</v>
      </c>
      <c r="J145" s="1">
        <v>13</v>
      </c>
      <c r="K145" s="1" t="s">
        <v>54</v>
      </c>
      <c r="L145" s="1" t="s">
        <v>19</v>
      </c>
      <c r="M145" s="1">
        <v>1232</v>
      </c>
    </row>
    <row r="146" spans="1:13" x14ac:dyDescent="0.35">
      <c r="A146" s="1" t="s">
        <v>339</v>
      </c>
      <c r="B146" s="2">
        <v>45948</v>
      </c>
      <c r="C146" s="1" t="s">
        <v>340</v>
      </c>
      <c r="D146" s="1" t="s">
        <v>41</v>
      </c>
      <c r="E146" s="1" t="s">
        <v>27</v>
      </c>
      <c r="F146" s="1" t="s">
        <v>24</v>
      </c>
      <c r="G146" s="3">
        <v>0.22916666666666671</v>
      </c>
      <c r="H146" s="3">
        <v>0.24930555555555561</v>
      </c>
      <c r="I146" s="1">
        <v>29</v>
      </c>
      <c r="J146" s="1">
        <v>33</v>
      </c>
      <c r="K146" s="1" t="s">
        <v>174</v>
      </c>
      <c r="L146" s="1" t="s">
        <v>19</v>
      </c>
      <c r="M146" s="1">
        <v>1120</v>
      </c>
    </row>
    <row r="147" spans="1:13" x14ac:dyDescent="0.35">
      <c r="A147" s="1" t="s">
        <v>341</v>
      </c>
      <c r="B147" s="2">
        <v>45948</v>
      </c>
      <c r="C147" s="1" t="s">
        <v>342</v>
      </c>
      <c r="D147" s="1" t="s">
        <v>50</v>
      </c>
      <c r="E147" s="1" t="s">
        <v>47</v>
      </c>
      <c r="F147" s="1" t="s">
        <v>17</v>
      </c>
      <c r="G147" s="3">
        <v>0.34027777777777779</v>
      </c>
      <c r="H147" s="3">
        <v>0.3347222222222222</v>
      </c>
      <c r="I147" s="1">
        <v>-8</v>
      </c>
      <c r="J147" s="1">
        <v>-8</v>
      </c>
      <c r="K147" s="1" t="s">
        <v>18</v>
      </c>
      <c r="L147" s="1" t="s">
        <v>19</v>
      </c>
      <c r="M147" s="1">
        <v>2134</v>
      </c>
    </row>
    <row r="148" spans="1:13" x14ac:dyDescent="0.35">
      <c r="A148" s="1" t="s">
        <v>343</v>
      </c>
      <c r="B148" s="2">
        <v>45948</v>
      </c>
      <c r="C148" s="1" t="s">
        <v>344</v>
      </c>
      <c r="D148" s="1" t="s">
        <v>15</v>
      </c>
      <c r="E148" s="1" t="s">
        <v>50</v>
      </c>
      <c r="F148" s="1" t="s">
        <v>17</v>
      </c>
      <c r="G148" s="3">
        <v>0.77777777777777779</v>
      </c>
      <c r="H148" s="3">
        <v>0.78333333333333333</v>
      </c>
      <c r="I148" s="1">
        <v>8</v>
      </c>
      <c r="J148" s="1">
        <v>13</v>
      </c>
      <c r="K148" s="1"/>
      <c r="L148" s="1" t="s">
        <v>19</v>
      </c>
      <c r="M148" s="1">
        <v>1942</v>
      </c>
    </row>
    <row r="149" spans="1:13" x14ac:dyDescent="0.35">
      <c r="A149" s="1" t="s">
        <v>345</v>
      </c>
      <c r="B149" s="2">
        <v>45948</v>
      </c>
      <c r="C149" s="1" t="s">
        <v>346</v>
      </c>
      <c r="D149" s="1" t="s">
        <v>44</v>
      </c>
      <c r="E149" s="1" t="s">
        <v>16</v>
      </c>
      <c r="F149" s="1" t="s">
        <v>17</v>
      </c>
      <c r="G149" s="3">
        <v>0.84027777777777779</v>
      </c>
      <c r="H149" s="3">
        <v>0.83958333333333335</v>
      </c>
      <c r="I149" s="1">
        <v>-1</v>
      </c>
      <c r="J149" s="1">
        <v>-2</v>
      </c>
      <c r="K149" s="1" t="s">
        <v>18</v>
      </c>
      <c r="L149" s="1" t="s">
        <v>19</v>
      </c>
      <c r="M149" s="1">
        <v>864</v>
      </c>
    </row>
    <row r="150" spans="1:13" x14ac:dyDescent="0.35">
      <c r="A150" s="1" t="s">
        <v>347</v>
      </c>
      <c r="B150" s="2">
        <v>45948</v>
      </c>
      <c r="C150" s="1" t="s">
        <v>273</v>
      </c>
      <c r="D150" s="1" t="s">
        <v>16</v>
      </c>
      <c r="E150" s="1" t="s">
        <v>31</v>
      </c>
      <c r="F150" s="1" t="s">
        <v>38</v>
      </c>
      <c r="G150" s="3">
        <v>0.85069444444444442</v>
      </c>
      <c r="H150" s="3">
        <v>0.85833333333333328</v>
      </c>
      <c r="I150" s="1">
        <v>11</v>
      </c>
      <c r="J150" s="1">
        <v>2</v>
      </c>
      <c r="K150" s="1"/>
      <c r="L150" s="1" t="s">
        <v>19</v>
      </c>
      <c r="M150" s="1">
        <v>1511</v>
      </c>
    </row>
    <row r="151" spans="1:13" x14ac:dyDescent="0.35">
      <c r="A151" s="1" t="s">
        <v>348</v>
      </c>
      <c r="B151" s="2">
        <v>45949</v>
      </c>
      <c r="C151" s="1" t="s">
        <v>349</v>
      </c>
      <c r="D151" s="1" t="s">
        <v>78</v>
      </c>
      <c r="E151" s="1" t="s">
        <v>37</v>
      </c>
      <c r="F151" s="1" t="s">
        <v>24</v>
      </c>
      <c r="G151" s="3">
        <v>0.39583333333333331</v>
      </c>
      <c r="H151" s="3">
        <v>0.4</v>
      </c>
      <c r="I151" s="1">
        <v>6</v>
      </c>
      <c r="J151" s="1">
        <v>5</v>
      </c>
      <c r="K151" s="1" t="s">
        <v>18</v>
      </c>
      <c r="L151" s="1" t="s">
        <v>19</v>
      </c>
      <c r="M151" s="1">
        <v>1108</v>
      </c>
    </row>
    <row r="152" spans="1:13" x14ac:dyDescent="0.35">
      <c r="A152" s="1" t="s">
        <v>350</v>
      </c>
      <c r="B152" s="2">
        <v>45949</v>
      </c>
      <c r="C152" s="1" t="s">
        <v>351</v>
      </c>
      <c r="D152" s="1" t="s">
        <v>50</v>
      </c>
      <c r="E152" s="1" t="s">
        <v>15</v>
      </c>
      <c r="F152" s="1" t="s">
        <v>17</v>
      </c>
      <c r="G152" s="3">
        <v>0.40625</v>
      </c>
      <c r="H152" s="1"/>
      <c r="I152" s="1"/>
      <c r="J152" s="1"/>
      <c r="K152" s="1" t="s">
        <v>60</v>
      </c>
      <c r="L152" s="1" t="s">
        <v>254</v>
      </c>
      <c r="M152" s="1">
        <v>1942</v>
      </c>
    </row>
    <row r="153" spans="1:13" x14ac:dyDescent="0.35">
      <c r="A153" s="1" t="s">
        <v>352</v>
      </c>
      <c r="B153" s="2">
        <v>45949</v>
      </c>
      <c r="C153" s="1" t="s">
        <v>353</v>
      </c>
      <c r="D153" s="1" t="s">
        <v>50</v>
      </c>
      <c r="E153" s="1" t="s">
        <v>22</v>
      </c>
      <c r="F153" s="1" t="s">
        <v>28</v>
      </c>
      <c r="G153" s="3">
        <v>0.52777777777777779</v>
      </c>
      <c r="H153" s="3">
        <v>0.53472222222222221</v>
      </c>
      <c r="I153" s="1">
        <v>10</v>
      </c>
      <c r="J153" s="1"/>
      <c r="K153" s="1"/>
      <c r="L153" s="1" t="s">
        <v>19</v>
      </c>
      <c r="M153" s="1">
        <v>759</v>
      </c>
    </row>
    <row r="154" spans="1:13" x14ac:dyDescent="0.35">
      <c r="A154" s="1" t="s">
        <v>354</v>
      </c>
      <c r="B154" s="2">
        <v>45950</v>
      </c>
      <c r="C154" s="1" t="s">
        <v>355</v>
      </c>
      <c r="D154" s="1" t="s">
        <v>15</v>
      </c>
      <c r="E154" s="1" t="s">
        <v>50</v>
      </c>
      <c r="F154" s="1" t="s">
        <v>24</v>
      </c>
      <c r="G154" s="3">
        <v>0.22222222222222221</v>
      </c>
      <c r="H154" s="3">
        <v>0.22361111111111109</v>
      </c>
      <c r="I154" s="1">
        <v>2</v>
      </c>
      <c r="J154" s="1">
        <v>0</v>
      </c>
      <c r="K154" s="1" t="s">
        <v>18</v>
      </c>
      <c r="L154" s="1" t="s">
        <v>19</v>
      </c>
      <c r="M154" s="1">
        <v>1942</v>
      </c>
    </row>
    <row r="155" spans="1:13" x14ac:dyDescent="0.35">
      <c r="A155" s="1" t="s">
        <v>356</v>
      </c>
      <c r="B155" s="2">
        <v>45951</v>
      </c>
      <c r="C155" s="1" t="s">
        <v>357</v>
      </c>
      <c r="D155" s="1" t="s">
        <v>16</v>
      </c>
      <c r="E155" s="1" t="s">
        <v>23</v>
      </c>
      <c r="F155" s="1" t="s">
        <v>24</v>
      </c>
      <c r="G155" s="3">
        <v>0.29166666666666669</v>
      </c>
      <c r="H155" s="3">
        <v>0.29375000000000001</v>
      </c>
      <c r="I155" s="1">
        <v>3</v>
      </c>
      <c r="J155" s="1">
        <v>3</v>
      </c>
      <c r="K155" s="1" t="s">
        <v>18</v>
      </c>
      <c r="L155" s="1" t="s">
        <v>19</v>
      </c>
      <c r="M155" s="1">
        <v>886</v>
      </c>
    </row>
    <row r="156" spans="1:13" x14ac:dyDescent="0.35">
      <c r="A156" s="1" t="s">
        <v>358</v>
      </c>
      <c r="B156" s="2">
        <v>45951</v>
      </c>
      <c r="C156" s="1" t="s">
        <v>359</v>
      </c>
      <c r="D156" s="1" t="s">
        <v>23</v>
      </c>
      <c r="E156" s="1" t="s">
        <v>27</v>
      </c>
      <c r="F156" s="1" t="s">
        <v>24</v>
      </c>
      <c r="G156" s="3">
        <v>0.36805555555555558</v>
      </c>
      <c r="H156" s="3">
        <v>0.37152777777777779</v>
      </c>
      <c r="I156" s="1">
        <v>5</v>
      </c>
      <c r="J156" s="1">
        <v>2</v>
      </c>
      <c r="K156" s="1" t="s">
        <v>18</v>
      </c>
      <c r="L156" s="1" t="s">
        <v>19</v>
      </c>
      <c r="M156" s="1">
        <v>641</v>
      </c>
    </row>
    <row r="157" spans="1:13" x14ac:dyDescent="0.35">
      <c r="A157" s="1" t="s">
        <v>360</v>
      </c>
      <c r="B157" s="2">
        <v>45951</v>
      </c>
      <c r="C157" s="1" t="s">
        <v>361</v>
      </c>
      <c r="D157" s="1" t="s">
        <v>78</v>
      </c>
      <c r="E157" s="1" t="s">
        <v>16</v>
      </c>
      <c r="F157" s="1" t="s">
        <v>17</v>
      </c>
      <c r="G157" s="3">
        <v>0.66666666666666663</v>
      </c>
      <c r="H157" s="3">
        <v>0.66874999999999996</v>
      </c>
      <c r="I157" s="1">
        <v>3</v>
      </c>
      <c r="J157" s="1">
        <v>5</v>
      </c>
      <c r="K157" s="1" t="s">
        <v>18</v>
      </c>
      <c r="L157" s="1" t="s">
        <v>19</v>
      </c>
      <c r="M157" s="1">
        <v>1438</v>
      </c>
    </row>
    <row r="158" spans="1:13" x14ac:dyDescent="0.35">
      <c r="A158" s="1" t="s">
        <v>362</v>
      </c>
      <c r="B158" s="2">
        <v>45951</v>
      </c>
      <c r="C158" s="1" t="s">
        <v>363</v>
      </c>
      <c r="D158" s="1" t="s">
        <v>50</v>
      </c>
      <c r="E158" s="1" t="s">
        <v>31</v>
      </c>
      <c r="F158" s="1" t="s">
        <v>24</v>
      </c>
      <c r="G158" s="3">
        <v>0.70833333333333337</v>
      </c>
      <c r="H158" s="1"/>
      <c r="I158" s="1"/>
      <c r="J158" s="1"/>
      <c r="K158" s="1" t="s">
        <v>149</v>
      </c>
      <c r="L158" s="1" t="s">
        <v>254</v>
      </c>
      <c r="M158" s="1">
        <v>1743</v>
      </c>
    </row>
    <row r="159" spans="1:13" x14ac:dyDescent="0.35">
      <c r="A159" s="1" t="s">
        <v>364</v>
      </c>
      <c r="B159" s="2">
        <v>45952</v>
      </c>
      <c r="C159" s="1" t="s">
        <v>365</v>
      </c>
      <c r="D159" s="1" t="s">
        <v>37</v>
      </c>
      <c r="E159" s="1" t="s">
        <v>16</v>
      </c>
      <c r="F159" s="1" t="s">
        <v>28</v>
      </c>
      <c r="G159" s="3">
        <v>0.47916666666666669</v>
      </c>
      <c r="H159" s="3">
        <v>0.4777777777777778</v>
      </c>
      <c r="I159" s="1">
        <v>-2</v>
      </c>
      <c r="J159" s="1">
        <v>-12</v>
      </c>
      <c r="K159" s="1"/>
      <c r="L159" s="1" t="s">
        <v>19</v>
      </c>
      <c r="M159" s="1">
        <v>1717</v>
      </c>
    </row>
    <row r="160" spans="1:13" x14ac:dyDescent="0.35">
      <c r="A160" s="1" t="s">
        <v>366</v>
      </c>
      <c r="B160" s="2">
        <v>45952</v>
      </c>
      <c r="C160" s="1" t="s">
        <v>367</v>
      </c>
      <c r="D160" s="1" t="s">
        <v>22</v>
      </c>
      <c r="E160" s="1" t="s">
        <v>37</v>
      </c>
      <c r="F160" s="1" t="s">
        <v>28</v>
      </c>
      <c r="G160" s="3">
        <v>0.61458333333333337</v>
      </c>
      <c r="H160" s="3">
        <v>0.69305555555555554</v>
      </c>
      <c r="I160" s="1">
        <v>113</v>
      </c>
      <c r="J160" s="1">
        <v>100</v>
      </c>
      <c r="K160" s="1" t="s">
        <v>98</v>
      </c>
      <c r="L160" s="1" t="s">
        <v>19</v>
      </c>
      <c r="M160" s="1">
        <v>2415</v>
      </c>
    </row>
    <row r="161" spans="1:13" x14ac:dyDescent="0.35">
      <c r="A161" s="1" t="s">
        <v>368</v>
      </c>
      <c r="B161" s="2">
        <v>45952</v>
      </c>
      <c r="C161" s="1" t="s">
        <v>369</v>
      </c>
      <c r="D161" s="1" t="s">
        <v>71</v>
      </c>
      <c r="E161" s="1" t="s">
        <v>50</v>
      </c>
      <c r="F161" s="1" t="s">
        <v>17</v>
      </c>
      <c r="G161" s="3">
        <v>0.84722222222222221</v>
      </c>
      <c r="H161" s="3">
        <v>0.85</v>
      </c>
      <c r="I161" s="1">
        <v>4</v>
      </c>
      <c r="J161" s="1">
        <v>-3</v>
      </c>
      <c r="K161" s="1" t="s">
        <v>18</v>
      </c>
      <c r="L161" s="1" t="s">
        <v>19</v>
      </c>
      <c r="M161" s="1">
        <v>606</v>
      </c>
    </row>
    <row r="162" spans="1:13" x14ac:dyDescent="0.35">
      <c r="A162" s="1" t="s">
        <v>370</v>
      </c>
      <c r="B162" s="2">
        <v>45953</v>
      </c>
      <c r="C162" s="1" t="s">
        <v>371</v>
      </c>
      <c r="D162" s="1" t="s">
        <v>16</v>
      </c>
      <c r="E162" s="1" t="s">
        <v>15</v>
      </c>
      <c r="F162" s="1" t="s">
        <v>38</v>
      </c>
      <c r="G162" s="3">
        <v>0.63888888888888884</v>
      </c>
      <c r="H162" s="3">
        <v>0.63541666666666663</v>
      </c>
      <c r="I162" s="1">
        <v>-5</v>
      </c>
      <c r="J162" s="1">
        <v>4</v>
      </c>
      <c r="K162" s="1"/>
      <c r="L162" s="1" t="s">
        <v>19</v>
      </c>
      <c r="M162" s="1">
        <v>1742</v>
      </c>
    </row>
    <row r="163" spans="1:13" x14ac:dyDescent="0.35">
      <c r="A163" s="1" t="s">
        <v>372</v>
      </c>
      <c r="B163" s="2">
        <v>45953</v>
      </c>
      <c r="C163" s="1" t="s">
        <v>133</v>
      </c>
      <c r="D163" s="1" t="s">
        <v>50</v>
      </c>
      <c r="E163" s="1" t="s">
        <v>27</v>
      </c>
      <c r="F163" s="1" t="s">
        <v>17</v>
      </c>
      <c r="G163" s="3">
        <v>0.75</v>
      </c>
      <c r="H163" s="3">
        <v>0.75069444444444444</v>
      </c>
      <c r="I163" s="1">
        <v>1</v>
      </c>
      <c r="J163" s="1">
        <v>7</v>
      </c>
      <c r="K163" s="1"/>
      <c r="L163" s="1" t="s">
        <v>19</v>
      </c>
      <c r="M163" s="1">
        <v>730</v>
      </c>
    </row>
    <row r="164" spans="1:13" x14ac:dyDescent="0.35">
      <c r="A164" s="1" t="s">
        <v>373</v>
      </c>
      <c r="B164" s="2">
        <v>45954</v>
      </c>
      <c r="C164" s="1" t="s">
        <v>374</v>
      </c>
      <c r="D164" s="1" t="s">
        <v>15</v>
      </c>
      <c r="E164" s="1" t="s">
        <v>27</v>
      </c>
      <c r="F164" s="1" t="s">
        <v>24</v>
      </c>
      <c r="G164" s="3">
        <v>0.78819444444444442</v>
      </c>
      <c r="H164" s="3">
        <v>0.7895833333333333</v>
      </c>
      <c r="I164" s="1">
        <v>2</v>
      </c>
      <c r="J164" s="1">
        <v>-7</v>
      </c>
      <c r="K164" s="1"/>
      <c r="L164" s="1" t="s">
        <v>19</v>
      </c>
      <c r="M164" s="1">
        <v>1232</v>
      </c>
    </row>
    <row r="165" spans="1:13" x14ac:dyDescent="0.35">
      <c r="A165" s="1" t="s">
        <v>375</v>
      </c>
      <c r="B165" s="2">
        <v>45954</v>
      </c>
      <c r="C165" s="1" t="s">
        <v>376</v>
      </c>
      <c r="D165" s="1" t="s">
        <v>15</v>
      </c>
      <c r="E165" s="1" t="s">
        <v>78</v>
      </c>
      <c r="F165" s="1" t="s">
        <v>38</v>
      </c>
      <c r="G165" s="3">
        <v>0.81597222222222221</v>
      </c>
      <c r="H165" s="3">
        <v>0.89375000000000004</v>
      </c>
      <c r="I165" s="1">
        <v>112</v>
      </c>
      <c r="J165" s="1">
        <v>117</v>
      </c>
      <c r="K165" s="1" t="s">
        <v>174</v>
      </c>
      <c r="L165" s="1" t="s">
        <v>19</v>
      </c>
      <c r="M165" s="1">
        <v>370</v>
      </c>
    </row>
    <row r="166" spans="1:13" x14ac:dyDescent="0.35">
      <c r="A166" s="1" t="s">
        <v>377</v>
      </c>
      <c r="B166" s="2">
        <v>45955</v>
      </c>
      <c r="C166" s="1" t="s">
        <v>378</v>
      </c>
      <c r="D166" s="1" t="s">
        <v>16</v>
      </c>
      <c r="E166" s="1" t="s">
        <v>27</v>
      </c>
      <c r="F166" s="1" t="s">
        <v>28</v>
      </c>
      <c r="G166" s="3">
        <v>0.28125</v>
      </c>
      <c r="H166" s="3">
        <v>0.28125</v>
      </c>
      <c r="I166" s="1">
        <v>0</v>
      </c>
      <c r="J166" s="1">
        <v>-12</v>
      </c>
      <c r="K166" s="1" t="s">
        <v>18</v>
      </c>
      <c r="L166" s="1" t="s">
        <v>19</v>
      </c>
      <c r="M166" s="1">
        <v>802</v>
      </c>
    </row>
    <row r="167" spans="1:13" x14ac:dyDescent="0.35">
      <c r="A167" s="1" t="s">
        <v>379</v>
      </c>
      <c r="B167" s="2">
        <v>45955</v>
      </c>
      <c r="C167" s="1" t="s">
        <v>346</v>
      </c>
      <c r="D167" s="1" t="s">
        <v>27</v>
      </c>
      <c r="E167" s="1" t="s">
        <v>16</v>
      </c>
      <c r="F167" s="1" t="s">
        <v>28</v>
      </c>
      <c r="G167" s="3">
        <v>0.30208333333333331</v>
      </c>
      <c r="H167" s="3">
        <v>0.29930555555555549</v>
      </c>
      <c r="I167" s="1">
        <v>-4</v>
      </c>
      <c r="J167" s="1">
        <v>-15</v>
      </c>
      <c r="K167" s="1" t="s">
        <v>18</v>
      </c>
      <c r="L167" s="1" t="s">
        <v>19</v>
      </c>
      <c r="M167" s="1">
        <v>802</v>
      </c>
    </row>
    <row r="168" spans="1:13" x14ac:dyDescent="0.35">
      <c r="A168" s="1" t="s">
        <v>380</v>
      </c>
      <c r="B168" s="2">
        <v>45956</v>
      </c>
      <c r="C168" s="1" t="s">
        <v>381</v>
      </c>
      <c r="D168" s="1" t="s">
        <v>22</v>
      </c>
      <c r="E168" s="1" t="s">
        <v>78</v>
      </c>
      <c r="F168" s="1" t="s">
        <v>24</v>
      </c>
      <c r="G168" s="3">
        <v>0.63541666666666663</v>
      </c>
      <c r="H168" s="3">
        <v>0.63402777777777775</v>
      </c>
      <c r="I168" s="1">
        <v>-2</v>
      </c>
      <c r="J168" s="1">
        <v>-7</v>
      </c>
      <c r="K168" s="1" t="s">
        <v>18</v>
      </c>
      <c r="L168" s="1" t="s">
        <v>19</v>
      </c>
      <c r="M168" s="1">
        <v>2149</v>
      </c>
    </row>
    <row r="169" spans="1:13" x14ac:dyDescent="0.35">
      <c r="A169" s="1" t="s">
        <v>382</v>
      </c>
      <c r="B169" s="2">
        <v>45957</v>
      </c>
      <c r="C169" s="1" t="s">
        <v>383</v>
      </c>
      <c r="D169" s="1" t="s">
        <v>31</v>
      </c>
      <c r="E169" s="1" t="s">
        <v>44</v>
      </c>
      <c r="F169" s="1" t="s">
        <v>17</v>
      </c>
      <c r="G169" s="3">
        <v>0.31597222222222221</v>
      </c>
      <c r="H169" s="3">
        <v>0.32291666666666669</v>
      </c>
      <c r="I169" s="1">
        <v>10</v>
      </c>
      <c r="J169" s="1">
        <v>3</v>
      </c>
      <c r="K169" s="1" t="s">
        <v>18</v>
      </c>
      <c r="L169" s="1" t="s">
        <v>19</v>
      </c>
      <c r="M169" s="1">
        <v>2375</v>
      </c>
    </row>
    <row r="170" spans="1:13" x14ac:dyDescent="0.35">
      <c r="A170" s="1" t="s">
        <v>384</v>
      </c>
      <c r="B170" s="2">
        <v>45957</v>
      </c>
      <c r="C170" s="1" t="s">
        <v>385</v>
      </c>
      <c r="D170" s="1" t="s">
        <v>50</v>
      </c>
      <c r="E170" s="1" t="s">
        <v>386</v>
      </c>
      <c r="F170" s="1" t="s">
        <v>17</v>
      </c>
      <c r="G170" s="3">
        <v>0.36805555555555558</v>
      </c>
      <c r="H170" s="3">
        <v>0.36944444444444452</v>
      </c>
      <c r="I170" s="1">
        <v>2</v>
      </c>
      <c r="J170" s="1">
        <v>1</v>
      </c>
      <c r="K170" s="1"/>
      <c r="L170" s="1" t="s">
        <v>19</v>
      </c>
      <c r="M170" s="1">
        <v>2134</v>
      </c>
    </row>
    <row r="171" spans="1:13" x14ac:dyDescent="0.35">
      <c r="A171" s="1" t="s">
        <v>387</v>
      </c>
      <c r="B171" s="2">
        <v>45957</v>
      </c>
      <c r="C171" s="1" t="s">
        <v>388</v>
      </c>
      <c r="D171" s="1" t="s">
        <v>27</v>
      </c>
      <c r="E171" s="1" t="s">
        <v>50</v>
      </c>
      <c r="F171" s="1" t="s">
        <v>24</v>
      </c>
      <c r="G171" s="3">
        <v>0.74652777777777779</v>
      </c>
      <c r="H171" s="3">
        <v>0.7416666666666667</v>
      </c>
      <c r="I171" s="1">
        <v>-7</v>
      </c>
      <c r="J171" s="1">
        <v>-12</v>
      </c>
      <c r="K171" s="1" t="s">
        <v>18</v>
      </c>
      <c r="L171" s="1" t="s">
        <v>19</v>
      </c>
      <c r="M171" s="1">
        <v>730</v>
      </c>
    </row>
    <row r="172" spans="1:13" x14ac:dyDescent="0.35">
      <c r="A172" s="1" t="s">
        <v>389</v>
      </c>
      <c r="B172" s="2">
        <v>45957</v>
      </c>
      <c r="C172" s="1" t="s">
        <v>390</v>
      </c>
      <c r="D172" s="1" t="s">
        <v>22</v>
      </c>
      <c r="E172" s="1" t="s">
        <v>37</v>
      </c>
      <c r="F172" s="1" t="s">
        <v>24</v>
      </c>
      <c r="G172" s="3">
        <v>0.89583333333333337</v>
      </c>
      <c r="H172" s="3">
        <v>0.89027777777777772</v>
      </c>
      <c r="I172" s="1">
        <v>-8</v>
      </c>
      <c r="J172" s="1">
        <v>-5</v>
      </c>
      <c r="K172" s="1" t="s">
        <v>18</v>
      </c>
      <c r="L172" s="1" t="s">
        <v>19</v>
      </c>
      <c r="M172" s="1">
        <v>2415</v>
      </c>
    </row>
    <row r="173" spans="1:13" x14ac:dyDescent="0.35">
      <c r="A173" s="1" t="s">
        <v>391</v>
      </c>
      <c r="B173" s="2">
        <v>45958</v>
      </c>
      <c r="C173" s="1" t="s">
        <v>385</v>
      </c>
      <c r="D173" s="1" t="s">
        <v>78</v>
      </c>
      <c r="E173" s="1" t="s">
        <v>27</v>
      </c>
      <c r="F173" s="1" t="s">
        <v>38</v>
      </c>
      <c r="G173" s="3">
        <v>0.36458333333333331</v>
      </c>
      <c r="H173" s="3">
        <v>0.37222222222222218</v>
      </c>
      <c r="I173" s="1">
        <v>11</v>
      </c>
      <c r="J173" s="1">
        <v>14</v>
      </c>
      <c r="K173" s="1" t="s">
        <v>18</v>
      </c>
      <c r="L173" s="1" t="s">
        <v>19</v>
      </c>
      <c r="M173" s="1">
        <v>866</v>
      </c>
    </row>
    <row r="174" spans="1:13" x14ac:dyDescent="0.35">
      <c r="A174" s="1" t="s">
        <v>392</v>
      </c>
      <c r="B174" s="2">
        <v>45958</v>
      </c>
      <c r="C174" s="1" t="s">
        <v>196</v>
      </c>
      <c r="D174" s="1" t="s">
        <v>15</v>
      </c>
      <c r="E174" s="1" t="s">
        <v>44</v>
      </c>
      <c r="F174" s="1" t="s">
        <v>28</v>
      </c>
      <c r="G174" s="3">
        <v>0.58333333333333337</v>
      </c>
      <c r="H174" s="3">
        <v>0.58680555555555558</v>
      </c>
      <c r="I174" s="1">
        <v>5</v>
      </c>
      <c r="J174" s="1">
        <v>10</v>
      </c>
      <c r="K174" s="1"/>
      <c r="L174" s="1" t="s">
        <v>19</v>
      </c>
      <c r="M174" s="1">
        <v>2606</v>
      </c>
    </row>
    <row r="175" spans="1:13" x14ac:dyDescent="0.35">
      <c r="A175" s="1" t="s">
        <v>393</v>
      </c>
      <c r="B175" s="2">
        <v>45958</v>
      </c>
      <c r="C175" s="1" t="s">
        <v>394</v>
      </c>
      <c r="D175" s="1" t="s">
        <v>50</v>
      </c>
      <c r="E175" s="1" t="s">
        <v>78</v>
      </c>
      <c r="F175" s="1" t="s">
        <v>38</v>
      </c>
      <c r="G175" s="3">
        <v>0.71180555555555558</v>
      </c>
      <c r="H175" s="3">
        <v>0.7270833333333333</v>
      </c>
      <c r="I175" s="1">
        <v>22</v>
      </c>
      <c r="J175" s="1">
        <v>17</v>
      </c>
      <c r="K175" s="1" t="s">
        <v>149</v>
      </c>
      <c r="L175" s="1" t="s">
        <v>19</v>
      </c>
      <c r="M175" s="1">
        <v>1584</v>
      </c>
    </row>
    <row r="176" spans="1:13" x14ac:dyDescent="0.35">
      <c r="A176" s="1" t="s">
        <v>395</v>
      </c>
      <c r="B176" s="2">
        <v>45959</v>
      </c>
      <c r="C176" s="1" t="s">
        <v>120</v>
      </c>
      <c r="D176" s="1" t="s">
        <v>16</v>
      </c>
      <c r="E176" s="1" t="s">
        <v>50</v>
      </c>
      <c r="F176" s="1" t="s">
        <v>24</v>
      </c>
      <c r="G176" s="3">
        <v>0.33333333333333331</v>
      </c>
      <c r="H176" s="3">
        <v>0.33750000000000002</v>
      </c>
      <c r="I176" s="1">
        <v>6</v>
      </c>
      <c r="J176" s="1">
        <v>5</v>
      </c>
      <c r="K176" s="1" t="s">
        <v>18</v>
      </c>
      <c r="L176" s="1" t="s">
        <v>19</v>
      </c>
      <c r="M176" s="1">
        <v>606</v>
      </c>
    </row>
    <row r="177" spans="1:13" x14ac:dyDescent="0.35">
      <c r="A177" s="1" t="s">
        <v>396</v>
      </c>
      <c r="B177" s="2">
        <v>45959</v>
      </c>
      <c r="C177" s="1" t="s">
        <v>397</v>
      </c>
      <c r="D177" s="1" t="s">
        <v>50</v>
      </c>
      <c r="E177" s="1" t="s">
        <v>44</v>
      </c>
      <c r="F177" s="1" t="s">
        <v>17</v>
      </c>
      <c r="G177" s="3">
        <v>0.61111111111111116</v>
      </c>
      <c r="H177" s="3">
        <v>0.6166666666666667</v>
      </c>
      <c r="I177" s="1">
        <v>8</v>
      </c>
      <c r="J177" s="1">
        <v>1</v>
      </c>
      <c r="K177" s="1"/>
      <c r="L177" s="1" t="s">
        <v>19</v>
      </c>
      <c r="M177" s="1">
        <v>945</v>
      </c>
    </row>
    <row r="178" spans="1:13" x14ac:dyDescent="0.35">
      <c r="A178" s="1" t="s">
        <v>398</v>
      </c>
      <c r="B178" s="2">
        <v>45961</v>
      </c>
      <c r="C178" s="1" t="s">
        <v>399</v>
      </c>
      <c r="D178" s="1" t="s">
        <v>16</v>
      </c>
      <c r="E178" s="1" t="s">
        <v>50</v>
      </c>
      <c r="F178" s="1" t="s">
        <v>24</v>
      </c>
      <c r="G178" s="3">
        <v>0.2638888888888889</v>
      </c>
      <c r="H178" s="3">
        <v>0.26041666666666669</v>
      </c>
      <c r="I178" s="1">
        <v>-5</v>
      </c>
      <c r="J178" s="1">
        <v>-13</v>
      </c>
      <c r="K178" s="1"/>
      <c r="L178" s="1" t="s">
        <v>19</v>
      </c>
      <c r="M178" s="1">
        <v>606</v>
      </c>
    </row>
    <row r="179" spans="1:13" x14ac:dyDescent="0.35">
      <c r="A179" s="1" t="s">
        <v>400</v>
      </c>
      <c r="B179" s="2">
        <v>45961</v>
      </c>
      <c r="C179" s="1" t="s">
        <v>381</v>
      </c>
      <c r="D179" s="1" t="s">
        <v>50</v>
      </c>
      <c r="E179" s="1" t="s">
        <v>202</v>
      </c>
      <c r="F179" s="1" t="s">
        <v>38</v>
      </c>
      <c r="G179" s="3">
        <v>0.38194444444444442</v>
      </c>
      <c r="H179" s="3">
        <v>0.38055555555555548</v>
      </c>
      <c r="I179" s="1">
        <v>-2</v>
      </c>
      <c r="J179" s="1">
        <v>6</v>
      </c>
      <c r="K179" s="1" t="s">
        <v>18</v>
      </c>
      <c r="L179" s="1" t="s">
        <v>19</v>
      </c>
      <c r="M179" s="1">
        <v>596</v>
      </c>
    </row>
    <row r="180" spans="1:13" x14ac:dyDescent="0.35">
      <c r="A180" s="1" t="s">
        <v>401</v>
      </c>
      <c r="B180" s="2">
        <v>45961</v>
      </c>
      <c r="C180" s="1" t="s">
        <v>402</v>
      </c>
      <c r="D180" s="1" t="s">
        <v>50</v>
      </c>
      <c r="E180" s="1" t="s">
        <v>23</v>
      </c>
      <c r="F180" s="1" t="s">
        <v>38</v>
      </c>
      <c r="G180" s="3">
        <v>0.45833333333333331</v>
      </c>
      <c r="H180" s="3">
        <v>0.45763888888888887</v>
      </c>
      <c r="I180" s="1">
        <v>-1</v>
      </c>
      <c r="J180" s="1">
        <v>1</v>
      </c>
      <c r="K180" s="1" t="s">
        <v>18</v>
      </c>
      <c r="L180" s="1" t="s">
        <v>19</v>
      </c>
      <c r="M180" s="1">
        <v>1197</v>
      </c>
    </row>
    <row r="181" spans="1:13" x14ac:dyDescent="0.35">
      <c r="A181" s="1" t="s">
        <v>403</v>
      </c>
      <c r="B181" s="2">
        <v>45961</v>
      </c>
      <c r="C181" s="1" t="s">
        <v>404</v>
      </c>
      <c r="D181" s="1" t="s">
        <v>16</v>
      </c>
      <c r="E181" s="1" t="s">
        <v>31</v>
      </c>
      <c r="F181" s="1" t="s">
        <v>17</v>
      </c>
      <c r="G181" s="3">
        <v>0.67013888888888884</v>
      </c>
      <c r="H181" s="3">
        <v>0.67847222222222225</v>
      </c>
      <c r="I181" s="1">
        <v>12</v>
      </c>
      <c r="J181" s="1">
        <v>0</v>
      </c>
      <c r="K181" s="1" t="s">
        <v>18</v>
      </c>
      <c r="L181" s="1" t="s">
        <v>19</v>
      </c>
      <c r="M181" s="1">
        <v>1511</v>
      </c>
    </row>
    <row r="182" spans="1:13" x14ac:dyDescent="0.35">
      <c r="A182" s="1" t="s">
        <v>405</v>
      </c>
      <c r="B182" s="2">
        <v>45961</v>
      </c>
      <c r="C182" s="1" t="s">
        <v>406</v>
      </c>
      <c r="D182" s="1" t="s">
        <v>22</v>
      </c>
      <c r="E182" s="1" t="s">
        <v>15</v>
      </c>
      <c r="F182" s="1" t="s">
        <v>17</v>
      </c>
      <c r="G182" s="3">
        <v>0.73263888888888884</v>
      </c>
      <c r="H182" s="3">
        <v>0.72916666666666663</v>
      </c>
      <c r="I182" s="1">
        <v>-5</v>
      </c>
      <c r="J182" s="1">
        <v>-7</v>
      </c>
      <c r="K182" s="1"/>
      <c r="L182" s="1" t="s">
        <v>19</v>
      </c>
      <c r="M182" s="1">
        <v>2470</v>
      </c>
    </row>
    <row r="183" spans="1:13" x14ac:dyDescent="0.35">
      <c r="A183" s="1" t="s">
        <v>407</v>
      </c>
      <c r="B183" s="2">
        <v>45961</v>
      </c>
      <c r="C183" s="1" t="s">
        <v>408</v>
      </c>
      <c r="D183" s="1" t="s">
        <v>22</v>
      </c>
      <c r="E183" s="1" t="s">
        <v>41</v>
      </c>
      <c r="F183" s="1" t="s">
        <v>38</v>
      </c>
      <c r="G183" s="3">
        <v>0.74652777777777779</v>
      </c>
      <c r="H183" s="3">
        <v>0.75208333333333333</v>
      </c>
      <c r="I183" s="1">
        <v>8</v>
      </c>
      <c r="J183" s="1">
        <v>11</v>
      </c>
      <c r="K183" s="1" t="s">
        <v>18</v>
      </c>
      <c r="L183" s="1" t="s">
        <v>19</v>
      </c>
      <c r="M183" s="1">
        <v>1092</v>
      </c>
    </row>
    <row r="184" spans="1:13" x14ac:dyDescent="0.35">
      <c r="A184" s="1" t="s">
        <v>409</v>
      </c>
      <c r="B184" s="2">
        <v>45961</v>
      </c>
      <c r="C184" s="1" t="s">
        <v>410</v>
      </c>
      <c r="D184" s="1" t="s">
        <v>50</v>
      </c>
      <c r="E184" s="1" t="s">
        <v>23</v>
      </c>
      <c r="F184" s="1" t="s">
        <v>28</v>
      </c>
      <c r="G184" s="3">
        <v>0.81944444444444442</v>
      </c>
      <c r="H184" s="3">
        <v>0.82777777777777772</v>
      </c>
      <c r="I184" s="1">
        <v>12</v>
      </c>
      <c r="J184" s="1">
        <v>1</v>
      </c>
      <c r="K184" s="1" t="s">
        <v>18</v>
      </c>
      <c r="L184" s="1" t="s">
        <v>19</v>
      </c>
      <c r="M184" s="1">
        <v>1197</v>
      </c>
    </row>
    <row r="185" spans="1:13" x14ac:dyDescent="0.35">
      <c r="A185" s="1" t="s">
        <v>411</v>
      </c>
      <c r="B185" s="2">
        <v>45962</v>
      </c>
      <c r="C185" s="1" t="s">
        <v>412</v>
      </c>
      <c r="D185" s="1" t="s">
        <v>41</v>
      </c>
      <c r="E185" s="1" t="s">
        <v>413</v>
      </c>
      <c r="F185" s="1" t="s">
        <v>24</v>
      </c>
      <c r="G185" s="3">
        <v>0.71875</v>
      </c>
      <c r="H185" s="3">
        <v>0.73541666666666672</v>
      </c>
      <c r="I185" s="1">
        <v>24</v>
      </c>
      <c r="J185" s="1">
        <v>31</v>
      </c>
      <c r="K185" s="1" t="s">
        <v>149</v>
      </c>
      <c r="L185" s="1" t="s">
        <v>19</v>
      </c>
      <c r="M185" s="1">
        <v>2338</v>
      </c>
    </row>
    <row r="186" spans="1:13" x14ac:dyDescent="0.35">
      <c r="A186" s="1" t="s">
        <v>414</v>
      </c>
      <c r="B186" s="2">
        <v>45963</v>
      </c>
      <c r="C186" s="1" t="s">
        <v>415</v>
      </c>
      <c r="D186" s="1" t="s">
        <v>226</v>
      </c>
      <c r="E186" s="1" t="s">
        <v>22</v>
      </c>
      <c r="F186" s="1" t="s">
        <v>17</v>
      </c>
      <c r="G186" s="3">
        <v>0.27777777777777779</v>
      </c>
      <c r="H186" s="3">
        <v>0.27916666666666667</v>
      </c>
      <c r="I186" s="1">
        <v>2</v>
      </c>
      <c r="J186" s="1">
        <v>-5</v>
      </c>
      <c r="K186" s="1" t="s">
        <v>18</v>
      </c>
      <c r="L186" s="1" t="s">
        <v>19</v>
      </c>
      <c r="M186" s="1">
        <v>1622</v>
      </c>
    </row>
    <row r="187" spans="1:13" x14ac:dyDescent="0.35">
      <c r="A187" s="1" t="s">
        <v>416</v>
      </c>
      <c r="B187" s="2">
        <v>45963</v>
      </c>
      <c r="C187" s="1" t="s">
        <v>417</v>
      </c>
      <c r="D187" s="1" t="s">
        <v>27</v>
      </c>
      <c r="E187" s="1" t="s">
        <v>418</v>
      </c>
      <c r="F187" s="1" t="s">
        <v>28</v>
      </c>
      <c r="G187" s="3">
        <v>0.31597222222222221</v>
      </c>
      <c r="H187" s="3">
        <v>0.31319444444444439</v>
      </c>
      <c r="I187" s="1">
        <v>-4</v>
      </c>
      <c r="J187" s="1">
        <v>-15</v>
      </c>
      <c r="K187" s="1" t="s">
        <v>18</v>
      </c>
      <c r="L187" s="1" t="s">
        <v>19</v>
      </c>
      <c r="M187" s="1">
        <v>1120</v>
      </c>
    </row>
    <row r="188" spans="1:13" x14ac:dyDescent="0.35">
      <c r="A188" s="1" t="s">
        <v>419</v>
      </c>
      <c r="B188" s="2">
        <v>45963</v>
      </c>
      <c r="C188" s="1" t="s">
        <v>420</v>
      </c>
      <c r="D188" s="1" t="s">
        <v>15</v>
      </c>
      <c r="E188" s="1" t="s">
        <v>27</v>
      </c>
      <c r="F188" s="1" t="s">
        <v>24</v>
      </c>
      <c r="G188" s="3">
        <v>0.35416666666666669</v>
      </c>
      <c r="H188" s="3">
        <v>0.35486111111111113</v>
      </c>
      <c r="I188" s="1">
        <v>1</v>
      </c>
      <c r="J188" s="1">
        <v>3</v>
      </c>
      <c r="K188" s="1"/>
      <c r="L188" s="1" t="s">
        <v>19</v>
      </c>
      <c r="M188" s="1">
        <v>1232</v>
      </c>
    </row>
    <row r="189" spans="1:13" x14ac:dyDescent="0.35">
      <c r="A189" s="1" t="s">
        <v>421</v>
      </c>
      <c r="B189" s="2">
        <v>45963</v>
      </c>
      <c r="C189" s="1" t="s">
        <v>422</v>
      </c>
      <c r="D189" s="1" t="s">
        <v>50</v>
      </c>
      <c r="E189" s="1" t="s">
        <v>16</v>
      </c>
      <c r="F189" s="1" t="s">
        <v>28</v>
      </c>
      <c r="G189" s="3">
        <v>0.3888888888888889</v>
      </c>
      <c r="H189" s="3">
        <v>0.38472222222222219</v>
      </c>
      <c r="I189" s="1">
        <v>-6</v>
      </c>
      <c r="J189" s="1">
        <v>1</v>
      </c>
      <c r="K189" s="1" t="s">
        <v>18</v>
      </c>
      <c r="L189" s="1" t="s">
        <v>19</v>
      </c>
      <c r="M189" s="1">
        <v>606</v>
      </c>
    </row>
    <row r="190" spans="1:13" x14ac:dyDescent="0.35">
      <c r="A190" s="1" t="s">
        <v>423</v>
      </c>
      <c r="B190" s="2">
        <v>45963</v>
      </c>
      <c r="C190" s="1" t="s">
        <v>424</v>
      </c>
      <c r="D190" s="1" t="s">
        <v>50</v>
      </c>
      <c r="E190" s="1" t="s">
        <v>41</v>
      </c>
      <c r="F190" s="1" t="s">
        <v>28</v>
      </c>
      <c r="G190" s="3">
        <v>0.77777777777777779</v>
      </c>
      <c r="H190" s="3">
        <v>0.83472222222222225</v>
      </c>
      <c r="I190" s="1">
        <v>82</v>
      </c>
      <c r="J190" s="1">
        <v>79</v>
      </c>
      <c r="K190" s="1" t="s">
        <v>60</v>
      </c>
      <c r="L190" s="1" t="s">
        <v>19</v>
      </c>
      <c r="M190" s="1">
        <v>596</v>
      </c>
    </row>
    <row r="191" spans="1:13" x14ac:dyDescent="0.35">
      <c r="A191" s="1" t="s">
        <v>425</v>
      </c>
      <c r="B191" s="2">
        <v>45964</v>
      </c>
      <c r="C191" s="1" t="s">
        <v>426</v>
      </c>
      <c r="D191" s="1" t="s">
        <v>41</v>
      </c>
      <c r="E191" s="1" t="s">
        <v>50</v>
      </c>
      <c r="F191" s="1" t="s">
        <v>28</v>
      </c>
      <c r="G191" s="3">
        <v>0.43055555555555558</v>
      </c>
      <c r="H191" s="3">
        <v>0.43680555555555561</v>
      </c>
      <c r="I191" s="1">
        <v>9</v>
      </c>
      <c r="J191" s="1">
        <v>13</v>
      </c>
      <c r="K191" s="1" t="s">
        <v>18</v>
      </c>
      <c r="L191" s="1" t="s">
        <v>19</v>
      </c>
      <c r="M191" s="1">
        <v>596</v>
      </c>
    </row>
    <row r="192" spans="1:13" x14ac:dyDescent="0.35">
      <c r="A192" s="1" t="s">
        <v>427</v>
      </c>
      <c r="B192" s="2">
        <v>45965</v>
      </c>
      <c r="C192" s="1" t="s">
        <v>428</v>
      </c>
      <c r="D192" s="1" t="s">
        <v>50</v>
      </c>
      <c r="E192" s="1" t="s">
        <v>15</v>
      </c>
      <c r="F192" s="1" t="s">
        <v>24</v>
      </c>
      <c r="G192" s="3">
        <v>0.2986111111111111</v>
      </c>
      <c r="H192" s="3">
        <v>0.30486111111111108</v>
      </c>
      <c r="I192" s="1">
        <v>9</v>
      </c>
      <c r="J192" s="1">
        <v>17</v>
      </c>
      <c r="K192" s="1"/>
      <c r="L192" s="1" t="s">
        <v>19</v>
      </c>
      <c r="M192" s="1">
        <v>1942</v>
      </c>
    </row>
    <row r="193" spans="1:13" x14ac:dyDescent="0.35">
      <c r="A193" s="1" t="s">
        <v>429</v>
      </c>
      <c r="B193" s="2">
        <v>45965</v>
      </c>
      <c r="C193" s="1" t="s">
        <v>430</v>
      </c>
      <c r="D193" s="1" t="s">
        <v>22</v>
      </c>
      <c r="E193" s="1" t="s">
        <v>16</v>
      </c>
      <c r="F193" s="1" t="s">
        <v>24</v>
      </c>
      <c r="G193" s="3">
        <v>0.40625</v>
      </c>
      <c r="H193" s="3">
        <v>0.41388888888888892</v>
      </c>
      <c r="I193" s="1">
        <v>11</v>
      </c>
      <c r="J193" s="1">
        <v>15</v>
      </c>
      <c r="K193" s="1" t="s">
        <v>18</v>
      </c>
      <c r="L193" s="1" t="s">
        <v>19</v>
      </c>
      <c r="M193" s="1">
        <v>738</v>
      </c>
    </row>
    <row r="194" spans="1:13" x14ac:dyDescent="0.35">
      <c r="A194" s="1" t="s">
        <v>431</v>
      </c>
      <c r="B194" s="2">
        <v>45965</v>
      </c>
      <c r="C194" s="1" t="s">
        <v>432</v>
      </c>
      <c r="D194" s="1" t="s">
        <v>44</v>
      </c>
      <c r="E194" s="1" t="s">
        <v>23</v>
      </c>
      <c r="F194" s="1" t="s">
        <v>38</v>
      </c>
      <c r="G194" s="3">
        <v>0.48958333333333331</v>
      </c>
      <c r="H194" s="3">
        <v>0.49444444444444452</v>
      </c>
      <c r="I194" s="1">
        <v>7</v>
      </c>
      <c r="J194" s="1">
        <v>3</v>
      </c>
      <c r="K194" s="1" t="s">
        <v>18</v>
      </c>
      <c r="L194" s="1" t="s">
        <v>19</v>
      </c>
      <c r="M194" s="1">
        <v>1749</v>
      </c>
    </row>
    <row r="195" spans="1:13" x14ac:dyDescent="0.35">
      <c r="A195" s="1" t="s">
        <v>433</v>
      </c>
      <c r="B195" s="2">
        <v>45966</v>
      </c>
      <c r="C195" s="1" t="s">
        <v>434</v>
      </c>
      <c r="D195" s="1" t="s">
        <v>51</v>
      </c>
      <c r="E195" s="1" t="s">
        <v>15</v>
      </c>
      <c r="F195" s="1" t="s">
        <v>17</v>
      </c>
      <c r="G195" s="3">
        <v>0.34722222222222221</v>
      </c>
      <c r="H195" s="3">
        <v>0.34236111111111112</v>
      </c>
      <c r="I195" s="1">
        <v>-7</v>
      </c>
      <c r="J195" s="1">
        <v>-9</v>
      </c>
      <c r="K195" s="1" t="s">
        <v>18</v>
      </c>
      <c r="L195" s="1" t="s">
        <v>19</v>
      </c>
      <c r="M195" s="1">
        <v>1232</v>
      </c>
    </row>
    <row r="196" spans="1:13" x14ac:dyDescent="0.35">
      <c r="A196" s="1" t="s">
        <v>435</v>
      </c>
      <c r="B196" s="2">
        <v>45966</v>
      </c>
      <c r="C196" s="1" t="s">
        <v>436</v>
      </c>
      <c r="D196" s="1" t="s">
        <v>37</v>
      </c>
      <c r="E196" s="1" t="s">
        <v>23</v>
      </c>
      <c r="F196" s="1" t="s">
        <v>38</v>
      </c>
      <c r="G196" s="3">
        <v>0.38194444444444442</v>
      </c>
      <c r="H196" s="3">
        <v>0.38541666666666669</v>
      </c>
      <c r="I196" s="1">
        <v>5</v>
      </c>
      <c r="J196" s="1">
        <v>-6</v>
      </c>
      <c r="K196" s="1" t="s">
        <v>18</v>
      </c>
      <c r="L196" s="1" t="s">
        <v>19</v>
      </c>
      <c r="M196" s="1">
        <v>1023</v>
      </c>
    </row>
    <row r="197" spans="1:13" x14ac:dyDescent="0.35">
      <c r="A197" s="1" t="s">
        <v>437</v>
      </c>
      <c r="B197" s="2">
        <v>45966</v>
      </c>
      <c r="C197" s="1" t="s">
        <v>438</v>
      </c>
      <c r="D197" s="1" t="s">
        <v>16</v>
      </c>
      <c r="E197" s="1" t="s">
        <v>78</v>
      </c>
      <c r="F197" s="1" t="s">
        <v>17</v>
      </c>
      <c r="G197" s="3">
        <v>0.66319444444444442</v>
      </c>
      <c r="H197" s="3">
        <v>0.66597222222222219</v>
      </c>
      <c r="I197" s="1">
        <v>4</v>
      </c>
      <c r="J197" s="1">
        <v>8</v>
      </c>
      <c r="K197" s="1"/>
      <c r="L197" s="1" t="s">
        <v>19</v>
      </c>
      <c r="M197" s="1">
        <v>1438</v>
      </c>
    </row>
    <row r="198" spans="1:13" x14ac:dyDescent="0.35">
      <c r="A198" s="1" t="s">
        <v>439</v>
      </c>
      <c r="B198" s="2">
        <v>45966</v>
      </c>
      <c r="C198" s="1" t="s">
        <v>440</v>
      </c>
      <c r="D198" s="1" t="s">
        <v>27</v>
      </c>
      <c r="E198" s="1" t="s">
        <v>78</v>
      </c>
      <c r="F198" s="1" t="s">
        <v>17</v>
      </c>
      <c r="G198" s="3">
        <v>0.82638888888888884</v>
      </c>
      <c r="H198" s="3">
        <v>0.83472222222222225</v>
      </c>
      <c r="I198" s="1">
        <v>12</v>
      </c>
      <c r="J198" s="1">
        <v>2</v>
      </c>
      <c r="K198" s="1" t="s">
        <v>18</v>
      </c>
      <c r="L198" s="1" t="s">
        <v>19</v>
      </c>
      <c r="M198" s="1">
        <v>866</v>
      </c>
    </row>
    <row r="199" spans="1:13" x14ac:dyDescent="0.35">
      <c r="A199" s="1" t="s">
        <v>441</v>
      </c>
      <c r="B199" s="2">
        <v>45966</v>
      </c>
      <c r="C199" s="1" t="s">
        <v>442</v>
      </c>
      <c r="D199" s="1" t="s">
        <v>47</v>
      </c>
      <c r="E199" s="1" t="s">
        <v>22</v>
      </c>
      <c r="F199" s="1" t="s">
        <v>17</v>
      </c>
      <c r="G199" s="3">
        <v>0.85416666666666663</v>
      </c>
      <c r="H199" s="3">
        <v>0.86041666666666672</v>
      </c>
      <c r="I199" s="1">
        <v>9</v>
      </c>
      <c r="J199" s="1">
        <v>1</v>
      </c>
      <c r="K199" s="1" t="s">
        <v>18</v>
      </c>
      <c r="L199" s="1" t="s">
        <v>19</v>
      </c>
      <c r="M199" s="1">
        <v>2580</v>
      </c>
    </row>
    <row r="200" spans="1:13" x14ac:dyDescent="0.35">
      <c r="A200" s="1" t="s">
        <v>443</v>
      </c>
      <c r="B200" s="2">
        <v>45967</v>
      </c>
      <c r="C200" s="1" t="s">
        <v>444</v>
      </c>
      <c r="D200" s="1" t="s">
        <v>16</v>
      </c>
      <c r="E200" s="1" t="s">
        <v>22</v>
      </c>
      <c r="F200" s="1" t="s">
        <v>17</v>
      </c>
      <c r="G200" s="3">
        <v>0.47916666666666669</v>
      </c>
      <c r="H200" s="3">
        <v>0.48680555555555549</v>
      </c>
      <c r="I200" s="1">
        <v>11</v>
      </c>
      <c r="J200" s="1">
        <v>19</v>
      </c>
      <c r="K200" s="1"/>
      <c r="L200" s="1" t="s">
        <v>19</v>
      </c>
      <c r="M200" s="1">
        <v>738</v>
      </c>
    </row>
    <row r="201" spans="1:13" x14ac:dyDescent="0.35">
      <c r="A201" s="1" t="s">
        <v>445</v>
      </c>
      <c r="B201" s="2">
        <v>45967</v>
      </c>
      <c r="C201" s="1" t="s">
        <v>446</v>
      </c>
      <c r="D201" s="1" t="s">
        <v>16</v>
      </c>
      <c r="E201" s="1" t="s">
        <v>41</v>
      </c>
      <c r="F201" s="1" t="s">
        <v>24</v>
      </c>
      <c r="G201" s="3">
        <v>0.88888888888888884</v>
      </c>
      <c r="H201" s="3">
        <v>0.90625</v>
      </c>
      <c r="I201" s="1">
        <v>25</v>
      </c>
      <c r="J201" s="1">
        <v>25</v>
      </c>
      <c r="K201" s="1" t="s">
        <v>263</v>
      </c>
      <c r="L201" s="1" t="s">
        <v>19</v>
      </c>
      <c r="M201" s="1">
        <v>1199</v>
      </c>
    </row>
    <row r="202" spans="1:13" x14ac:dyDescent="0.35">
      <c r="A202" s="1" t="s">
        <v>447</v>
      </c>
      <c r="B202" s="2">
        <v>45968</v>
      </c>
      <c r="C202" s="1" t="s">
        <v>448</v>
      </c>
      <c r="D202" s="1" t="s">
        <v>16</v>
      </c>
      <c r="E202" s="1" t="s">
        <v>78</v>
      </c>
      <c r="F202" s="1" t="s">
        <v>38</v>
      </c>
      <c r="G202" s="3">
        <v>0.3263888888888889</v>
      </c>
      <c r="H202" s="3">
        <v>0.32361111111111113</v>
      </c>
      <c r="I202" s="1">
        <v>-4</v>
      </c>
      <c r="J202" s="1">
        <v>1</v>
      </c>
      <c r="K202" s="1" t="s">
        <v>18</v>
      </c>
      <c r="L202" s="1" t="s">
        <v>19</v>
      </c>
      <c r="M202" s="1">
        <v>1438</v>
      </c>
    </row>
    <row r="203" spans="1:13" x14ac:dyDescent="0.35">
      <c r="A203" s="1" t="s">
        <v>449</v>
      </c>
      <c r="B203" s="2">
        <v>45968</v>
      </c>
      <c r="C203" s="1" t="s">
        <v>133</v>
      </c>
      <c r="D203" s="1" t="s">
        <v>22</v>
      </c>
      <c r="E203" s="1" t="s">
        <v>16</v>
      </c>
      <c r="F203" s="1" t="s">
        <v>24</v>
      </c>
      <c r="G203" s="3">
        <v>0.38194444444444442</v>
      </c>
      <c r="H203" s="3">
        <v>0.37847222222222221</v>
      </c>
      <c r="I203" s="1">
        <v>-5</v>
      </c>
      <c r="J203" s="1">
        <v>-16</v>
      </c>
      <c r="K203" s="1" t="s">
        <v>18</v>
      </c>
      <c r="L203" s="1" t="s">
        <v>19</v>
      </c>
      <c r="M203" s="1">
        <v>738</v>
      </c>
    </row>
    <row r="204" spans="1:13" x14ac:dyDescent="0.35">
      <c r="A204" s="1" t="s">
        <v>450</v>
      </c>
      <c r="B204" s="2">
        <v>45968</v>
      </c>
      <c r="C204" s="1" t="s">
        <v>46</v>
      </c>
      <c r="D204" s="1" t="s">
        <v>22</v>
      </c>
      <c r="E204" s="1" t="s">
        <v>16</v>
      </c>
      <c r="F204" s="1" t="s">
        <v>17</v>
      </c>
      <c r="G204" s="3">
        <v>0.39583333333333331</v>
      </c>
      <c r="H204" s="3">
        <v>0.40277777777777779</v>
      </c>
      <c r="I204" s="1">
        <v>10</v>
      </c>
      <c r="J204" s="1">
        <v>2</v>
      </c>
      <c r="K204" s="1" t="s">
        <v>18</v>
      </c>
      <c r="L204" s="1" t="s">
        <v>19</v>
      </c>
      <c r="M204" s="1">
        <v>738</v>
      </c>
    </row>
    <row r="205" spans="1:13" x14ac:dyDescent="0.35">
      <c r="A205" s="1" t="s">
        <v>451</v>
      </c>
      <c r="B205" s="2">
        <v>45968</v>
      </c>
      <c r="C205" s="1" t="s">
        <v>452</v>
      </c>
      <c r="D205" s="1" t="s">
        <v>16</v>
      </c>
      <c r="E205" s="1" t="s">
        <v>44</v>
      </c>
      <c r="F205" s="1" t="s">
        <v>17</v>
      </c>
      <c r="G205" s="3">
        <v>0.43055555555555558</v>
      </c>
      <c r="H205" s="3">
        <v>0.43263888888888891</v>
      </c>
      <c r="I205" s="1">
        <v>3</v>
      </c>
      <c r="J205" s="1">
        <v>-3</v>
      </c>
      <c r="K205" s="1" t="s">
        <v>18</v>
      </c>
      <c r="L205" s="1" t="s">
        <v>19</v>
      </c>
      <c r="M205" s="1">
        <v>864</v>
      </c>
    </row>
    <row r="206" spans="1:13" x14ac:dyDescent="0.35">
      <c r="A206" s="1" t="s">
        <v>453</v>
      </c>
      <c r="B206" s="2">
        <v>45969</v>
      </c>
      <c r="C206" s="1" t="s">
        <v>454</v>
      </c>
      <c r="D206" s="1" t="s">
        <v>50</v>
      </c>
      <c r="E206" s="1" t="s">
        <v>78</v>
      </c>
      <c r="F206" s="1" t="s">
        <v>17</v>
      </c>
      <c r="G206" s="3">
        <v>0.22916666666666671</v>
      </c>
      <c r="H206" s="3">
        <v>0.22847222222222219</v>
      </c>
      <c r="I206" s="1">
        <v>-1</v>
      </c>
      <c r="J206" s="1">
        <v>7</v>
      </c>
      <c r="K206" s="1" t="s">
        <v>18</v>
      </c>
      <c r="L206" s="1" t="s">
        <v>19</v>
      </c>
      <c r="M206" s="1">
        <v>1584</v>
      </c>
    </row>
    <row r="207" spans="1:13" x14ac:dyDescent="0.35">
      <c r="A207" s="1" t="s">
        <v>455</v>
      </c>
      <c r="B207" s="2">
        <v>45969</v>
      </c>
      <c r="C207" s="1" t="s">
        <v>456</v>
      </c>
      <c r="D207" s="1" t="s">
        <v>47</v>
      </c>
      <c r="E207" s="1" t="s">
        <v>15</v>
      </c>
      <c r="F207" s="1" t="s">
        <v>17</v>
      </c>
      <c r="G207" s="3">
        <v>0.3125</v>
      </c>
      <c r="H207" s="3">
        <v>0.31319444444444439</v>
      </c>
      <c r="I207" s="1">
        <v>1</v>
      </c>
      <c r="J207" s="1">
        <v>6</v>
      </c>
      <c r="K207" s="1"/>
      <c r="L207" s="1" t="s">
        <v>19</v>
      </c>
      <c r="M207" s="1">
        <v>338</v>
      </c>
    </row>
    <row r="208" spans="1:13" x14ac:dyDescent="0.35">
      <c r="A208" s="1" t="s">
        <v>457</v>
      </c>
      <c r="B208" s="2">
        <v>45969</v>
      </c>
      <c r="C208" s="1" t="s">
        <v>458</v>
      </c>
      <c r="D208" s="1" t="s">
        <v>15</v>
      </c>
      <c r="E208" s="1" t="s">
        <v>23</v>
      </c>
      <c r="F208" s="1" t="s">
        <v>24</v>
      </c>
      <c r="G208" s="3">
        <v>0.70486111111111116</v>
      </c>
      <c r="H208" s="1"/>
      <c r="I208" s="1">
        <v>4</v>
      </c>
      <c r="J208" s="1">
        <v>-8</v>
      </c>
      <c r="K208" s="1" t="s">
        <v>18</v>
      </c>
      <c r="L208" s="1" t="s">
        <v>19</v>
      </c>
      <c r="M208" s="1">
        <v>861</v>
      </c>
    </row>
    <row r="209" spans="1:13" x14ac:dyDescent="0.35">
      <c r="A209" s="1" t="s">
        <v>459</v>
      </c>
      <c r="B209" s="2">
        <v>45969</v>
      </c>
      <c r="C209" s="1" t="s">
        <v>460</v>
      </c>
      <c r="D209" s="1" t="s">
        <v>27</v>
      </c>
      <c r="E209" s="1" t="s">
        <v>22</v>
      </c>
      <c r="F209" s="1" t="s">
        <v>28</v>
      </c>
      <c r="G209" s="3">
        <v>0.72569444444444442</v>
      </c>
      <c r="H209" s="3">
        <v>0.72013888888888888</v>
      </c>
      <c r="I209" s="1">
        <v>-8</v>
      </c>
      <c r="J209" s="1">
        <v>-4</v>
      </c>
      <c r="K209" s="1" t="s">
        <v>18</v>
      </c>
      <c r="L209" s="1" t="s">
        <v>19</v>
      </c>
      <c r="M209" s="1">
        <v>1389</v>
      </c>
    </row>
    <row r="210" spans="1:13" x14ac:dyDescent="0.35">
      <c r="A210" s="1" t="s">
        <v>461</v>
      </c>
      <c r="B210" s="2">
        <v>45969</v>
      </c>
      <c r="C210" s="1" t="s">
        <v>14</v>
      </c>
      <c r="D210" s="1" t="s">
        <v>22</v>
      </c>
      <c r="E210" s="1" t="s">
        <v>44</v>
      </c>
      <c r="F210" s="1" t="s">
        <v>28</v>
      </c>
      <c r="G210" s="3">
        <v>0.77777777777777779</v>
      </c>
      <c r="H210" s="3">
        <v>0.81458333333333333</v>
      </c>
      <c r="I210" s="1">
        <v>53</v>
      </c>
      <c r="J210" s="1">
        <v>41</v>
      </c>
      <c r="K210" s="1" t="s">
        <v>98</v>
      </c>
      <c r="L210" s="1" t="s">
        <v>19</v>
      </c>
      <c r="M210" s="1">
        <v>186</v>
      </c>
    </row>
    <row r="211" spans="1:13" x14ac:dyDescent="0.35">
      <c r="A211" s="1" t="s">
        <v>462</v>
      </c>
      <c r="B211" s="2">
        <v>45969</v>
      </c>
      <c r="C211" s="1" t="s">
        <v>463</v>
      </c>
      <c r="D211" s="1" t="s">
        <v>41</v>
      </c>
      <c r="E211" s="1" t="s">
        <v>27</v>
      </c>
      <c r="F211" s="1" t="s">
        <v>38</v>
      </c>
      <c r="G211" s="3">
        <v>0.80902777777777779</v>
      </c>
      <c r="H211" s="3">
        <v>0.82222222222222219</v>
      </c>
      <c r="I211" s="1">
        <v>19</v>
      </c>
      <c r="J211" s="1">
        <v>17</v>
      </c>
      <c r="K211" s="1" t="s">
        <v>98</v>
      </c>
      <c r="L211" s="1" t="s">
        <v>19</v>
      </c>
      <c r="M211" s="1">
        <v>1120</v>
      </c>
    </row>
    <row r="212" spans="1:13" x14ac:dyDescent="0.35">
      <c r="A212" s="1" t="s">
        <v>464</v>
      </c>
      <c r="B212" s="2">
        <v>45970</v>
      </c>
      <c r="C212" s="1" t="s">
        <v>465</v>
      </c>
      <c r="D212" s="1" t="s">
        <v>37</v>
      </c>
      <c r="E212" s="1" t="s">
        <v>16</v>
      </c>
      <c r="F212" s="1" t="s">
        <v>24</v>
      </c>
      <c r="G212" s="3">
        <v>0.34375</v>
      </c>
      <c r="H212" s="3">
        <v>0.34722222222222221</v>
      </c>
      <c r="I212" s="1">
        <v>5</v>
      </c>
      <c r="J212" s="1">
        <v>10</v>
      </c>
      <c r="K212" s="1" t="s">
        <v>18</v>
      </c>
      <c r="L212" s="1" t="s">
        <v>19</v>
      </c>
      <c r="M212" s="1">
        <v>1717</v>
      </c>
    </row>
    <row r="213" spans="1:13" x14ac:dyDescent="0.35">
      <c r="A213" s="1" t="s">
        <v>466</v>
      </c>
      <c r="B213" s="2">
        <v>45970</v>
      </c>
      <c r="C213" s="1" t="s">
        <v>151</v>
      </c>
      <c r="D213" s="1" t="s">
        <v>27</v>
      </c>
      <c r="E213" s="1" t="s">
        <v>50</v>
      </c>
      <c r="F213" s="1" t="s">
        <v>17</v>
      </c>
      <c r="G213" s="3">
        <v>0.52083333333333337</v>
      </c>
      <c r="H213" s="3">
        <v>0.52569444444444446</v>
      </c>
      <c r="I213" s="1">
        <v>7</v>
      </c>
      <c r="J213" s="1">
        <v>4</v>
      </c>
      <c r="K213" s="1"/>
      <c r="L213" s="1" t="s">
        <v>19</v>
      </c>
      <c r="M213" s="1">
        <v>730</v>
      </c>
    </row>
    <row r="214" spans="1:13" x14ac:dyDescent="0.35">
      <c r="A214" s="1" t="s">
        <v>467</v>
      </c>
      <c r="B214" s="2">
        <v>45970</v>
      </c>
      <c r="C214" s="1" t="s">
        <v>468</v>
      </c>
      <c r="D214" s="1" t="s">
        <v>23</v>
      </c>
      <c r="E214" s="1" t="s">
        <v>44</v>
      </c>
      <c r="F214" s="1" t="s">
        <v>17</v>
      </c>
      <c r="G214" s="3">
        <v>0.79166666666666663</v>
      </c>
      <c r="H214" s="3">
        <v>0.79791666666666672</v>
      </c>
      <c r="I214" s="1">
        <v>9</v>
      </c>
      <c r="J214" s="1">
        <v>7</v>
      </c>
      <c r="K214" s="1" t="s">
        <v>18</v>
      </c>
      <c r="L214" s="1" t="s">
        <v>19</v>
      </c>
      <c r="M214" s="1">
        <v>1749</v>
      </c>
    </row>
    <row r="215" spans="1:13" x14ac:dyDescent="0.35">
      <c r="A215" s="1" t="s">
        <v>469</v>
      </c>
      <c r="B215" s="2">
        <v>45971</v>
      </c>
      <c r="C215" s="1" t="s">
        <v>470</v>
      </c>
      <c r="D215" s="1" t="s">
        <v>15</v>
      </c>
      <c r="E215" s="1" t="s">
        <v>16</v>
      </c>
      <c r="F215" s="1" t="s">
        <v>24</v>
      </c>
      <c r="G215" s="3">
        <v>0.35069444444444442</v>
      </c>
      <c r="H215" s="3">
        <v>0.35625000000000001</v>
      </c>
      <c r="I215" s="1">
        <v>8</v>
      </c>
      <c r="J215" s="1">
        <v>17</v>
      </c>
      <c r="K215" s="1" t="s">
        <v>18</v>
      </c>
      <c r="L215" s="1" t="s">
        <v>19</v>
      </c>
      <c r="M215" s="1">
        <v>1742</v>
      </c>
    </row>
    <row r="216" spans="1:13" x14ac:dyDescent="0.35">
      <c r="A216" s="1" t="s">
        <v>471</v>
      </c>
      <c r="B216" s="2">
        <v>45971</v>
      </c>
      <c r="C216" s="1" t="s">
        <v>472</v>
      </c>
      <c r="D216" s="1" t="s">
        <v>22</v>
      </c>
      <c r="E216" s="1" t="s">
        <v>27</v>
      </c>
      <c r="F216" s="1" t="s">
        <v>24</v>
      </c>
      <c r="G216" s="3">
        <v>0.62152777777777779</v>
      </c>
      <c r="H216" s="3">
        <v>0.63958333333333328</v>
      </c>
      <c r="I216" s="1">
        <v>26</v>
      </c>
      <c r="J216" s="1">
        <v>24</v>
      </c>
      <c r="K216" s="1" t="s">
        <v>276</v>
      </c>
      <c r="L216" s="1" t="s">
        <v>19</v>
      </c>
      <c r="M216" s="1">
        <v>1389</v>
      </c>
    </row>
    <row r="217" spans="1:13" x14ac:dyDescent="0.35">
      <c r="A217" s="1" t="s">
        <v>473</v>
      </c>
      <c r="B217" s="2">
        <v>45972</v>
      </c>
      <c r="C217" s="1" t="s">
        <v>474</v>
      </c>
      <c r="D217" s="1" t="s">
        <v>78</v>
      </c>
      <c r="E217" s="1" t="s">
        <v>23</v>
      </c>
      <c r="F217" s="1" t="s">
        <v>38</v>
      </c>
      <c r="G217" s="3">
        <v>0.52430555555555558</v>
      </c>
      <c r="H217" s="3">
        <v>0.52569444444444446</v>
      </c>
      <c r="I217" s="1">
        <v>2</v>
      </c>
      <c r="J217" s="1">
        <v>11</v>
      </c>
      <c r="K217" s="1" t="s">
        <v>18</v>
      </c>
      <c r="L217" s="1" t="s">
        <v>19</v>
      </c>
      <c r="M217" s="1">
        <v>602</v>
      </c>
    </row>
    <row r="218" spans="1:13" x14ac:dyDescent="0.35">
      <c r="A218" s="1" t="s">
        <v>475</v>
      </c>
      <c r="B218" s="2">
        <v>45972</v>
      </c>
      <c r="C218" s="1" t="s">
        <v>476</v>
      </c>
      <c r="D218" s="1" t="s">
        <v>22</v>
      </c>
      <c r="E218" s="1" t="s">
        <v>50</v>
      </c>
      <c r="F218" s="1" t="s">
        <v>38</v>
      </c>
      <c r="G218" s="3">
        <v>0.73263888888888884</v>
      </c>
      <c r="H218" s="3">
        <v>0.7631944444444444</v>
      </c>
      <c r="I218" s="1">
        <v>44</v>
      </c>
      <c r="J218" s="1">
        <v>45</v>
      </c>
      <c r="K218" s="1" t="s">
        <v>477</v>
      </c>
      <c r="L218" s="1" t="s">
        <v>19</v>
      </c>
      <c r="M218" s="1">
        <v>759</v>
      </c>
    </row>
    <row r="219" spans="1:13" x14ac:dyDescent="0.35">
      <c r="A219" s="1" t="s">
        <v>478</v>
      </c>
      <c r="B219" s="2">
        <v>45973</v>
      </c>
      <c r="C219" s="1" t="s">
        <v>479</v>
      </c>
      <c r="D219" s="1" t="s">
        <v>41</v>
      </c>
      <c r="E219" s="1" t="s">
        <v>47</v>
      </c>
      <c r="F219" s="1" t="s">
        <v>28</v>
      </c>
      <c r="G219" s="3">
        <v>0.4548611111111111</v>
      </c>
      <c r="H219" s="3">
        <v>0.44930555555555562</v>
      </c>
      <c r="I219" s="1">
        <v>-8</v>
      </c>
      <c r="J219" s="1">
        <v>-16</v>
      </c>
      <c r="K219" s="1" t="s">
        <v>18</v>
      </c>
      <c r="L219" s="1" t="s">
        <v>19</v>
      </c>
      <c r="M219" s="1">
        <v>2582</v>
      </c>
    </row>
    <row r="220" spans="1:13" x14ac:dyDescent="0.35">
      <c r="A220" s="1" t="s">
        <v>480</v>
      </c>
      <c r="B220" s="2">
        <v>45973</v>
      </c>
      <c r="C220" s="1" t="s">
        <v>481</v>
      </c>
      <c r="D220" s="1" t="s">
        <v>27</v>
      </c>
      <c r="E220" s="1" t="s">
        <v>44</v>
      </c>
      <c r="F220" s="1" t="s">
        <v>17</v>
      </c>
      <c r="G220" s="3">
        <v>0.57638888888888884</v>
      </c>
      <c r="H220" s="3">
        <v>0.57777777777777772</v>
      </c>
      <c r="I220" s="1">
        <v>2</v>
      </c>
      <c r="J220" s="1">
        <v>1</v>
      </c>
      <c r="K220" s="1" t="s">
        <v>18</v>
      </c>
      <c r="L220" s="1" t="s">
        <v>19</v>
      </c>
      <c r="M220" s="1">
        <v>1559</v>
      </c>
    </row>
    <row r="221" spans="1:13" x14ac:dyDescent="0.35">
      <c r="A221" s="1" t="s">
        <v>482</v>
      </c>
      <c r="B221" s="2">
        <v>45973</v>
      </c>
      <c r="C221" s="1" t="s">
        <v>483</v>
      </c>
      <c r="D221" s="1" t="s">
        <v>27</v>
      </c>
      <c r="E221" s="1" t="s">
        <v>50</v>
      </c>
      <c r="F221" s="1" t="s">
        <v>24</v>
      </c>
      <c r="G221" s="3">
        <v>0.69444444444444442</v>
      </c>
      <c r="H221" s="3">
        <v>0.69305555555555554</v>
      </c>
      <c r="I221" s="1">
        <v>-2</v>
      </c>
      <c r="J221" s="1">
        <v>6</v>
      </c>
      <c r="K221" s="1" t="s">
        <v>18</v>
      </c>
      <c r="L221" s="1" t="s">
        <v>19</v>
      </c>
      <c r="M221" s="1">
        <v>730</v>
      </c>
    </row>
    <row r="222" spans="1:13" x14ac:dyDescent="0.35">
      <c r="A222" s="1" t="s">
        <v>484</v>
      </c>
      <c r="B222" s="2">
        <v>45973</v>
      </c>
      <c r="C222" s="1" t="s">
        <v>485</v>
      </c>
      <c r="D222" s="1" t="s">
        <v>37</v>
      </c>
      <c r="E222" s="1" t="s">
        <v>31</v>
      </c>
      <c r="F222" s="1" t="s">
        <v>38</v>
      </c>
      <c r="G222" s="3">
        <v>0.73611111111111116</v>
      </c>
      <c r="H222" s="3">
        <v>0.7319444444444444</v>
      </c>
      <c r="I222" s="1">
        <v>-6</v>
      </c>
      <c r="J222" s="1">
        <v>2</v>
      </c>
      <c r="K222" s="1" t="s">
        <v>18</v>
      </c>
      <c r="L222" s="1" t="s">
        <v>19</v>
      </c>
      <c r="M222" s="1">
        <v>867</v>
      </c>
    </row>
    <row r="223" spans="1:13" x14ac:dyDescent="0.35">
      <c r="A223" s="1" t="s">
        <v>486</v>
      </c>
      <c r="B223" s="2">
        <v>45973</v>
      </c>
      <c r="C223" s="1" t="s">
        <v>487</v>
      </c>
      <c r="D223" s="1" t="s">
        <v>27</v>
      </c>
      <c r="E223" s="1" t="s">
        <v>44</v>
      </c>
      <c r="F223" s="1" t="s">
        <v>17</v>
      </c>
      <c r="G223" s="3">
        <v>0.78472222222222221</v>
      </c>
      <c r="H223" s="3">
        <v>0.78402777777777777</v>
      </c>
      <c r="I223" s="1">
        <v>-1</v>
      </c>
      <c r="J223" s="1"/>
      <c r="K223" s="1" t="s">
        <v>18</v>
      </c>
      <c r="L223" s="1" t="s">
        <v>19</v>
      </c>
      <c r="M223" s="1">
        <v>1559</v>
      </c>
    </row>
    <row r="224" spans="1:13" x14ac:dyDescent="0.35">
      <c r="A224" s="1" t="s">
        <v>488</v>
      </c>
      <c r="B224" s="2">
        <v>45973</v>
      </c>
      <c r="C224" s="1" t="s">
        <v>489</v>
      </c>
      <c r="D224" s="1" t="s">
        <v>41</v>
      </c>
      <c r="E224" s="1" t="s">
        <v>16</v>
      </c>
      <c r="F224" s="1" t="s">
        <v>17</v>
      </c>
      <c r="G224" s="3">
        <v>0.82291666666666663</v>
      </c>
      <c r="H224" s="3">
        <v>0.85</v>
      </c>
      <c r="I224" s="1">
        <v>39</v>
      </c>
      <c r="J224" s="1">
        <v>36</v>
      </c>
      <c r="K224" s="1" t="s">
        <v>60</v>
      </c>
      <c r="L224" s="1" t="s">
        <v>19</v>
      </c>
      <c r="M224" s="1">
        <v>1199</v>
      </c>
    </row>
    <row r="225" spans="1:13" x14ac:dyDescent="0.35">
      <c r="A225" s="1" t="s">
        <v>490</v>
      </c>
      <c r="B225" s="2">
        <v>45974</v>
      </c>
      <c r="C225" s="1" t="s">
        <v>239</v>
      </c>
      <c r="D225" s="1" t="s">
        <v>50</v>
      </c>
      <c r="E225" s="1" t="s">
        <v>27</v>
      </c>
      <c r="F225" s="1" t="s">
        <v>28</v>
      </c>
      <c r="G225" s="3">
        <v>0.4548611111111111</v>
      </c>
      <c r="H225" s="3">
        <v>0.4513888888888889</v>
      </c>
      <c r="I225" s="1">
        <v>-5</v>
      </c>
      <c r="J225" s="1">
        <v>-12</v>
      </c>
      <c r="K225" s="1"/>
      <c r="L225" s="1" t="s">
        <v>19</v>
      </c>
      <c r="M225" s="1">
        <v>730</v>
      </c>
    </row>
    <row r="226" spans="1:13" x14ac:dyDescent="0.35">
      <c r="A226" s="1" t="s">
        <v>491</v>
      </c>
      <c r="B226" s="2">
        <v>45974</v>
      </c>
      <c r="C226" s="1" t="s">
        <v>492</v>
      </c>
      <c r="D226" s="1" t="s">
        <v>27</v>
      </c>
      <c r="E226" s="1" t="s">
        <v>15</v>
      </c>
      <c r="F226" s="1" t="s">
        <v>24</v>
      </c>
      <c r="G226" s="3">
        <v>0.73958333333333337</v>
      </c>
      <c r="H226" s="3">
        <v>0.74305555555555558</v>
      </c>
      <c r="I226" s="1">
        <v>5</v>
      </c>
      <c r="J226" s="1"/>
      <c r="K226" s="1" t="s">
        <v>18</v>
      </c>
      <c r="L226" s="1" t="s">
        <v>19</v>
      </c>
      <c r="M226" s="1">
        <v>1232</v>
      </c>
    </row>
    <row r="227" spans="1:13" x14ac:dyDescent="0.35">
      <c r="A227" s="1" t="s">
        <v>493</v>
      </c>
      <c r="B227" s="2">
        <v>45974</v>
      </c>
      <c r="C227" s="1" t="s">
        <v>494</v>
      </c>
      <c r="D227" s="1" t="s">
        <v>27</v>
      </c>
      <c r="E227" s="1" t="s">
        <v>44</v>
      </c>
      <c r="F227" s="1" t="s">
        <v>38</v>
      </c>
      <c r="G227" s="3">
        <v>0.8125</v>
      </c>
      <c r="H227" s="3">
        <v>0.81805555555555554</v>
      </c>
      <c r="I227" s="1">
        <v>2880</v>
      </c>
      <c r="J227" s="1">
        <v>11</v>
      </c>
      <c r="K227" s="1" t="s">
        <v>18</v>
      </c>
      <c r="L227" s="1" t="s">
        <v>19</v>
      </c>
      <c r="M227" s="1">
        <v>1559</v>
      </c>
    </row>
    <row r="228" spans="1:13" x14ac:dyDescent="0.35">
      <c r="A228" s="1" t="s">
        <v>495</v>
      </c>
      <c r="B228" s="2">
        <v>45975</v>
      </c>
      <c r="C228" s="1" t="s">
        <v>496</v>
      </c>
      <c r="D228" s="1" t="s">
        <v>50</v>
      </c>
      <c r="E228" s="1" t="s">
        <v>27</v>
      </c>
      <c r="F228" s="1" t="s">
        <v>17</v>
      </c>
      <c r="G228" s="3">
        <v>0.4513888888888889</v>
      </c>
      <c r="H228" s="3">
        <v>0.45833333333333331</v>
      </c>
      <c r="I228" s="1">
        <v>10</v>
      </c>
      <c r="J228" s="1">
        <v>13</v>
      </c>
      <c r="K228" s="1"/>
      <c r="L228" s="1" t="s">
        <v>19</v>
      </c>
      <c r="M228" s="1">
        <v>730</v>
      </c>
    </row>
    <row r="229" spans="1:13" x14ac:dyDescent="0.35">
      <c r="A229" s="1" t="s">
        <v>497</v>
      </c>
      <c r="B229" s="2">
        <v>45975</v>
      </c>
      <c r="C229" s="1" t="s">
        <v>290</v>
      </c>
      <c r="D229" s="1" t="s">
        <v>23</v>
      </c>
      <c r="E229" s="1" t="s">
        <v>50</v>
      </c>
      <c r="F229" s="1" t="s">
        <v>28</v>
      </c>
      <c r="G229" s="3">
        <v>0.70833333333333337</v>
      </c>
      <c r="H229" s="3">
        <v>0.71319444444444446</v>
      </c>
      <c r="I229" s="1">
        <v>7</v>
      </c>
      <c r="J229" s="1">
        <v>-2</v>
      </c>
      <c r="K229" s="1" t="s">
        <v>18</v>
      </c>
      <c r="L229" s="1" t="s">
        <v>19</v>
      </c>
      <c r="M229" s="1">
        <v>1197</v>
      </c>
    </row>
    <row r="230" spans="1:13" x14ac:dyDescent="0.35">
      <c r="A230" s="1" t="s">
        <v>498</v>
      </c>
      <c r="B230" s="2">
        <v>45976</v>
      </c>
      <c r="C230" s="1" t="s">
        <v>499</v>
      </c>
      <c r="D230" s="1" t="s">
        <v>93</v>
      </c>
      <c r="E230" s="1" t="s">
        <v>23</v>
      </c>
      <c r="F230" s="1" t="s">
        <v>24</v>
      </c>
      <c r="G230" s="3">
        <v>0.2361111111111111</v>
      </c>
      <c r="H230" s="3">
        <v>0.23333333333333331</v>
      </c>
      <c r="I230" s="1">
        <v>-4</v>
      </c>
      <c r="J230" s="1">
        <v>-4</v>
      </c>
      <c r="K230" s="1" t="s">
        <v>18</v>
      </c>
      <c r="L230" s="1" t="s">
        <v>19</v>
      </c>
      <c r="M230" s="1">
        <v>886</v>
      </c>
    </row>
    <row r="231" spans="1:13" x14ac:dyDescent="0.35">
      <c r="A231" s="1" t="s">
        <v>500</v>
      </c>
      <c r="B231" s="2">
        <v>45976</v>
      </c>
      <c r="C231" s="1" t="s">
        <v>501</v>
      </c>
      <c r="D231" s="1" t="s">
        <v>214</v>
      </c>
      <c r="E231" s="1" t="s">
        <v>44</v>
      </c>
      <c r="F231" s="1" t="s">
        <v>24</v>
      </c>
      <c r="G231" s="3">
        <v>0.3263888888888889</v>
      </c>
      <c r="H231" s="3">
        <v>0.32708333333333328</v>
      </c>
      <c r="I231" s="1">
        <v>1</v>
      </c>
      <c r="J231" s="1">
        <v>-1</v>
      </c>
      <c r="K231" s="1" t="s">
        <v>18</v>
      </c>
      <c r="L231" s="1" t="s">
        <v>19</v>
      </c>
      <c r="M231" s="1">
        <v>1749</v>
      </c>
    </row>
    <row r="232" spans="1:13" x14ac:dyDescent="0.35">
      <c r="A232" s="1" t="s">
        <v>502</v>
      </c>
      <c r="B232" s="2">
        <v>45976</v>
      </c>
      <c r="C232" s="1" t="s">
        <v>470</v>
      </c>
      <c r="D232" s="1" t="s">
        <v>50</v>
      </c>
      <c r="E232" s="1" t="s">
        <v>15</v>
      </c>
      <c r="F232" s="1" t="s">
        <v>24</v>
      </c>
      <c r="G232" s="3">
        <v>0.3263888888888889</v>
      </c>
      <c r="H232" s="3">
        <v>0.3215277777777778</v>
      </c>
      <c r="I232" s="1">
        <v>-7</v>
      </c>
      <c r="J232" s="1">
        <v>-9</v>
      </c>
      <c r="K232" s="1" t="s">
        <v>18</v>
      </c>
      <c r="L232" s="1" t="s">
        <v>19</v>
      </c>
      <c r="M232" s="1">
        <v>1942</v>
      </c>
    </row>
    <row r="233" spans="1:13" x14ac:dyDescent="0.35">
      <c r="A233" s="1" t="s">
        <v>503</v>
      </c>
      <c r="B233" s="2">
        <v>45976</v>
      </c>
      <c r="C233" s="1" t="s">
        <v>504</v>
      </c>
      <c r="D233" s="1" t="s">
        <v>50</v>
      </c>
      <c r="E233" s="1" t="s">
        <v>22</v>
      </c>
      <c r="F233" s="1" t="s">
        <v>38</v>
      </c>
      <c r="G233" s="3">
        <v>0.33333333333333331</v>
      </c>
      <c r="H233" s="3">
        <v>0.33958333333333329</v>
      </c>
      <c r="I233" s="1">
        <v>9</v>
      </c>
      <c r="J233" s="1">
        <v>1</v>
      </c>
      <c r="K233" s="1" t="s">
        <v>18</v>
      </c>
      <c r="L233" s="1" t="s">
        <v>19</v>
      </c>
      <c r="M233" s="1">
        <v>759</v>
      </c>
    </row>
    <row r="234" spans="1:13" x14ac:dyDescent="0.35">
      <c r="A234" s="1" t="s">
        <v>505</v>
      </c>
      <c r="B234" s="2">
        <v>45976</v>
      </c>
      <c r="C234" s="1" t="s">
        <v>506</v>
      </c>
      <c r="D234" s="1" t="s">
        <v>23</v>
      </c>
      <c r="E234" s="1" t="s">
        <v>78</v>
      </c>
      <c r="F234" s="1" t="s">
        <v>17</v>
      </c>
      <c r="G234" s="3">
        <v>0.36458333333333331</v>
      </c>
      <c r="H234" s="3">
        <v>0.37083333333333329</v>
      </c>
      <c r="I234" s="1">
        <v>9</v>
      </c>
      <c r="J234" s="1">
        <v>12</v>
      </c>
      <c r="K234" s="1" t="s">
        <v>18</v>
      </c>
      <c r="L234" s="1" t="s">
        <v>19</v>
      </c>
      <c r="M234" s="1">
        <v>602</v>
      </c>
    </row>
    <row r="235" spans="1:13" x14ac:dyDescent="0.35">
      <c r="A235" s="1" t="s">
        <v>507</v>
      </c>
      <c r="B235" s="2">
        <v>45976</v>
      </c>
      <c r="C235" s="1" t="s">
        <v>508</v>
      </c>
      <c r="D235" s="1" t="s">
        <v>37</v>
      </c>
      <c r="E235" s="1" t="s">
        <v>44</v>
      </c>
      <c r="F235" s="1" t="s">
        <v>38</v>
      </c>
      <c r="G235" s="3">
        <v>0.59375</v>
      </c>
      <c r="H235" s="3">
        <v>0.59583333333333333</v>
      </c>
      <c r="I235" s="1">
        <v>3</v>
      </c>
      <c r="J235" s="1">
        <v>-3</v>
      </c>
      <c r="K235" s="1" t="s">
        <v>18</v>
      </c>
      <c r="L235" s="1" t="s">
        <v>19</v>
      </c>
      <c r="M235" s="1">
        <v>2489</v>
      </c>
    </row>
    <row r="236" spans="1:13" x14ac:dyDescent="0.35">
      <c r="A236" s="1" t="s">
        <v>509</v>
      </c>
      <c r="B236" s="2">
        <v>45976</v>
      </c>
      <c r="C236" s="1" t="s">
        <v>510</v>
      </c>
      <c r="D236" s="1" t="s">
        <v>23</v>
      </c>
      <c r="E236" s="1" t="s">
        <v>22</v>
      </c>
      <c r="F236" s="1" t="s">
        <v>17</v>
      </c>
      <c r="G236" s="3">
        <v>0.62152777777777779</v>
      </c>
      <c r="H236" s="3">
        <v>0.62013888888888891</v>
      </c>
      <c r="I236" s="1">
        <v>-2</v>
      </c>
      <c r="J236" s="1"/>
      <c r="K236" s="1" t="s">
        <v>18</v>
      </c>
      <c r="L236" s="1" t="s">
        <v>19</v>
      </c>
      <c r="M236" s="1">
        <v>1622</v>
      </c>
    </row>
    <row r="237" spans="1:13" x14ac:dyDescent="0.35">
      <c r="A237" s="1" t="s">
        <v>511</v>
      </c>
      <c r="B237" s="2">
        <v>45977</v>
      </c>
      <c r="C237" s="1" t="s">
        <v>512</v>
      </c>
      <c r="D237" s="1" t="s">
        <v>41</v>
      </c>
      <c r="E237" s="1" t="s">
        <v>50</v>
      </c>
      <c r="F237" s="1" t="s">
        <v>24</v>
      </c>
      <c r="G237" s="3">
        <v>0.22916666666666671</v>
      </c>
      <c r="H237" s="3">
        <v>0.23472222222222219</v>
      </c>
      <c r="I237" s="1">
        <v>8</v>
      </c>
      <c r="J237" s="1">
        <v>10</v>
      </c>
      <c r="K237" s="1" t="s">
        <v>18</v>
      </c>
      <c r="L237" s="1" t="s">
        <v>19</v>
      </c>
      <c r="M237" s="1">
        <v>596</v>
      </c>
    </row>
    <row r="238" spans="1:13" x14ac:dyDescent="0.35">
      <c r="A238" s="1" t="s">
        <v>513</v>
      </c>
      <c r="B238" s="2">
        <v>45977</v>
      </c>
      <c r="C238" s="1" t="s">
        <v>426</v>
      </c>
      <c r="D238" s="1" t="s">
        <v>16</v>
      </c>
      <c r="E238" s="1" t="s">
        <v>50</v>
      </c>
      <c r="F238" s="1" t="s">
        <v>17</v>
      </c>
      <c r="G238" s="3">
        <v>0.47569444444444442</v>
      </c>
      <c r="H238" s="3">
        <v>0.47638888888888892</v>
      </c>
      <c r="I238" s="1">
        <v>1</v>
      </c>
      <c r="J238" s="1">
        <v>-9</v>
      </c>
      <c r="K238" s="1" t="s">
        <v>18</v>
      </c>
      <c r="L238" s="1" t="s">
        <v>19</v>
      </c>
      <c r="M238" s="1">
        <v>606</v>
      </c>
    </row>
    <row r="239" spans="1:13" x14ac:dyDescent="0.35">
      <c r="A239" s="1" t="s">
        <v>514</v>
      </c>
      <c r="B239" s="2">
        <v>45977</v>
      </c>
      <c r="C239" s="1" t="s">
        <v>312</v>
      </c>
      <c r="D239" s="1" t="s">
        <v>23</v>
      </c>
      <c r="E239" s="1" t="s">
        <v>47</v>
      </c>
      <c r="F239" s="1" t="s">
        <v>24</v>
      </c>
      <c r="G239" s="3">
        <v>0.50694444444444442</v>
      </c>
      <c r="H239" s="3">
        <v>0.50555555555555554</v>
      </c>
      <c r="I239" s="1">
        <v>-2</v>
      </c>
      <c r="J239" s="1">
        <v>-11</v>
      </c>
      <c r="K239" s="1" t="s">
        <v>18</v>
      </c>
      <c r="L239" s="1" t="s">
        <v>19</v>
      </c>
      <c r="M239" s="1">
        <v>965</v>
      </c>
    </row>
    <row r="240" spans="1:13" x14ac:dyDescent="0.35">
      <c r="A240" s="1" t="s">
        <v>515</v>
      </c>
      <c r="B240" s="2">
        <v>45977</v>
      </c>
      <c r="C240" s="1" t="s">
        <v>190</v>
      </c>
      <c r="D240" s="1" t="s">
        <v>50</v>
      </c>
      <c r="E240" s="1" t="s">
        <v>22</v>
      </c>
      <c r="F240" s="1" t="s">
        <v>24</v>
      </c>
      <c r="G240" s="3">
        <v>0.65625</v>
      </c>
      <c r="H240" s="3">
        <v>0.66249999999999998</v>
      </c>
      <c r="I240" s="1">
        <v>9</v>
      </c>
      <c r="J240" s="1">
        <v>16</v>
      </c>
      <c r="K240" s="1" t="s">
        <v>18</v>
      </c>
      <c r="L240" s="1" t="s">
        <v>19</v>
      </c>
      <c r="M240" s="1">
        <v>759</v>
      </c>
    </row>
    <row r="241" spans="1:13" x14ac:dyDescent="0.35">
      <c r="A241" s="1" t="s">
        <v>516</v>
      </c>
      <c r="B241" s="2">
        <v>45977</v>
      </c>
      <c r="C241" s="1" t="s">
        <v>517</v>
      </c>
      <c r="D241" s="1" t="s">
        <v>22</v>
      </c>
      <c r="E241" s="1" t="s">
        <v>16</v>
      </c>
      <c r="F241" s="1" t="s">
        <v>38</v>
      </c>
      <c r="G241" s="3">
        <v>0.71180555555555558</v>
      </c>
      <c r="H241" s="3">
        <v>0.7368055555555556</v>
      </c>
      <c r="I241" s="1">
        <v>36</v>
      </c>
      <c r="J241" s="1">
        <v>34</v>
      </c>
      <c r="K241" s="1" t="s">
        <v>98</v>
      </c>
      <c r="L241" s="1" t="s">
        <v>19</v>
      </c>
      <c r="M241" s="1">
        <v>738</v>
      </c>
    </row>
    <row r="242" spans="1:13" x14ac:dyDescent="0.35">
      <c r="A242" s="1" t="s">
        <v>518</v>
      </c>
      <c r="B242" s="2">
        <v>45977</v>
      </c>
      <c r="C242" s="1" t="s">
        <v>519</v>
      </c>
      <c r="D242" s="1" t="s">
        <v>31</v>
      </c>
      <c r="E242" s="1" t="s">
        <v>27</v>
      </c>
      <c r="F242" s="1" t="s">
        <v>38</v>
      </c>
      <c r="G242" s="3">
        <v>0.75694444444444442</v>
      </c>
      <c r="H242" s="3">
        <v>0.79583333333333328</v>
      </c>
      <c r="I242" s="1">
        <v>56</v>
      </c>
      <c r="J242" s="1">
        <v>60</v>
      </c>
      <c r="K242" s="1" t="s">
        <v>54</v>
      </c>
      <c r="L242" s="1" t="s">
        <v>19</v>
      </c>
      <c r="M242" s="1">
        <v>1053</v>
      </c>
    </row>
    <row r="243" spans="1:13" x14ac:dyDescent="0.35">
      <c r="A243" s="1" t="s">
        <v>520</v>
      </c>
      <c r="B243" s="2">
        <v>45978</v>
      </c>
      <c r="C243" s="1" t="s">
        <v>521</v>
      </c>
      <c r="D243" s="1" t="s">
        <v>16</v>
      </c>
      <c r="E243" s="1" t="s">
        <v>50</v>
      </c>
      <c r="F243" s="1" t="s">
        <v>38</v>
      </c>
      <c r="G243" s="3">
        <v>0.41319444444444442</v>
      </c>
      <c r="H243" s="3">
        <v>0.4152777777777778</v>
      </c>
      <c r="I243" s="1">
        <v>3</v>
      </c>
      <c r="J243" s="1">
        <v>11</v>
      </c>
      <c r="K243" s="1" t="s">
        <v>18</v>
      </c>
      <c r="L243" s="1" t="s">
        <v>19</v>
      </c>
      <c r="M243" s="1">
        <v>606</v>
      </c>
    </row>
    <row r="244" spans="1:13" x14ac:dyDescent="0.35">
      <c r="A244" s="1" t="s">
        <v>522</v>
      </c>
      <c r="B244" s="2">
        <v>45978</v>
      </c>
      <c r="C244" s="1" t="s">
        <v>46</v>
      </c>
      <c r="D244" s="1" t="s">
        <v>27</v>
      </c>
      <c r="E244" s="1" t="s">
        <v>23</v>
      </c>
      <c r="F244" s="1" t="s">
        <v>38</v>
      </c>
      <c r="G244" s="3">
        <v>0.51388888888888884</v>
      </c>
      <c r="H244" s="3">
        <v>0.52013888888888893</v>
      </c>
      <c r="I244" s="1">
        <v>9</v>
      </c>
      <c r="J244" s="1">
        <v>0</v>
      </c>
      <c r="K244" s="1" t="s">
        <v>18</v>
      </c>
      <c r="L244" s="1" t="s">
        <v>19</v>
      </c>
      <c r="M244" s="1">
        <v>641</v>
      </c>
    </row>
    <row r="245" spans="1:13" x14ac:dyDescent="0.35">
      <c r="A245" s="1" t="s">
        <v>523</v>
      </c>
      <c r="B245" s="2">
        <v>45978</v>
      </c>
      <c r="C245" s="1" t="s">
        <v>524</v>
      </c>
      <c r="D245" s="1" t="s">
        <v>41</v>
      </c>
      <c r="E245" s="1" t="s">
        <v>27</v>
      </c>
      <c r="F245" s="1" t="s">
        <v>17</v>
      </c>
      <c r="G245" s="3">
        <v>0.67708333333333337</v>
      </c>
      <c r="H245" s="3">
        <v>0.67986111111111114</v>
      </c>
      <c r="I245" s="1">
        <v>4</v>
      </c>
      <c r="J245" s="1">
        <v>9</v>
      </c>
      <c r="K245" s="1" t="s">
        <v>18</v>
      </c>
      <c r="L245" s="1" t="s">
        <v>19</v>
      </c>
      <c r="M245" s="1">
        <v>1120</v>
      </c>
    </row>
    <row r="246" spans="1:13" x14ac:dyDescent="0.35">
      <c r="A246" s="1" t="s">
        <v>525</v>
      </c>
      <c r="B246" s="2">
        <v>45978</v>
      </c>
      <c r="C246" s="1" t="s">
        <v>526</v>
      </c>
      <c r="D246" s="1" t="s">
        <v>41</v>
      </c>
      <c r="E246" s="1" t="s">
        <v>50</v>
      </c>
      <c r="F246" s="1" t="s">
        <v>24</v>
      </c>
      <c r="G246" s="3">
        <v>0.73263888888888884</v>
      </c>
      <c r="H246" s="3">
        <v>0.73541666666666672</v>
      </c>
      <c r="I246" s="1">
        <v>4</v>
      </c>
      <c r="J246" s="1">
        <v>-4</v>
      </c>
      <c r="K246" s="1" t="s">
        <v>18</v>
      </c>
      <c r="L246" s="1" t="s">
        <v>19</v>
      </c>
      <c r="M246" s="1">
        <v>596</v>
      </c>
    </row>
    <row r="247" spans="1:13" x14ac:dyDescent="0.35">
      <c r="A247" s="1" t="s">
        <v>527</v>
      </c>
      <c r="B247" s="2">
        <v>45978</v>
      </c>
      <c r="C247" s="1" t="s">
        <v>528</v>
      </c>
      <c r="D247" s="1" t="s">
        <v>16</v>
      </c>
      <c r="E247" s="1" t="s">
        <v>27</v>
      </c>
      <c r="F247" s="1" t="s">
        <v>17</v>
      </c>
      <c r="G247" s="3">
        <v>0.80555555555555558</v>
      </c>
      <c r="H247" s="3">
        <v>0.80763888888888891</v>
      </c>
      <c r="I247" s="1">
        <v>3</v>
      </c>
      <c r="J247" s="1">
        <v>5</v>
      </c>
      <c r="K247" s="1"/>
      <c r="L247" s="1" t="s">
        <v>19</v>
      </c>
      <c r="M247" s="1">
        <v>802</v>
      </c>
    </row>
    <row r="248" spans="1:13" x14ac:dyDescent="0.35">
      <c r="A248" s="1" t="s">
        <v>529</v>
      </c>
      <c r="B248" s="2">
        <v>45979</v>
      </c>
      <c r="C248" s="1" t="s">
        <v>530</v>
      </c>
      <c r="D248" s="1" t="s">
        <v>59</v>
      </c>
      <c r="E248" s="1" t="s">
        <v>44</v>
      </c>
      <c r="F248" s="1" t="s">
        <v>24</v>
      </c>
      <c r="G248" s="3">
        <v>0.3263888888888889</v>
      </c>
      <c r="H248" s="3">
        <v>0.32708333333333328</v>
      </c>
      <c r="I248" s="1">
        <v>1</v>
      </c>
      <c r="J248" s="1">
        <v>4</v>
      </c>
      <c r="K248" s="1" t="s">
        <v>18</v>
      </c>
      <c r="L248" s="1" t="s">
        <v>19</v>
      </c>
      <c r="M248" s="1">
        <v>945</v>
      </c>
    </row>
    <row r="249" spans="1:13" x14ac:dyDescent="0.35">
      <c r="A249" s="1" t="s">
        <v>531</v>
      </c>
      <c r="B249" s="2">
        <v>45979</v>
      </c>
      <c r="C249" s="1" t="s">
        <v>532</v>
      </c>
      <c r="D249" s="1" t="s">
        <v>27</v>
      </c>
      <c r="E249" s="1" t="s">
        <v>23</v>
      </c>
      <c r="F249" s="1" t="s">
        <v>17</v>
      </c>
      <c r="G249" s="3">
        <v>0.69097222222222221</v>
      </c>
      <c r="H249" s="3">
        <v>0.71875</v>
      </c>
      <c r="I249" s="1">
        <v>40</v>
      </c>
      <c r="J249" s="1">
        <v>32</v>
      </c>
      <c r="K249" s="1" t="s">
        <v>60</v>
      </c>
      <c r="L249" s="1" t="s">
        <v>19</v>
      </c>
      <c r="M249" s="1">
        <v>641</v>
      </c>
    </row>
    <row r="250" spans="1:13" x14ac:dyDescent="0.35">
      <c r="A250" s="1" t="s">
        <v>533</v>
      </c>
      <c r="B250" s="2">
        <v>45979</v>
      </c>
      <c r="C250" s="1" t="s">
        <v>26</v>
      </c>
      <c r="D250" s="1" t="s">
        <v>23</v>
      </c>
      <c r="E250" s="1" t="s">
        <v>22</v>
      </c>
      <c r="F250" s="1" t="s">
        <v>28</v>
      </c>
      <c r="G250" s="3">
        <v>0.78125</v>
      </c>
      <c r="H250" s="3">
        <v>0.77777777777777779</v>
      </c>
      <c r="I250" s="1">
        <v>-5</v>
      </c>
      <c r="J250" s="1">
        <v>4</v>
      </c>
      <c r="K250" s="1" t="s">
        <v>18</v>
      </c>
      <c r="L250" s="1" t="s">
        <v>19</v>
      </c>
      <c r="M250" s="1">
        <v>1622</v>
      </c>
    </row>
    <row r="251" spans="1:13" x14ac:dyDescent="0.35">
      <c r="A251" s="1" t="s">
        <v>534</v>
      </c>
      <c r="B251" s="2">
        <v>45980</v>
      </c>
      <c r="C251" s="1" t="s">
        <v>535</v>
      </c>
      <c r="D251" s="1" t="s">
        <v>78</v>
      </c>
      <c r="E251" s="1" t="s">
        <v>23</v>
      </c>
      <c r="F251" s="1" t="s">
        <v>24</v>
      </c>
      <c r="G251" s="3">
        <v>0.34375</v>
      </c>
      <c r="H251" s="3">
        <v>0.34236111111111112</v>
      </c>
      <c r="I251" s="1">
        <v>-2</v>
      </c>
      <c r="J251" s="1">
        <v>-13</v>
      </c>
      <c r="K251" s="1" t="s">
        <v>18</v>
      </c>
      <c r="L251" s="1" t="s">
        <v>19</v>
      </c>
      <c r="M251" s="1">
        <v>602</v>
      </c>
    </row>
    <row r="252" spans="1:13" x14ac:dyDescent="0.35">
      <c r="A252" s="1" t="s">
        <v>536</v>
      </c>
      <c r="B252" s="2">
        <v>45980</v>
      </c>
      <c r="C252" s="1" t="s">
        <v>532</v>
      </c>
      <c r="D252" s="1" t="s">
        <v>50</v>
      </c>
      <c r="E252" s="1" t="s">
        <v>41</v>
      </c>
      <c r="F252" s="1" t="s">
        <v>24</v>
      </c>
      <c r="G252" s="3">
        <v>0.39583333333333331</v>
      </c>
      <c r="H252" s="3">
        <v>0.42291666666666672</v>
      </c>
      <c r="I252" s="1">
        <v>39</v>
      </c>
      <c r="J252" s="1">
        <v>42</v>
      </c>
      <c r="K252" s="1" t="s">
        <v>477</v>
      </c>
      <c r="L252" s="1" t="s">
        <v>19</v>
      </c>
      <c r="M252" s="1">
        <v>596</v>
      </c>
    </row>
    <row r="253" spans="1:13" x14ac:dyDescent="0.35">
      <c r="A253" s="1" t="s">
        <v>537</v>
      </c>
      <c r="B253" s="2">
        <v>45980</v>
      </c>
      <c r="C253" s="1" t="s">
        <v>363</v>
      </c>
      <c r="D253" s="1" t="s">
        <v>15</v>
      </c>
      <c r="E253" s="1" t="s">
        <v>27</v>
      </c>
      <c r="F253" s="1" t="s">
        <v>28</v>
      </c>
      <c r="G253" s="3">
        <v>0.4861111111111111</v>
      </c>
      <c r="H253" s="3">
        <v>0.48472222222222222</v>
      </c>
      <c r="I253" s="1">
        <v>-2</v>
      </c>
      <c r="J253" s="1">
        <v>-1</v>
      </c>
      <c r="K253" s="1"/>
      <c r="L253" s="1" t="s">
        <v>19</v>
      </c>
      <c r="M253" s="1">
        <v>1232</v>
      </c>
    </row>
    <row r="254" spans="1:13" x14ac:dyDescent="0.35">
      <c r="A254" s="1" t="s">
        <v>538</v>
      </c>
      <c r="B254" s="2">
        <v>45980</v>
      </c>
      <c r="C254" s="1" t="s">
        <v>539</v>
      </c>
      <c r="D254" s="1" t="s">
        <v>50</v>
      </c>
      <c r="E254" s="1" t="s">
        <v>44</v>
      </c>
      <c r="F254" s="1" t="s">
        <v>28</v>
      </c>
      <c r="G254" s="3">
        <v>0.74652777777777779</v>
      </c>
      <c r="H254" s="3">
        <v>0.75208333333333333</v>
      </c>
      <c r="I254" s="1">
        <v>8</v>
      </c>
      <c r="J254" s="1">
        <v>16</v>
      </c>
      <c r="K254" s="1" t="s">
        <v>18</v>
      </c>
      <c r="L254" s="1" t="s">
        <v>19</v>
      </c>
      <c r="M254" s="1">
        <v>945</v>
      </c>
    </row>
    <row r="255" spans="1:13" x14ac:dyDescent="0.35">
      <c r="A255" s="1" t="s">
        <v>540</v>
      </c>
      <c r="B255" s="2">
        <v>45980</v>
      </c>
      <c r="C255" s="1" t="s">
        <v>541</v>
      </c>
      <c r="D255" s="1" t="s">
        <v>27</v>
      </c>
      <c r="E255" s="1" t="s">
        <v>22</v>
      </c>
      <c r="F255" s="1" t="s">
        <v>24</v>
      </c>
      <c r="G255" s="3">
        <v>0.78125</v>
      </c>
      <c r="H255" s="3">
        <v>0.79236111111111107</v>
      </c>
      <c r="I255" s="1">
        <v>16</v>
      </c>
      <c r="J255" s="1">
        <v>11</v>
      </c>
      <c r="K255" s="1" t="s">
        <v>303</v>
      </c>
      <c r="L255" s="1" t="s">
        <v>19</v>
      </c>
      <c r="M255" s="1">
        <v>1389</v>
      </c>
    </row>
    <row r="256" spans="1:13" x14ac:dyDescent="0.35">
      <c r="A256" s="1" t="s">
        <v>542</v>
      </c>
      <c r="B256" s="2">
        <v>45981</v>
      </c>
      <c r="C256" s="1" t="s">
        <v>543</v>
      </c>
      <c r="D256" s="1" t="s">
        <v>22</v>
      </c>
      <c r="E256" s="1" t="s">
        <v>47</v>
      </c>
      <c r="F256" s="1" t="s">
        <v>24</v>
      </c>
      <c r="G256" s="3">
        <v>0.33333333333333331</v>
      </c>
      <c r="H256" s="3">
        <v>0.36666666666666659</v>
      </c>
      <c r="I256" s="1">
        <v>48</v>
      </c>
      <c r="J256" s="1">
        <v>37</v>
      </c>
      <c r="K256" s="1" t="s">
        <v>276</v>
      </c>
      <c r="L256" s="1" t="s">
        <v>19</v>
      </c>
      <c r="M256" s="1">
        <v>2580</v>
      </c>
    </row>
    <row r="257" spans="1:13" x14ac:dyDescent="0.35">
      <c r="A257" s="1" t="s">
        <v>544</v>
      </c>
      <c r="B257" s="2">
        <v>45981</v>
      </c>
      <c r="C257" s="1" t="s">
        <v>307</v>
      </c>
      <c r="D257" s="1" t="s">
        <v>84</v>
      </c>
      <c r="E257" s="1" t="s">
        <v>16</v>
      </c>
      <c r="F257" s="1" t="s">
        <v>17</v>
      </c>
      <c r="G257" s="3">
        <v>0.36805555555555558</v>
      </c>
      <c r="H257" s="3">
        <v>0.39861111111111108</v>
      </c>
      <c r="I257" s="1">
        <v>44</v>
      </c>
      <c r="J257" s="1">
        <v>38</v>
      </c>
      <c r="K257" s="1" t="s">
        <v>319</v>
      </c>
      <c r="L257" s="1" t="s">
        <v>19</v>
      </c>
      <c r="M257" s="1">
        <v>1717</v>
      </c>
    </row>
    <row r="258" spans="1:13" x14ac:dyDescent="0.35">
      <c r="A258" s="1" t="s">
        <v>545</v>
      </c>
      <c r="B258" s="2">
        <v>45981</v>
      </c>
      <c r="C258" s="1" t="s">
        <v>70</v>
      </c>
      <c r="D258" s="1" t="s">
        <v>44</v>
      </c>
      <c r="E258" s="1" t="s">
        <v>546</v>
      </c>
      <c r="F258" s="1" t="s">
        <v>17</v>
      </c>
      <c r="G258" s="3">
        <v>0.6875</v>
      </c>
      <c r="H258" s="3">
        <v>0.68194444444444446</v>
      </c>
      <c r="I258" s="1">
        <v>-8</v>
      </c>
      <c r="J258" s="1">
        <v>-18</v>
      </c>
      <c r="K258" s="1" t="s">
        <v>18</v>
      </c>
      <c r="L258" s="1" t="s">
        <v>19</v>
      </c>
      <c r="M258" s="1">
        <v>2375</v>
      </c>
    </row>
    <row r="259" spans="1:13" x14ac:dyDescent="0.35">
      <c r="A259" s="1" t="s">
        <v>547</v>
      </c>
      <c r="B259" s="2">
        <v>45981</v>
      </c>
      <c r="C259" s="1" t="s">
        <v>548</v>
      </c>
      <c r="D259" s="1" t="s">
        <v>27</v>
      </c>
      <c r="E259" s="1" t="s">
        <v>15</v>
      </c>
      <c r="F259" s="1" t="s">
        <v>38</v>
      </c>
      <c r="G259" s="3">
        <v>0.90277777777777779</v>
      </c>
      <c r="H259" s="3">
        <v>0.90763888888888888</v>
      </c>
      <c r="I259" s="1">
        <v>7</v>
      </c>
      <c r="J259" s="1">
        <v>11</v>
      </c>
      <c r="K259" s="1" t="s">
        <v>18</v>
      </c>
      <c r="L259" s="1" t="s">
        <v>19</v>
      </c>
      <c r="M259" s="1">
        <v>1232</v>
      </c>
    </row>
    <row r="260" spans="1:13" x14ac:dyDescent="0.35">
      <c r="A260" s="1" t="s">
        <v>549</v>
      </c>
      <c r="B260" s="2">
        <v>45982</v>
      </c>
      <c r="C260" s="1" t="s">
        <v>56</v>
      </c>
      <c r="D260" s="1" t="s">
        <v>22</v>
      </c>
      <c r="E260" s="1" t="s">
        <v>16</v>
      </c>
      <c r="F260" s="1" t="s">
        <v>17</v>
      </c>
      <c r="G260" s="3">
        <v>0.40972222222222221</v>
      </c>
      <c r="H260" s="3">
        <v>0.40902777777777782</v>
      </c>
      <c r="I260" s="1">
        <v>-1</v>
      </c>
      <c r="J260" s="1">
        <v>3</v>
      </c>
      <c r="K260" s="1"/>
      <c r="L260" s="1" t="s">
        <v>19</v>
      </c>
      <c r="M260" s="1">
        <v>738</v>
      </c>
    </row>
    <row r="261" spans="1:13" x14ac:dyDescent="0.35">
      <c r="A261" s="1" t="s">
        <v>550</v>
      </c>
      <c r="B261" s="2">
        <v>45982</v>
      </c>
      <c r="C261" s="1" t="s">
        <v>286</v>
      </c>
      <c r="D261" s="1" t="s">
        <v>50</v>
      </c>
      <c r="E261" s="1" t="s">
        <v>27</v>
      </c>
      <c r="F261" s="1" t="s">
        <v>24</v>
      </c>
      <c r="G261" s="3">
        <v>0.73263888888888884</v>
      </c>
      <c r="H261" s="3">
        <v>0.73124999999999996</v>
      </c>
      <c r="I261" s="1">
        <v>-2</v>
      </c>
      <c r="J261" s="1">
        <v>-5</v>
      </c>
      <c r="K261" s="1" t="s">
        <v>18</v>
      </c>
      <c r="L261" s="1" t="s">
        <v>19</v>
      </c>
      <c r="M261" s="1">
        <v>730</v>
      </c>
    </row>
    <row r="262" spans="1:13" x14ac:dyDescent="0.35">
      <c r="A262" s="1" t="s">
        <v>551</v>
      </c>
      <c r="B262" s="2">
        <v>45983</v>
      </c>
      <c r="C262" s="1" t="s">
        <v>552</v>
      </c>
      <c r="D262" s="1" t="s">
        <v>44</v>
      </c>
      <c r="E262" s="1" t="s">
        <v>23</v>
      </c>
      <c r="F262" s="1" t="s">
        <v>24</v>
      </c>
      <c r="G262" s="3">
        <v>0.46875</v>
      </c>
      <c r="H262" s="3">
        <v>0.47152777777777782</v>
      </c>
      <c r="I262" s="1">
        <v>4</v>
      </c>
      <c r="J262" s="1">
        <v>-1</v>
      </c>
      <c r="K262" s="1" t="s">
        <v>18</v>
      </c>
      <c r="L262" s="1" t="s">
        <v>19</v>
      </c>
      <c r="M262" s="1">
        <v>1749</v>
      </c>
    </row>
    <row r="263" spans="1:13" x14ac:dyDescent="0.35">
      <c r="A263" s="1" t="s">
        <v>553</v>
      </c>
      <c r="B263" s="2">
        <v>45983</v>
      </c>
      <c r="C263" s="1" t="s">
        <v>554</v>
      </c>
      <c r="D263" s="1" t="s">
        <v>50</v>
      </c>
      <c r="E263" s="1" t="s">
        <v>555</v>
      </c>
      <c r="F263" s="1" t="s">
        <v>24</v>
      </c>
      <c r="G263" s="3">
        <v>0.72916666666666663</v>
      </c>
      <c r="H263" s="3">
        <v>0.7270833333333333</v>
      </c>
      <c r="I263" s="1">
        <v>-3</v>
      </c>
      <c r="J263" s="1">
        <v>-9</v>
      </c>
      <c r="K263" s="1" t="s">
        <v>18</v>
      </c>
      <c r="L263" s="1" t="s">
        <v>19</v>
      </c>
      <c r="M263" s="1">
        <v>606</v>
      </c>
    </row>
    <row r="264" spans="1:13" x14ac:dyDescent="0.35">
      <c r="A264" s="1" t="s">
        <v>556</v>
      </c>
      <c r="B264" s="2">
        <v>45984</v>
      </c>
      <c r="C264" s="1" t="s">
        <v>557</v>
      </c>
      <c r="D264" s="1" t="s">
        <v>31</v>
      </c>
      <c r="E264" s="1" t="s">
        <v>22</v>
      </c>
      <c r="F264" s="1" t="s">
        <v>24</v>
      </c>
      <c r="G264" s="3">
        <v>0.84375</v>
      </c>
      <c r="H264" s="3">
        <v>0.84236111111111112</v>
      </c>
      <c r="I264" s="1">
        <v>-2</v>
      </c>
      <c r="J264" s="1">
        <v>-7</v>
      </c>
      <c r="K264" s="1" t="s">
        <v>18</v>
      </c>
      <c r="L264" s="1" t="s">
        <v>19</v>
      </c>
      <c r="M264" s="1">
        <v>2243</v>
      </c>
    </row>
    <row r="265" spans="1:13" x14ac:dyDescent="0.35">
      <c r="A265" s="1" t="s">
        <v>558</v>
      </c>
      <c r="B265" s="2">
        <v>45985</v>
      </c>
      <c r="C265" s="1" t="s">
        <v>559</v>
      </c>
      <c r="D265" s="1" t="s">
        <v>23</v>
      </c>
      <c r="E265" s="1" t="s">
        <v>27</v>
      </c>
      <c r="F265" s="1" t="s">
        <v>24</v>
      </c>
      <c r="G265" s="3">
        <v>0.64236111111111116</v>
      </c>
      <c r="H265" s="3">
        <v>0.64027777777777772</v>
      </c>
      <c r="I265" s="1">
        <v>-3</v>
      </c>
      <c r="J265" s="1">
        <v>5</v>
      </c>
      <c r="K265" s="1" t="s">
        <v>18</v>
      </c>
      <c r="L265" s="1" t="s">
        <v>19</v>
      </c>
      <c r="M265" s="1">
        <v>641</v>
      </c>
    </row>
    <row r="266" spans="1:13" x14ac:dyDescent="0.35">
      <c r="A266" s="1" t="s">
        <v>560</v>
      </c>
      <c r="B266" s="2">
        <v>45985</v>
      </c>
      <c r="C266" s="1" t="s">
        <v>506</v>
      </c>
      <c r="D266" s="1" t="s">
        <v>16</v>
      </c>
      <c r="E266" s="1" t="s">
        <v>50</v>
      </c>
      <c r="F266" s="1" t="s">
        <v>24</v>
      </c>
      <c r="G266" s="3">
        <v>0.70138888888888884</v>
      </c>
      <c r="H266" s="3">
        <v>0.70763888888888893</v>
      </c>
      <c r="I266" s="1">
        <v>9</v>
      </c>
      <c r="J266" s="1">
        <v>12</v>
      </c>
      <c r="K266" s="1" t="s">
        <v>18</v>
      </c>
      <c r="L266" s="1" t="s">
        <v>19</v>
      </c>
      <c r="M266" s="1">
        <v>606</v>
      </c>
    </row>
    <row r="267" spans="1:13" x14ac:dyDescent="0.35">
      <c r="A267" s="1" t="s">
        <v>561</v>
      </c>
      <c r="B267" s="2">
        <v>45986</v>
      </c>
      <c r="C267" s="1" t="s">
        <v>562</v>
      </c>
      <c r="D267" s="1" t="s">
        <v>41</v>
      </c>
      <c r="E267" s="1" t="s">
        <v>44</v>
      </c>
      <c r="F267" s="1" t="s">
        <v>17</v>
      </c>
      <c r="G267" s="3">
        <v>0.25</v>
      </c>
      <c r="H267" s="3">
        <v>0.25347222222222221</v>
      </c>
      <c r="I267" s="1">
        <v>5</v>
      </c>
      <c r="J267" s="1">
        <v>3</v>
      </c>
      <c r="K267" s="1" t="s">
        <v>18</v>
      </c>
      <c r="L267" s="1" t="s">
        <v>19</v>
      </c>
      <c r="M267" s="1">
        <v>1260</v>
      </c>
    </row>
    <row r="268" spans="1:13" x14ac:dyDescent="0.35">
      <c r="A268" s="1" t="s">
        <v>563</v>
      </c>
      <c r="B268" s="2">
        <v>45986</v>
      </c>
      <c r="C268" s="1" t="s">
        <v>167</v>
      </c>
      <c r="D268" s="1" t="s">
        <v>50</v>
      </c>
      <c r="E268" s="1" t="s">
        <v>27</v>
      </c>
      <c r="F268" s="1" t="s">
        <v>17</v>
      </c>
      <c r="G268" s="3">
        <v>0.28819444444444442</v>
      </c>
      <c r="H268" s="3">
        <v>0.29375000000000001</v>
      </c>
      <c r="I268" s="1">
        <v>8</v>
      </c>
      <c r="J268" s="1">
        <v>18</v>
      </c>
      <c r="K268" s="1"/>
      <c r="L268" s="1" t="s">
        <v>19</v>
      </c>
      <c r="M268" s="1">
        <v>730</v>
      </c>
    </row>
    <row r="269" spans="1:13" x14ac:dyDescent="0.35">
      <c r="A269" s="1" t="s">
        <v>564</v>
      </c>
      <c r="B269" s="2">
        <v>45986</v>
      </c>
      <c r="C269" s="1" t="s">
        <v>565</v>
      </c>
      <c r="D269" s="1" t="s">
        <v>47</v>
      </c>
      <c r="E269" s="1" t="s">
        <v>16</v>
      </c>
      <c r="F269" s="1" t="s">
        <v>17</v>
      </c>
      <c r="G269" s="3">
        <v>0.37847222222222221</v>
      </c>
      <c r="H269" s="3">
        <v>0.38263888888888892</v>
      </c>
      <c r="I269" s="1">
        <v>6</v>
      </c>
      <c r="J269" s="1">
        <v>9</v>
      </c>
      <c r="K269" s="1"/>
      <c r="L269" s="1" t="s">
        <v>19</v>
      </c>
      <c r="M269" s="1">
        <v>1842</v>
      </c>
    </row>
    <row r="270" spans="1:13" x14ac:dyDescent="0.35">
      <c r="A270" s="1" t="s">
        <v>566</v>
      </c>
      <c r="B270" s="2">
        <v>45986</v>
      </c>
      <c r="C270" s="1" t="s">
        <v>567</v>
      </c>
      <c r="D270" s="1" t="s">
        <v>22</v>
      </c>
      <c r="E270" s="1" t="s">
        <v>37</v>
      </c>
      <c r="F270" s="1" t="s">
        <v>28</v>
      </c>
      <c r="G270" s="3">
        <v>0.4861111111111111</v>
      </c>
      <c r="H270" s="3">
        <v>0.48819444444444438</v>
      </c>
      <c r="I270" s="1">
        <v>3</v>
      </c>
      <c r="J270" s="1">
        <v>-1</v>
      </c>
      <c r="K270" s="1" t="s">
        <v>18</v>
      </c>
      <c r="L270" s="1" t="s">
        <v>19</v>
      </c>
      <c r="M270" s="1">
        <v>2415</v>
      </c>
    </row>
    <row r="271" spans="1:13" x14ac:dyDescent="0.35">
      <c r="A271" s="1" t="s">
        <v>568</v>
      </c>
      <c r="B271" s="2">
        <v>45987</v>
      </c>
      <c r="C271" s="1" t="s">
        <v>334</v>
      </c>
      <c r="D271" s="1" t="s">
        <v>50</v>
      </c>
      <c r="E271" s="1" t="s">
        <v>27</v>
      </c>
      <c r="F271" s="1" t="s">
        <v>38</v>
      </c>
      <c r="G271" s="3">
        <v>0.25347222222222221</v>
      </c>
      <c r="H271" s="3">
        <v>0.2479166666666667</v>
      </c>
      <c r="I271" s="1">
        <v>-8</v>
      </c>
      <c r="J271" s="1">
        <v>-13</v>
      </c>
      <c r="K271" s="1" t="s">
        <v>18</v>
      </c>
      <c r="L271" s="1" t="s">
        <v>19</v>
      </c>
      <c r="M271" s="1">
        <v>730</v>
      </c>
    </row>
    <row r="272" spans="1:13" x14ac:dyDescent="0.35">
      <c r="A272" s="1" t="s">
        <v>569</v>
      </c>
      <c r="B272" s="2">
        <v>45987</v>
      </c>
      <c r="C272" s="1" t="s">
        <v>570</v>
      </c>
      <c r="D272" s="1" t="s">
        <v>50</v>
      </c>
      <c r="E272" s="1" t="s">
        <v>15</v>
      </c>
      <c r="F272" s="1" t="s">
        <v>38</v>
      </c>
      <c r="G272" s="3">
        <v>0.54166666666666663</v>
      </c>
      <c r="H272" s="3">
        <v>0.55902777777777779</v>
      </c>
      <c r="I272" s="1">
        <v>25</v>
      </c>
      <c r="J272" s="1">
        <v>23</v>
      </c>
      <c r="K272" s="1" t="s">
        <v>54</v>
      </c>
      <c r="L272" s="1" t="s">
        <v>19</v>
      </c>
      <c r="M272" s="1">
        <v>1942</v>
      </c>
    </row>
    <row r="273" spans="1:13" x14ac:dyDescent="0.35">
      <c r="A273" s="1" t="s">
        <v>571</v>
      </c>
      <c r="B273" s="2">
        <v>45988</v>
      </c>
      <c r="C273" s="1" t="s">
        <v>186</v>
      </c>
      <c r="D273" s="1" t="s">
        <v>23</v>
      </c>
      <c r="E273" s="1" t="s">
        <v>22</v>
      </c>
      <c r="F273" s="1" t="s">
        <v>28</v>
      </c>
      <c r="G273" s="3">
        <v>0.54861111111111116</v>
      </c>
      <c r="H273" s="3">
        <v>0.5541666666666667</v>
      </c>
      <c r="I273" s="1">
        <v>8</v>
      </c>
      <c r="J273" s="1">
        <v>15</v>
      </c>
      <c r="K273" s="1" t="s">
        <v>18</v>
      </c>
      <c r="L273" s="1" t="s">
        <v>19</v>
      </c>
      <c r="M273" s="1">
        <v>1622</v>
      </c>
    </row>
    <row r="274" spans="1:13" x14ac:dyDescent="0.35">
      <c r="A274" s="1" t="s">
        <v>572</v>
      </c>
      <c r="B274" s="2">
        <v>45988</v>
      </c>
      <c r="C274" s="1" t="s">
        <v>573</v>
      </c>
      <c r="D274" s="1" t="s">
        <v>50</v>
      </c>
      <c r="E274" s="1" t="s">
        <v>22</v>
      </c>
      <c r="F274" s="1" t="s">
        <v>17</v>
      </c>
      <c r="G274" s="3">
        <v>0.5625</v>
      </c>
      <c r="H274" s="3">
        <v>0.56944444444444442</v>
      </c>
      <c r="I274" s="1">
        <v>10</v>
      </c>
      <c r="J274" s="1">
        <v>19</v>
      </c>
      <c r="K274" s="1"/>
      <c r="L274" s="1" t="s">
        <v>19</v>
      </c>
      <c r="M274" s="1">
        <v>759</v>
      </c>
    </row>
    <row r="275" spans="1:13" x14ac:dyDescent="0.35">
      <c r="A275" s="1" t="s">
        <v>574</v>
      </c>
      <c r="B275" s="2">
        <v>45989</v>
      </c>
      <c r="C275" s="1" t="s">
        <v>575</v>
      </c>
      <c r="D275" s="1" t="s">
        <v>22</v>
      </c>
      <c r="E275" s="1" t="s">
        <v>27</v>
      </c>
      <c r="F275" s="1" t="s">
        <v>38</v>
      </c>
      <c r="G275" s="3">
        <v>0.33333333333333331</v>
      </c>
      <c r="H275" s="3">
        <v>0.33124999999999999</v>
      </c>
      <c r="I275" s="1">
        <v>-3</v>
      </c>
      <c r="J275" s="1">
        <v>-12</v>
      </c>
      <c r="K275" s="1" t="s">
        <v>18</v>
      </c>
      <c r="L275" s="1" t="s">
        <v>19</v>
      </c>
      <c r="M275" s="1">
        <v>1389</v>
      </c>
    </row>
    <row r="276" spans="1:13" x14ac:dyDescent="0.35">
      <c r="A276" s="1" t="s">
        <v>576</v>
      </c>
      <c r="B276" s="2">
        <v>45989</v>
      </c>
      <c r="C276" s="1" t="s">
        <v>577</v>
      </c>
      <c r="D276" s="1" t="s">
        <v>27</v>
      </c>
      <c r="E276" s="1" t="s">
        <v>16</v>
      </c>
      <c r="F276" s="1" t="s">
        <v>28</v>
      </c>
      <c r="G276" s="3">
        <v>0.70833333333333337</v>
      </c>
      <c r="H276" s="3">
        <v>0.71527777777777779</v>
      </c>
      <c r="I276" s="1">
        <v>10</v>
      </c>
      <c r="J276" s="1">
        <v>3</v>
      </c>
      <c r="K276" s="1" t="s">
        <v>18</v>
      </c>
      <c r="L276" s="1" t="s">
        <v>19</v>
      </c>
      <c r="M276" s="1">
        <v>802</v>
      </c>
    </row>
    <row r="277" spans="1:13" x14ac:dyDescent="0.35">
      <c r="A277" s="1" t="s">
        <v>578</v>
      </c>
      <c r="B277" s="2">
        <v>45990</v>
      </c>
      <c r="C277" s="1" t="s">
        <v>579</v>
      </c>
      <c r="D277" s="1" t="s">
        <v>50</v>
      </c>
      <c r="E277" s="1" t="s">
        <v>44</v>
      </c>
      <c r="F277" s="1" t="s">
        <v>28</v>
      </c>
      <c r="G277" s="3">
        <v>0.31944444444444442</v>
      </c>
      <c r="H277" s="3">
        <v>0.31527777777777782</v>
      </c>
      <c r="I277" s="1">
        <v>-6</v>
      </c>
      <c r="J277" s="1">
        <v>3</v>
      </c>
      <c r="K277" s="1"/>
      <c r="L277" s="1" t="s">
        <v>19</v>
      </c>
      <c r="M277" s="1">
        <v>945</v>
      </c>
    </row>
    <row r="278" spans="1:13" x14ac:dyDescent="0.35">
      <c r="A278" s="1" t="s">
        <v>580</v>
      </c>
      <c r="B278" s="2">
        <v>45990</v>
      </c>
      <c r="C278" s="1" t="s">
        <v>581</v>
      </c>
      <c r="D278" s="1" t="s">
        <v>202</v>
      </c>
      <c r="E278" s="1" t="s">
        <v>16</v>
      </c>
      <c r="F278" s="1" t="s">
        <v>24</v>
      </c>
      <c r="G278" s="3">
        <v>0.63194444444444442</v>
      </c>
      <c r="H278" s="3">
        <v>0.62777777777777777</v>
      </c>
      <c r="I278" s="1">
        <v>-6</v>
      </c>
      <c r="J278" s="1">
        <v>-10</v>
      </c>
      <c r="K278" s="1" t="s">
        <v>18</v>
      </c>
      <c r="L278" s="1" t="s">
        <v>19</v>
      </c>
      <c r="M278" s="1">
        <v>1199</v>
      </c>
    </row>
    <row r="279" spans="1:13" x14ac:dyDescent="0.35">
      <c r="A279" s="1" t="s">
        <v>580</v>
      </c>
      <c r="B279" s="2">
        <v>45990</v>
      </c>
      <c r="C279" s="1" t="s">
        <v>581</v>
      </c>
      <c r="D279" s="1" t="s">
        <v>202</v>
      </c>
      <c r="E279" s="1" t="s">
        <v>16</v>
      </c>
      <c r="F279" s="1" t="s">
        <v>24</v>
      </c>
      <c r="G279" s="3">
        <v>0.63194444444444442</v>
      </c>
      <c r="H279" s="3">
        <v>0.62777777777777777</v>
      </c>
      <c r="I279" s="1">
        <v>-6</v>
      </c>
      <c r="J279" s="1">
        <v>-10</v>
      </c>
      <c r="K279" s="1" t="s">
        <v>18</v>
      </c>
      <c r="L279" s="1" t="s">
        <v>19</v>
      </c>
      <c r="M279" s="1">
        <v>1199</v>
      </c>
    </row>
    <row r="280" spans="1:13" x14ac:dyDescent="0.35">
      <c r="A280" s="1" t="s">
        <v>582</v>
      </c>
      <c r="B280" s="2">
        <v>45991</v>
      </c>
      <c r="C280" s="1" t="s">
        <v>583</v>
      </c>
      <c r="D280" s="1" t="s">
        <v>47</v>
      </c>
      <c r="E280" s="1" t="s">
        <v>16</v>
      </c>
      <c r="F280" s="1" t="s">
        <v>17</v>
      </c>
      <c r="G280" s="3">
        <v>0.4861111111111111</v>
      </c>
      <c r="H280" s="3">
        <v>0.48888888888888887</v>
      </c>
      <c r="I280" s="1">
        <v>4</v>
      </c>
      <c r="J280" s="1">
        <v>-6</v>
      </c>
      <c r="K280" s="1" t="s">
        <v>18</v>
      </c>
      <c r="L280" s="1" t="s">
        <v>19</v>
      </c>
      <c r="M280" s="1">
        <v>1842</v>
      </c>
    </row>
    <row r="281" spans="1:13" x14ac:dyDescent="0.35">
      <c r="A281" s="1" t="s">
        <v>584</v>
      </c>
      <c r="B281" s="2">
        <v>45991</v>
      </c>
      <c r="C281" s="1" t="s">
        <v>585</v>
      </c>
      <c r="D281" s="1" t="s">
        <v>50</v>
      </c>
      <c r="E281" s="1" t="s">
        <v>15</v>
      </c>
      <c r="F281" s="1" t="s">
        <v>24</v>
      </c>
      <c r="G281" s="3">
        <v>0.61458333333333337</v>
      </c>
      <c r="H281" s="3">
        <v>0.61111111111111116</v>
      </c>
      <c r="I281" s="1">
        <v>-5</v>
      </c>
      <c r="J281" s="1">
        <v>4</v>
      </c>
      <c r="K281" s="1" t="s">
        <v>18</v>
      </c>
      <c r="L281" s="1" t="s">
        <v>19</v>
      </c>
      <c r="M281" s="1">
        <v>1942</v>
      </c>
    </row>
    <row r="282" spans="1:13" x14ac:dyDescent="0.35">
      <c r="A282" s="1" t="s">
        <v>586</v>
      </c>
      <c r="B282" s="2">
        <v>45991</v>
      </c>
      <c r="C282" s="1" t="s">
        <v>587</v>
      </c>
      <c r="D282" s="1" t="s">
        <v>588</v>
      </c>
      <c r="E282" s="1" t="s">
        <v>31</v>
      </c>
      <c r="F282" s="1" t="s">
        <v>24</v>
      </c>
      <c r="G282" s="3">
        <v>0.8125</v>
      </c>
      <c r="H282" s="3">
        <v>0.81527777777777777</v>
      </c>
      <c r="I282" s="1">
        <v>4</v>
      </c>
      <c r="J282" s="1">
        <v>6</v>
      </c>
      <c r="K282" s="1"/>
      <c r="L282" s="1" t="s">
        <v>19</v>
      </c>
      <c r="M282" s="1">
        <v>1053</v>
      </c>
    </row>
    <row r="283" spans="1:13" x14ac:dyDescent="0.35">
      <c r="A283" s="1" t="s">
        <v>589</v>
      </c>
      <c r="B283" s="2">
        <v>45992</v>
      </c>
      <c r="C283" s="1" t="s">
        <v>501</v>
      </c>
      <c r="D283" s="1" t="s">
        <v>50</v>
      </c>
      <c r="E283" s="1" t="s">
        <v>16</v>
      </c>
      <c r="F283" s="1" t="s">
        <v>38</v>
      </c>
      <c r="G283" s="3">
        <v>0.30555555555555558</v>
      </c>
      <c r="H283" s="3">
        <v>0.31805555555555548</v>
      </c>
      <c r="I283" s="1">
        <v>18</v>
      </c>
      <c r="J283" s="1">
        <v>14</v>
      </c>
      <c r="K283" s="1" t="s">
        <v>303</v>
      </c>
      <c r="L283" s="1" t="s">
        <v>19</v>
      </c>
      <c r="M283" s="1">
        <v>606</v>
      </c>
    </row>
    <row r="284" spans="1:13" x14ac:dyDescent="0.35">
      <c r="A284" s="1" t="s">
        <v>590</v>
      </c>
      <c r="B284" s="2">
        <v>45992</v>
      </c>
      <c r="C284" s="1" t="s">
        <v>180</v>
      </c>
      <c r="D284" s="1" t="s">
        <v>591</v>
      </c>
      <c r="E284" s="1" t="s">
        <v>50</v>
      </c>
      <c r="F284" s="1" t="s">
        <v>28</v>
      </c>
      <c r="G284" s="3">
        <v>0.36805555555555558</v>
      </c>
      <c r="H284" s="3">
        <v>0.38611111111111113</v>
      </c>
      <c r="I284" s="1">
        <v>26</v>
      </c>
      <c r="J284" s="1">
        <v>29</v>
      </c>
      <c r="K284" s="1" t="s">
        <v>303</v>
      </c>
      <c r="L284" s="1" t="s">
        <v>19</v>
      </c>
      <c r="M284" s="1">
        <v>730</v>
      </c>
    </row>
    <row r="285" spans="1:13" x14ac:dyDescent="0.35">
      <c r="A285" s="1" t="s">
        <v>592</v>
      </c>
      <c r="B285" s="2">
        <v>45993</v>
      </c>
      <c r="C285" s="1" t="s">
        <v>169</v>
      </c>
      <c r="D285" s="1" t="s">
        <v>50</v>
      </c>
      <c r="E285" s="1" t="s">
        <v>15</v>
      </c>
      <c r="F285" s="1" t="s">
        <v>24</v>
      </c>
      <c r="G285" s="3">
        <v>0.34375</v>
      </c>
      <c r="H285" s="3">
        <v>0.34722222222222221</v>
      </c>
      <c r="I285" s="1">
        <v>5</v>
      </c>
      <c r="J285" s="1">
        <v>11</v>
      </c>
      <c r="K285" s="1" t="s">
        <v>18</v>
      </c>
      <c r="L285" s="1" t="s">
        <v>19</v>
      </c>
      <c r="M285" s="1">
        <v>1942</v>
      </c>
    </row>
    <row r="286" spans="1:13" x14ac:dyDescent="0.35">
      <c r="A286" s="1" t="s">
        <v>593</v>
      </c>
      <c r="B286" s="2">
        <v>45993</v>
      </c>
      <c r="C286" s="1" t="s">
        <v>594</v>
      </c>
      <c r="D286" s="1" t="s">
        <v>16</v>
      </c>
      <c r="E286" s="1" t="s">
        <v>50</v>
      </c>
      <c r="F286" s="1" t="s">
        <v>17</v>
      </c>
      <c r="G286" s="3">
        <v>0.59375</v>
      </c>
      <c r="H286" s="3">
        <v>0.59722222222222221</v>
      </c>
      <c r="I286" s="1">
        <v>5</v>
      </c>
      <c r="J286" s="1">
        <v>-6</v>
      </c>
      <c r="K286" s="1" t="s">
        <v>18</v>
      </c>
      <c r="L286" s="1" t="s">
        <v>19</v>
      </c>
      <c r="M286" s="1">
        <v>606</v>
      </c>
    </row>
    <row r="287" spans="1:13" x14ac:dyDescent="0.35">
      <c r="A287" s="1" t="s">
        <v>595</v>
      </c>
      <c r="B287" s="2">
        <v>45993</v>
      </c>
      <c r="C287" s="1" t="s">
        <v>596</v>
      </c>
      <c r="D287" s="1" t="s">
        <v>47</v>
      </c>
      <c r="E287" s="1" t="s">
        <v>50</v>
      </c>
      <c r="F287" s="1" t="s">
        <v>24</v>
      </c>
      <c r="G287" s="3">
        <v>0.66319444444444442</v>
      </c>
      <c r="H287" s="3">
        <v>0.67083333333333328</v>
      </c>
      <c r="I287" s="1">
        <v>11</v>
      </c>
      <c r="J287" s="1">
        <v>12</v>
      </c>
      <c r="K287" s="1" t="s">
        <v>18</v>
      </c>
      <c r="L287" s="1" t="s">
        <v>19</v>
      </c>
      <c r="M287" s="1">
        <v>2134</v>
      </c>
    </row>
    <row r="288" spans="1:13" x14ac:dyDescent="0.35">
      <c r="A288" s="1" t="s">
        <v>597</v>
      </c>
      <c r="B288" s="2">
        <v>45993</v>
      </c>
      <c r="C288" s="1" t="s">
        <v>598</v>
      </c>
      <c r="D288" s="1" t="s">
        <v>50</v>
      </c>
      <c r="E288" s="1" t="s">
        <v>31</v>
      </c>
      <c r="F288" s="1" t="s">
        <v>17</v>
      </c>
      <c r="G288" s="3">
        <v>0.77430555555555558</v>
      </c>
      <c r="H288" s="3">
        <v>0.77083333333333337</v>
      </c>
      <c r="I288" s="1">
        <v>-5</v>
      </c>
      <c r="J288" s="1">
        <v>-12</v>
      </c>
      <c r="K288" s="1" t="s">
        <v>18</v>
      </c>
      <c r="L288" s="1" t="s">
        <v>19</v>
      </c>
      <c r="M288" s="1">
        <v>1743</v>
      </c>
    </row>
    <row r="289" spans="1:13" x14ac:dyDescent="0.35">
      <c r="A289" s="1" t="s">
        <v>599</v>
      </c>
      <c r="B289" s="2">
        <v>45993</v>
      </c>
      <c r="C289" s="1" t="s">
        <v>600</v>
      </c>
      <c r="D289" s="1" t="s">
        <v>591</v>
      </c>
      <c r="E289" s="1" t="s">
        <v>16</v>
      </c>
      <c r="F289" s="1" t="s">
        <v>24</v>
      </c>
      <c r="G289" s="3">
        <v>0.875</v>
      </c>
      <c r="H289" s="3">
        <v>0.9375</v>
      </c>
      <c r="I289" s="1">
        <v>90</v>
      </c>
      <c r="J289" s="1">
        <v>95</v>
      </c>
      <c r="K289" s="1" t="s">
        <v>54</v>
      </c>
      <c r="L289" s="1" t="s">
        <v>19</v>
      </c>
      <c r="M289" s="1">
        <v>802</v>
      </c>
    </row>
    <row r="290" spans="1:13" x14ac:dyDescent="0.35">
      <c r="A290" s="1" t="s">
        <v>601</v>
      </c>
      <c r="B290" s="2">
        <v>45994</v>
      </c>
      <c r="C290" s="1" t="s">
        <v>265</v>
      </c>
      <c r="D290" s="1" t="s">
        <v>16</v>
      </c>
      <c r="E290" s="1" t="s">
        <v>41</v>
      </c>
      <c r="F290" s="1" t="s">
        <v>28</v>
      </c>
      <c r="G290" s="3">
        <v>0.39930555555555558</v>
      </c>
      <c r="H290" s="3">
        <v>0.39444444444444438</v>
      </c>
      <c r="I290" s="1">
        <v>-7</v>
      </c>
      <c r="J290" s="1">
        <v>-2</v>
      </c>
      <c r="K290" s="1" t="s">
        <v>18</v>
      </c>
      <c r="L290" s="1" t="s">
        <v>19</v>
      </c>
      <c r="M290" s="1">
        <v>1199</v>
      </c>
    </row>
    <row r="291" spans="1:13" x14ac:dyDescent="0.35">
      <c r="A291" s="1" t="s">
        <v>602</v>
      </c>
      <c r="B291" s="2">
        <v>45994</v>
      </c>
      <c r="C291" s="1" t="s">
        <v>603</v>
      </c>
      <c r="D291" s="1" t="s">
        <v>50</v>
      </c>
      <c r="E291" s="1" t="s">
        <v>16</v>
      </c>
      <c r="F291" s="1" t="s">
        <v>38</v>
      </c>
      <c r="G291" s="3">
        <v>0.90277777777777779</v>
      </c>
      <c r="H291" s="3">
        <v>0.89722222222222225</v>
      </c>
      <c r="I291" s="1">
        <v>-8</v>
      </c>
      <c r="J291" s="1">
        <v>1</v>
      </c>
      <c r="K291" s="1"/>
      <c r="L291" s="1" t="s">
        <v>19</v>
      </c>
      <c r="M291" s="1">
        <v>606</v>
      </c>
    </row>
    <row r="292" spans="1:13" x14ac:dyDescent="0.35">
      <c r="A292" s="1" t="s">
        <v>604</v>
      </c>
      <c r="B292" s="2">
        <v>45995</v>
      </c>
      <c r="C292" s="1" t="s">
        <v>605</v>
      </c>
      <c r="D292" s="1" t="s">
        <v>23</v>
      </c>
      <c r="E292" s="1" t="s">
        <v>27</v>
      </c>
      <c r="F292" s="1" t="s">
        <v>28</v>
      </c>
      <c r="G292" s="3">
        <v>0.85416666666666663</v>
      </c>
      <c r="H292" s="1"/>
      <c r="I292" s="1">
        <v>4</v>
      </c>
      <c r="J292" s="1">
        <v>-5</v>
      </c>
      <c r="K292" s="1" t="s">
        <v>18</v>
      </c>
      <c r="L292" s="1" t="s">
        <v>19</v>
      </c>
      <c r="M292" s="1">
        <v>641</v>
      </c>
    </row>
    <row r="293" spans="1:13" x14ac:dyDescent="0.35">
      <c r="A293" s="1" t="s">
        <v>606</v>
      </c>
      <c r="B293" s="2">
        <v>45996</v>
      </c>
      <c r="C293" s="1" t="s">
        <v>607</v>
      </c>
      <c r="D293" s="1" t="s">
        <v>37</v>
      </c>
      <c r="E293" s="1" t="s">
        <v>15</v>
      </c>
      <c r="F293" s="1" t="s">
        <v>17</v>
      </c>
      <c r="G293" s="3">
        <v>0.25347222222222221</v>
      </c>
      <c r="H293" s="3">
        <v>0.31666666666666671</v>
      </c>
      <c r="I293" s="1">
        <v>91</v>
      </c>
      <c r="J293" s="1">
        <v>82</v>
      </c>
      <c r="K293" s="1" t="s">
        <v>276</v>
      </c>
      <c r="L293" s="1" t="s">
        <v>19</v>
      </c>
      <c r="M293" s="1">
        <v>955</v>
      </c>
    </row>
    <row r="294" spans="1:13" x14ac:dyDescent="0.35">
      <c r="A294" s="1" t="s">
        <v>608</v>
      </c>
      <c r="B294" s="2">
        <v>45996</v>
      </c>
      <c r="C294" s="1" t="s">
        <v>609</v>
      </c>
      <c r="D294" s="1" t="s">
        <v>27</v>
      </c>
      <c r="E294" s="1" t="s">
        <v>44</v>
      </c>
      <c r="F294" s="1" t="s">
        <v>17</v>
      </c>
      <c r="G294" s="3">
        <v>0.58680555555555558</v>
      </c>
      <c r="H294" s="3">
        <v>0.5854166666666667</v>
      </c>
      <c r="I294" s="1">
        <v>-2</v>
      </c>
      <c r="J294" s="1">
        <v>3</v>
      </c>
      <c r="K294" s="1" t="s">
        <v>18</v>
      </c>
      <c r="L294" s="1" t="s">
        <v>19</v>
      </c>
      <c r="M294" s="1">
        <v>1559</v>
      </c>
    </row>
    <row r="295" spans="1:13" x14ac:dyDescent="0.35">
      <c r="A295" s="1" t="s">
        <v>610</v>
      </c>
      <c r="B295" s="2">
        <v>45996</v>
      </c>
      <c r="C295" s="1" t="s">
        <v>611</v>
      </c>
      <c r="D295" s="1" t="s">
        <v>41</v>
      </c>
      <c r="E295" s="1" t="s">
        <v>16</v>
      </c>
      <c r="F295" s="1" t="s">
        <v>17</v>
      </c>
      <c r="G295" s="3">
        <v>0.74652777777777779</v>
      </c>
      <c r="H295" s="3">
        <v>0.80208333333333337</v>
      </c>
      <c r="I295" s="1">
        <v>80</v>
      </c>
      <c r="J295" s="1">
        <v>78</v>
      </c>
      <c r="K295" s="1" t="s">
        <v>129</v>
      </c>
      <c r="L295" s="1" t="s">
        <v>19</v>
      </c>
      <c r="M295" s="1">
        <v>1199</v>
      </c>
    </row>
    <row r="296" spans="1:13" x14ac:dyDescent="0.35">
      <c r="A296" s="1" t="s">
        <v>612</v>
      </c>
      <c r="B296" s="2">
        <v>45997</v>
      </c>
      <c r="C296" s="1" t="s">
        <v>613</v>
      </c>
      <c r="D296" s="1" t="s">
        <v>16</v>
      </c>
      <c r="E296" s="1" t="s">
        <v>27</v>
      </c>
      <c r="F296" s="1" t="s">
        <v>17</v>
      </c>
      <c r="G296" s="3">
        <v>0.51736111111111116</v>
      </c>
      <c r="H296" s="3">
        <v>0.51527777777777772</v>
      </c>
      <c r="I296" s="1">
        <v>-3</v>
      </c>
      <c r="J296" s="1">
        <v>-2</v>
      </c>
      <c r="K296" s="1" t="s">
        <v>18</v>
      </c>
      <c r="L296" s="1" t="s">
        <v>19</v>
      </c>
      <c r="M296" s="1">
        <v>802</v>
      </c>
    </row>
    <row r="297" spans="1:13" x14ac:dyDescent="0.35">
      <c r="A297" s="1" t="s">
        <v>614</v>
      </c>
      <c r="B297" s="2">
        <v>45998</v>
      </c>
      <c r="C297" s="1" t="s">
        <v>353</v>
      </c>
      <c r="D297" s="1" t="s">
        <v>591</v>
      </c>
      <c r="E297" s="1" t="s">
        <v>16</v>
      </c>
      <c r="F297" s="1" t="s">
        <v>24</v>
      </c>
      <c r="G297" s="3">
        <v>0.2673611111111111</v>
      </c>
      <c r="H297" s="3">
        <v>0.27291666666666659</v>
      </c>
      <c r="I297" s="1">
        <v>8</v>
      </c>
      <c r="J297" s="1">
        <v>-3</v>
      </c>
      <c r="K297" s="1" t="s">
        <v>18</v>
      </c>
      <c r="L297" s="1" t="s">
        <v>19</v>
      </c>
      <c r="M297" s="1">
        <v>802</v>
      </c>
    </row>
    <row r="298" spans="1:13" x14ac:dyDescent="0.35">
      <c r="A298" s="1" t="s">
        <v>615</v>
      </c>
      <c r="B298" s="2">
        <v>45998</v>
      </c>
      <c r="C298" s="1" t="s">
        <v>616</v>
      </c>
      <c r="D298" s="1" t="s">
        <v>50</v>
      </c>
      <c r="E298" s="1" t="s">
        <v>47</v>
      </c>
      <c r="F298" s="1" t="s">
        <v>38</v>
      </c>
      <c r="G298" s="3">
        <v>0.60069444444444442</v>
      </c>
      <c r="H298" s="3">
        <v>0.65416666666666667</v>
      </c>
      <c r="I298" s="1">
        <v>77</v>
      </c>
      <c r="J298" s="1">
        <v>75</v>
      </c>
      <c r="K298" s="1" t="s">
        <v>617</v>
      </c>
      <c r="L298" s="1" t="s">
        <v>19</v>
      </c>
      <c r="M298" s="1">
        <v>2134</v>
      </c>
    </row>
    <row r="299" spans="1:13" x14ac:dyDescent="0.35">
      <c r="A299" s="1" t="s">
        <v>618</v>
      </c>
      <c r="B299" s="2">
        <v>45999</v>
      </c>
      <c r="C299" s="1" t="s">
        <v>619</v>
      </c>
      <c r="D299" s="1" t="s">
        <v>23</v>
      </c>
      <c r="E299" s="1" t="s">
        <v>27</v>
      </c>
      <c r="F299" s="1" t="s">
        <v>17</v>
      </c>
      <c r="G299" s="3">
        <v>0.40972222222222221</v>
      </c>
      <c r="H299" s="3">
        <v>0.4152777777777778</v>
      </c>
      <c r="I299" s="1">
        <v>8</v>
      </c>
      <c r="J299" s="1">
        <v>-2</v>
      </c>
      <c r="K299" s="1" t="s">
        <v>18</v>
      </c>
      <c r="L299" s="1" t="s">
        <v>19</v>
      </c>
      <c r="M299" s="1">
        <v>641</v>
      </c>
    </row>
    <row r="300" spans="1:13" x14ac:dyDescent="0.35">
      <c r="A300" s="1" t="s">
        <v>620</v>
      </c>
      <c r="B300" s="2">
        <v>45999</v>
      </c>
      <c r="C300" s="1" t="s">
        <v>621</v>
      </c>
      <c r="D300" s="1" t="s">
        <v>15</v>
      </c>
      <c r="E300" s="1" t="s">
        <v>37</v>
      </c>
      <c r="F300" s="1" t="s">
        <v>38</v>
      </c>
      <c r="G300" s="3">
        <v>0.50694444444444442</v>
      </c>
      <c r="H300" s="3">
        <v>0.5131944444444444</v>
      </c>
      <c r="I300" s="1">
        <v>9</v>
      </c>
      <c r="J300" s="1">
        <v>14</v>
      </c>
      <c r="K300" s="1" t="s">
        <v>18</v>
      </c>
      <c r="L300" s="1" t="s">
        <v>19</v>
      </c>
      <c r="M300" s="1">
        <v>955</v>
      </c>
    </row>
    <row r="301" spans="1:13" x14ac:dyDescent="0.35">
      <c r="A301" s="1" t="s">
        <v>622</v>
      </c>
      <c r="B301" s="2">
        <v>45999</v>
      </c>
      <c r="C301" s="1" t="s">
        <v>468</v>
      </c>
      <c r="D301" s="1" t="s">
        <v>47</v>
      </c>
      <c r="E301" s="1" t="s">
        <v>31</v>
      </c>
      <c r="F301" s="1" t="s">
        <v>17</v>
      </c>
      <c r="G301" s="3">
        <v>0.51041666666666663</v>
      </c>
      <c r="H301" s="3">
        <v>0.51180555555555551</v>
      </c>
      <c r="I301" s="1">
        <v>2</v>
      </c>
      <c r="J301" s="1">
        <v>3</v>
      </c>
      <c r="K301" s="1" t="s">
        <v>18</v>
      </c>
      <c r="L301" s="1" t="s">
        <v>19</v>
      </c>
      <c r="M301" s="1">
        <v>414</v>
      </c>
    </row>
    <row r="302" spans="1:13" x14ac:dyDescent="0.35">
      <c r="A302" s="1" t="s">
        <v>623</v>
      </c>
      <c r="B302" s="2">
        <v>45999</v>
      </c>
      <c r="C302" s="1" t="s">
        <v>442</v>
      </c>
      <c r="D302" s="1" t="s">
        <v>50</v>
      </c>
      <c r="E302" s="1" t="s">
        <v>214</v>
      </c>
      <c r="F302" s="1" t="s">
        <v>17</v>
      </c>
      <c r="G302" s="3">
        <v>0.61805555555555558</v>
      </c>
      <c r="H302" s="3">
        <v>0.62291666666666667</v>
      </c>
      <c r="I302" s="1">
        <v>7</v>
      </c>
      <c r="J302" s="1">
        <v>12</v>
      </c>
      <c r="K302" s="1" t="s">
        <v>18</v>
      </c>
      <c r="L302" s="1" t="s">
        <v>19</v>
      </c>
      <c r="M302" s="1">
        <v>1197</v>
      </c>
    </row>
    <row r="303" spans="1:13" x14ac:dyDescent="0.35">
      <c r="A303" s="1" t="s">
        <v>624</v>
      </c>
      <c r="B303" s="2">
        <v>45999</v>
      </c>
      <c r="C303" s="1" t="s">
        <v>559</v>
      </c>
      <c r="D303" s="1" t="s">
        <v>27</v>
      </c>
      <c r="E303" s="1" t="s">
        <v>47</v>
      </c>
      <c r="F303" s="1" t="s">
        <v>38</v>
      </c>
      <c r="G303" s="3">
        <v>0.73958333333333337</v>
      </c>
      <c r="H303" s="3">
        <v>0.7416666666666667</v>
      </c>
      <c r="I303" s="1">
        <v>3</v>
      </c>
      <c r="J303" s="1">
        <v>7</v>
      </c>
      <c r="K303" s="1" t="s">
        <v>18</v>
      </c>
      <c r="L303" s="1" t="s">
        <v>19</v>
      </c>
      <c r="M303" s="1">
        <v>1462</v>
      </c>
    </row>
    <row r="304" spans="1:13" x14ac:dyDescent="0.35">
      <c r="A304" s="1" t="s">
        <v>625</v>
      </c>
      <c r="B304" s="2">
        <v>45999</v>
      </c>
      <c r="C304" s="1" t="s">
        <v>626</v>
      </c>
      <c r="D304" s="1" t="s">
        <v>15</v>
      </c>
      <c r="E304" s="1" t="s">
        <v>50</v>
      </c>
      <c r="F304" s="1" t="s">
        <v>28</v>
      </c>
      <c r="G304" s="3">
        <v>0.94097222222222221</v>
      </c>
      <c r="H304" s="3">
        <v>0.94930555555555551</v>
      </c>
      <c r="I304" s="1">
        <v>12</v>
      </c>
      <c r="J304" s="1">
        <v>16</v>
      </c>
      <c r="K304" s="1" t="s">
        <v>18</v>
      </c>
      <c r="L304" s="1" t="s">
        <v>19</v>
      </c>
      <c r="M304" s="1">
        <v>1942</v>
      </c>
    </row>
    <row r="305" spans="1:13" x14ac:dyDescent="0.35">
      <c r="A305" s="1" t="s">
        <v>627</v>
      </c>
      <c r="B305" s="2">
        <v>46000</v>
      </c>
      <c r="C305" s="1" t="s">
        <v>628</v>
      </c>
      <c r="D305" s="1" t="s">
        <v>47</v>
      </c>
      <c r="E305" s="1" t="s">
        <v>629</v>
      </c>
      <c r="F305" s="1" t="s">
        <v>24</v>
      </c>
      <c r="G305" s="3">
        <v>0.37152777777777779</v>
      </c>
      <c r="H305" s="3">
        <v>0.37847222222222221</v>
      </c>
      <c r="I305" s="1">
        <v>10</v>
      </c>
      <c r="J305" s="1">
        <v>10</v>
      </c>
      <c r="K305" s="1" t="s">
        <v>18</v>
      </c>
      <c r="L305" s="1" t="s">
        <v>19</v>
      </c>
      <c r="M305" s="1">
        <v>651</v>
      </c>
    </row>
    <row r="306" spans="1:13" x14ac:dyDescent="0.35">
      <c r="A306" s="1" t="s">
        <v>630</v>
      </c>
      <c r="B306" s="2">
        <v>46000</v>
      </c>
      <c r="C306" s="1" t="s">
        <v>631</v>
      </c>
      <c r="D306" s="1" t="s">
        <v>16</v>
      </c>
      <c r="E306" s="1" t="s">
        <v>23</v>
      </c>
      <c r="F306" s="1" t="s">
        <v>17</v>
      </c>
      <c r="G306" s="3">
        <v>0.625</v>
      </c>
      <c r="H306" s="3">
        <v>0.67152777777777772</v>
      </c>
      <c r="I306" s="1">
        <v>67</v>
      </c>
      <c r="J306" s="1">
        <v>60</v>
      </c>
      <c r="K306" s="1" t="s">
        <v>54</v>
      </c>
      <c r="L306" s="1" t="s">
        <v>19</v>
      </c>
      <c r="M306" s="1">
        <v>886</v>
      </c>
    </row>
    <row r="307" spans="1:13" x14ac:dyDescent="0.35">
      <c r="A307" s="1" t="s">
        <v>632</v>
      </c>
      <c r="B307" s="2">
        <v>46000</v>
      </c>
      <c r="C307" s="1" t="s">
        <v>633</v>
      </c>
      <c r="D307" s="1" t="s">
        <v>202</v>
      </c>
      <c r="E307" s="1" t="s">
        <v>37</v>
      </c>
      <c r="F307" s="1" t="s">
        <v>28</v>
      </c>
      <c r="G307" s="3">
        <v>0.68055555555555558</v>
      </c>
      <c r="H307" s="3">
        <v>0.67777777777777781</v>
      </c>
      <c r="I307" s="1">
        <v>-4</v>
      </c>
      <c r="J307" s="1">
        <v>-13</v>
      </c>
      <c r="K307" s="1" t="s">
        <v>18</v>
      </c>
      <c r="L307" s="1" t="s">
        <v>19</v>
      </c>
      <c r="M307" s="1">
        <v>2722</v>
      </c>
    </row>
    <row r="308" spans="1:13" x14ac:dyDescent="0.35">
      <c r="A308" s="1" t="s">
        <v>634</v>
      </c>
      <c r="B308" s="2">
        <v>46001</v>
      </c>
      <c r="C308" s="1" t="s">
        <v>452</v>
      </c>
      <c r="D308" s="1" t="s">
        <v>413</v>
      </c>
      <c r="E308" s="1" t="s">
        <v>16</v>
      </c>
      <c r="F308" s="1" t="s">
        <v>24</v>
      </c>
      <c r="G308" s="3">
        <v>0.34722222222222221</v>
      </c>
      <c r="H308" s="3">
        <v>0.35208333333333341</v>
      </c>
      <c r="I308" s="1">
        <v>7</v>
      </c>
      <c r="J308" s="1">
        <v>16</v>
      </c>
      <c r="K308" s="1" t="s">
        <v>18</v>
      </c>
      <c r="L308" s="1" t="s">
        <v>19</v>
      </c>
      <c r="M308" s="1">
        <v>1742</v>
      </c>
    </row>
    <row r="309" spans="1:13" x14ac:dyDescent="0.35">
      <c r="A309" s="1" t="s">
        <v>635</v>
      </c>
      <c r="B309" s="2">
        <v>46001</v>
      </c>
      <c r="C309" s="1" t="s">
        <v>468</v>
      </c>
      <c r="D309" s="1" t="s">
        <v>27</v>
      </c>
      <c r="E309" s="1" t="s">
        <v>50</v>
      </c>
      <c r="F309" s="1" t="s">
        <v>17</v>
      </c>
      <c r="G309" s="3">
        <v>0.92361111111111116</v>
      </c>
      <c r="H309" s="3">
        <v>0.92986111111111114</v>
      </c>
      <c r="I309" s="1">
        <v>9</v>
      </c>
      <c r="J309" s="1">
        <v>18</v>
      </c>
      <c r="K309" s="1"/>
      <c r="L309" s="1" t="s">
        <v>19</v>
      </c>
      <c r="M309" s="1">
        <v>730</v>
      </c>
    </row>
    <row r="310" spans="1:13" x14ac:dyDescent="0.35">
      <c r="A310" s="1" t="s">
        <v>636</v>
      </c>
      <c r="B310" s="2">
        <v>46002</v>
      </c>
      <c r="C310" s="1" t="s">
        <v>637</v>
      </c>
      <c r="D310" s="1" t="s">
        <v>15</v>
      </c>
      <c r="E310" s="1" t="s">
        <v>47</v>
      </c>
      <c r="F310" s="1" t="s">
        <v>17</v>
      </c>
      <c r="G310" s="3">
        <v>0.2638888888888889</v>
      </c>
      <c r="H310" s="3">
        <v>0.37777777777777782</v>
      </c>
      <c r="I310" s="1">
        <v>164</v>
      </c>
      <c r="J310" s="1">
        <v>149</v>
      </c>
      <c r="K310" s="1" t="s">
        <v>263</v>
      </c>
      <c r="L310" s="1" t="s">
        <v>19</v>
      </c>
      <c r="M310" s="1">
        <v>338</v>
      </c>
    </row>
    <row r="311" spans="1:13" x14ac:dyDescent="0.35">
      <c r="A311" s="1" t="s">
        <v>638</v>
      </c>
      <c r="B311" s="2">
        <v>46003</v>
      </c>
      <c r="C311" s="1" t="s">
        <v>603</v>
      </c>
      <c r="D311" s="1" t="s">
        <v>546</v>
      </c>
      <c r="E311" s="1" t="s">
        <v>27</v>
      </c>
      <c r="F311" s="1" t="s">
        <v>17</v>
      </c>
      <c r="G311" s="3">
        <v>0.44097222222222221</v>
      </c>
      <c r="H311" s="3">
        <v>0.45833333333333331</v>
      </c>
      <c r="I311" s="1">
        <v>25</v>
      </c>
      <c r="J311" s="1">
        <v>26</v>
      </c>
      <c r="K311" s="1" t="s">
        <v>54</v>
      </c>
      <c r="L311" s="1" t="s">
        <v>19</v>
      </c>
      <c r="M311" s="1">
        <v>1053</v>
      </c>
    </row>
    <row r="312" spans="1:13" x14ac:dyDescent="0.35">
      <c r="A312" s="1" t="s">
        <v>639</v>
      </c>
      <c r="B312" s="2">
        <v>46003</v>
      </c>
      <c r="C312" s="1" t="s">
        <v>628</v>
      </c>
      <c r="D312" s="1" t="s">
        <v>16</v>
      </c>
      <c r="E312" s="1" t="s">
        <v>41</v>
      </c>
      <c r="F312" s="1" t="s">
        <v>17</v>
      </c>
      <c r="G312" s="3">
        <v>0.47569444444444442</v>
      </c>
      <c r="H312" s="3">
        <v>0.47083333333333333</v>
      </c>
      <c r="I312" s="1">
        <v>-7</v>
      </c>
      <c r="J312" s="1">
        <v>-11</v>
      </c>
      <c r="K312" s="1" t="s">
        <v>18</v>
      </c>
      <c r="L312" s="1" t="s">
        <v>19</v>
      </c>
      <c r="M312" s="1">
        <v>1199</v>
      </c>
    </row>
    <row r="313" spans="1:13" x14ac:dyDescent="0.35">
      <c r="A313" s="1" t="s">
        <v>640</v>
      </c>
      <c r="B313" s="2">
        <v>46003</v>
      </c>
      <c r="C313" s="1" t="s">
        <v>641</v>
      </c>
      <c r="D313" s="1" t="s">
        <v>41</v>
      </c>
      <c r="E313" s="1" t="s">
        <v>15</v>
      </c>
      <c r="F313" s="1" t="s">
        <v>24</v>
      </c>
      <c r="G313" s="3">
        <v>0.78125</v>
      </c>
      <c r="H313" s="3">
        <v>0.80625000000000002</v>
      </c>
      <c r="I313" s="1">
        <v>36</v>
      </c>
      <c r="J313" s="1">
        <v>33</v>
      </c>
      <c r="K313" s="1" t="s">
        <v>60</v>
      </c>
      <c r="L313" s="1" t="s">
        <v>19</v>
      </c>
      <c r="M313" s="1">
        <v>2338</v>
      </c>
    </row>
    <row r="314" spans="1:13" x14ac:dyDescent="0.35">
      <c r="A314" s="1" t="s">
        <v>642</v>
      </c>
      <c r="B314" s="2">
        <v>46004</v>
      </c>
      <c r="C314" s="1" t="s">
        <v>643</v>
      </c>
      <c r="D314" s="1" t="s">
        <v>16</v>
      </c>
      <c r="E314" s="1" t="s">
        <v>50</v>
      </c>
      <c r="F314" s="1" t="s">
        <v>38</v>
      </c>
      <c r="G314" s="3">
        <v>0.2673611111111111</v>
      </c>
      <c r="H314" s="3">
        <v>0.26944444444444438</v>
      </c>
      <c r="I314" s="1">
        <v>3</v>
      </c>
      <c r="J314" s="1">
        <v>7</v>
      </c>
      <c r="K314" s="1" t="s">
        <v>18</v>
      </c>
      <c r="L314" s="1" t="s">
        <v>19</v>
      </c>
      <c r="M314" s="1">
        <v>606</v>
      </c>
    </row>
    <row r="315" spans="1:13" x14ac:dyDescent="0.35">
      <c r="A315" s="1" t="s">
        <v>644</v>
      </c>
      <c r="B315" s="2">
        <v>46004</v>
      </c>
      <c r="C315" s="1" t="s">
        <v>645</v>
      </c>
      <c r="D315" s="1" t="s">
        <v>22</v>
      </c>
      <c r="E315" s="1" t="s">
        <v>50</v>
      </c>
      <c r="F315" s="1" t="s">
        <v>17</v>
      </c>
      <c r="G315" s="3">
        <v>0.31944444444444442</v>
      </c>
      <c r="H315" s="3">
        <v>0.32361111111111113</v>
      </c>
      <c r="I315" s="1">
        <v>6</v>
      </c>
      <c r="J315" s="1">
        <v>4</v>
      </c>
      <c r="K315" s="1"/>
      <c r="L315" s="1" t="s">
        <v>19</v>
      </c>
      <c r="M315" s="1">
        <v>759</v>
      </c>
    </row>
    <row r="316" spans="1:13" x14ac:dyDescent="0.35">
      <c r="A316" s="1" t="s">
        <v>646</v>
      </c>
      <c r="B316" s="2">
        <v>46004</v>
      </c>
      <c r="C316" s="1" t="s">
        <v>647</v>
      </c>
      <c r="D316" s="1" t="s">
        <v>79</v>
      </c>
      <c r="E316" s="1" t="s">
        <v>44</v>
      </c>
      <c r="F316" s="1" t="s">
        <v>24</v>
      </c>
      <c r="G316" s="3">
        <v>0.33333333333333331</v>
      </c>
      <c r="H316" s="3">
        <v>0.34444444444444439</v>
      </c>
      <c r="I316" s="1">
        <v>16</v>
      </c>
      <c r="J316" s="1">
        <v>15</v>
      </c>
      <c r="K316" s="1" t="s">
        <v>303</v>
      </c>
      <c r="L316" s="1" t="s">
        <v>19</v>
      </c>
      <c r="M316" s="1">
        <v>945</v>
      </c>
    </row>
    <row r="317" spans="1:13" x14ac:dyDescent="0.35">
      <c r="A317" s="1" t="s">
        <v>648</v>
      </c>
      <c r="B317" s="2">
        <v>46004</v>
      </c>
      <c r="C317" s="1" t="s">
        <v>649</v>
      </c>
      <c r="D317" s="1" t="s">
        <v>22</v>
      </c>
      <c r="E317" s="1" t="s">
        <v>27</v>
      </c>
      <c r="F317" s="1" t="s">
        <v>17</v>
      </c>
      <c r="G317" s="3">
        <v>0.69791666666666663</v>
      </c>
      <c r="H317" s="3">
        <v>0.69513888888888886</v>
      </c>
      <c r="I317" s="1">
        <v>-4</v>
      </c>
      <c r="J317" s="1">
        <v>-14</v>
      </c>
      <c r="K317" s="1"/>
      <c r="L317" s="1" t="s">
        <v>19</v>
      </c>
      <c r="M317" s="1">
        <v>1389</v>
      </c>
    </row>
    <row r="318" spans="1:13" x14ac:dyDescent="0.35">
      <c r="A318" s="1" t="s">
        <v>650</v>
      </c>
      <c r="B318" s="2">
        <v>46006</v>
      </c>
      <c r="C318" s="1" t="s">
        <v>651</v>
      </c>
      <c r="D318" s="1" t="s">
        <v>78</v>
      </c>
      <c r="E318" s="1" t="s">
        <v>23</v>
      </c>
      <c r="F318" s="1" t="s">
        <v>17</v>
      </c>
      <c r="G318" s="3">
        <v>0.25347222222222221</v>
      </c>
      <c r="H318" s="3">
        <v>0.25624999999999998</v>
      </c>
      <c r="I318" s="1">
        <v>4</v>
      </c>
      <c r="J318" s="1">
        <v>0</v>
      </c>
      <c r="K318" s="1"/>
      <c r="L318" s="1" t="s">
        <v>19</v>
      </c>
      <c r="M318" s="1">
        <v>602</v>
      </c>
    </row>
    <row r="319" spans="1:13" x14ac:dyDescent="0.35">
      <c r="A319" s="1" t="s">
        <v>652</v>
      </c>
      <c r="B319" s="2">
        <v>46006</v>
      </c>
      <c r="C319" s="1" t="s">
        <v>596</v>
      </c>
      <c r="D319" s="1" t="s">
        <v>16</v>
      </c>
      <c r="E319" s="1" t="s">
        <v>41</v>
      </c>
      <c r="F319" s="1" t="s">
        <v>24</v>
      </c>
      <c r="G319" s="3">
        <v>0.70833333333333337</v>
      </c>
      <c r="H319" s="3">
        <v>0.75416666666666665</v>
      </c>
      <c r="I319" s="1">
        <v>66</v>
      </c>
      <c r="J319" s="1">
        <v>64</v>
      </c>
      <c r="K319" s="1" t="s">
        <v>54</v>
      </c>
      <c r="L319" s="1" t="s">
        <v>19</v>
      </c>
      <c r="M319" s="1">
        <v>1199</v>
      </c>
    </row>
    <row r="320" spans="1:13" x14ac:dyDescent="0.35">
      <c r="A320" s="1" t="s">
        <v>653</v>
      </c>
      <c r="B320" s="2">
        <v>46008</v>
      </c>
      <c r="C320" s="1" t="s">
        <v>654</v>
      </c>
      <c r="D320" s="1" t="s">
        <v>27</v>
      </c>
      <c r="E320" s="1" t="s">
        <v>15</v>
      </c>
      <c r="F320" s="1" t="s">
        <v>38</v>
      </c>
      <c r="G320" s="3">
        <v>0.35416666666666669</v>
      </c>
      <c r="H320" s="3">
        <v>0.35902777777777778</v>
      </c>
      <c r="I320" s="1">
        <v>7</v>
      </c>
      <c r="J320" s="1">
        <v>3</v>
      </c>
      <c r="K320" s="1" t="s">
        <v>18</v>
      </c>
      <c r="L320" s="1" t="s">
        <v>19</v>
      </c>
      <c r="M320" s="1">
        <v>1232</v>
      </c>
    </row>
    <row r="321" spans="1:13" x14ac:dyDescent="0.35">
      <c r="A321" s="1" t="s">
        <v>655</v>
      </c>
      <c r="B321" s="2">
        <v>46008</v>
      </c>
      <c r="C321" s="1" t="s">
        <v>656</v>
      </c>
      <c r="D321" s="1" t="s">
        <v>50</v>
      </c>
      <c r="E321" s="1" t="s">
        <v>44</v>
      </c>
      <c r="F321" s="1" t="s">
        <v>17</v>
      </c>
      <c r="G321" s="3">
        <v>0.48958333333333331</v>
      </c>
      <c r="H321" s="3">
        <v>0.4861111111111111</v>
      </c>
      <c r="I321" s="1">
        <v>-5</v>
      </c>
      <c r="J321" s="1">
        <v>-9</v>
      </c>
      <c r="K321" s="1" t="s">
        <v>18</v>
      </c>
      <c r="L321" s="1" t="s">
        <v>19</v>
      </c>
      <c r="M321" s="1">
        <v>945</v>
      </c>
    </row>
    <row r="322" spans="1:13" x14ac:dyDescent="0.35">
      <c r="A322" s="1" t="s">
        <v>657</v>
      </c>
      <c r="B322" s="2">
        <v>46008</v>
      </c>
      <c r="C322" s="1" t="s">
        <v>658</v>
      </c>
      <c r="D322" s="1" t="s">
        <v>588</v>
      </c>
      <c r="E322" s="1" t="s">
        <v>23</v>
      </c>
      <c r="F322" s="1" t="s">
        <v>28</v>
      </c>
      <c r="G322" s="3">
        <v>0.61111111111111116</v>
      </c>
      <c r="H322" s="3">
        <v>0.61736111111111114</v>
      </c>
      <c r="I322" s="1">
        <v>9</v>
      </c>
      <c r="J322" s="1">
        <v>9</v>
      </c>
      <c r="K322" s="1" t="s">
        <v>18</v>
      </c>
      <c r="L322" s="1" t="s">
        <v>19</v>
      </c>
      <c r="M322" s="1">
        <v>641</v>
      </c>
    </row>
    <row r="323" spans="1:13" x14ac:dyDescent="0.35">
      <c r="A323" s="1" t="s">
        <v>659</v>
      </c>
      <c r="B323" s="2">
        <v>46009</v>
      </c>
      <c r="C323" s="1" t="s">
        <v>342</v>
      </c>
      <c r="D323" s="1" t="s">
        <v>27</v>
      </c>
      <c r="E323" s="1" t="s">
        <v>37</v>
      </c>
      <c r="F323" s="1" t="s">
        <v>24</v>
      </c>
      <c r="G323" s="3">
        <v>0.35069444444444442</v>
      </c>
      <c r="H323" s="1"/>
      <c r="I323" s="1">
        <v>0</v>
      </c>
      <c r="J323" s="1">
        <v>0</v>
      </c>
      <c r="K323" s="1" t="s">
        <v>18</v>
      </c>
      <c r="L323" s="1" t="s">
        <v>19</v>
      </c>
      <c r="M323" s="1">
        <v>1658</v>
      </c>
    </row>
    <row r="324" spans="1:13" x14ac:dyDescent="0.35">
      <c r="A324" s="1" t="s">
        <v>660</v>
      </c>
      <c r="B324" s="2">
        <v>46009</v>
      </c>
      <c r="C324" s="1" t="s">
        <v>641</v>
      </c>
      <c r="D324" s="1" t="s">
        <v>41</v>
      </c>
      <c r="E324" s="1" t="s">
        <v>22</v>
      </c>
      <c r="F324" s="1" t="s">
        <v>17</v>
      </c>
      <c r="G324" s="3">
        <v>0.48958333333333331</v>
      </c>
      <c r="H324" s="3">
        <v>0.49027777777777781</v>
      </c>
      <c r="I324" s="1">
        <v>1</v>
      </c>
      <c r="J324" s="1">
        <v>-8</v>
      </c>
      <c r="K324" s="1" t="s">
        <v>18</v>
      </c>
      <c r="L324" s="1" t="s">
        <v>19</v>
      </c>
      <c r="M324" s="1">
        <v>1092</v>
      </c>
    </row>
    <row r="325" spans="1:13" x14ac:dyDescent="0.35">
      <c r="A325" s="1" t="s">
        <v>661</v>
      </c>
      <c r="B325" s="2">
        <v>46009</v>
      </c>
      <c r="C325" s="1" t="s">
        <v>575</v>
      </c>
      <c r="D325" s="1" t="s">
        <v>78</v>
      </c>
      <c r="E325" s="1" t="s">
        <v>16</v>
      </c>
      <c r="F325" s="1" t="s">
        <v>17</v>
      </c>
      <c r="G325" s="3">
        <v>0.59027777777777779</v>
      </c>
      <c r="H325" s="3">
        <v>0.58888888888888891</v>
      </c>
      <c r="I325" s="1">
        <v>-2</v>
      </c>
      <c r="J325" s="1">
        <v>-3</v>
      </c>
      <c r="K325" s="1"/>
      <c r="L325" s="1" t="s">
        <v>19</v>
      </c>
      <c r="M325" s="1">
        <v>1438</v>
      </c>
    </row>
    <row r="326" spans="1:13" x14ac:dyDescent="0.35">
      <c r="A326" s="1" t="s">
        <v>662</v>
      </c>
      <c r="B326" s="2">
        <v>46009</v>
      </c>
      <c r="C326" s="1" t="s">
        <v>663</v>
      </c>
      <c r="D326" s="1" t="s">
        <v>27</v>
      </c>
      <c r="E326" s="1" t="s">
        <v>50</v>
      </c>
      <c r="F326" s="1" t="s">
        <v>38</v>
      </c>
      <c r="G326" s="3">
        <v>0.72222222222222221</v>
      </c>
      <c r="H326" s="3">
        <v>0.72777777777777775</v>
      </c>
      <c r="I326" s="1">
        <v>8</v>
      </c>
      <c r="J326" s="1">
        <v>7</v>
      </c>
      <c r="K326" s="1" t="s">
        <v>18</v>
      </c>
      <c r="L326" s="1" t="s">
        <v>19</v>
      </c>
      <c r="M326" s="1">
        <v>730</v>
      </c>
    </row>
    <row r="327" spans="1:13" x14ac:dyDescent="0.35">
      <c r="A327" s="1" t="s">
        <v>664</v>
      </c>
      <c r="B327" s="2">
        <v>46009</v>
      </c>
      <c r="C327" s="1" t="s">
        <v>665</v>
      </c>
      <c r="D327" s="1" t="s">
        <v>666</v>
      </c>
      <c r="E327" s="1" t="s">
        <v>37</v>
      </c>
      <c r="F327" s="1" t="s">
        <v>24</v>
      </c>
      <c r="G327" s="3">
        <v>0.80208333333333337</v>
      </c>
      <c r="H327" s="3">
        <v>0.80208333333333337</v>
      </c>
      <c r="I327" s="1">
        <v>0</v>
      </c>
      <c r="J327" s="1">
        <v>10</v>
      </c>
      <c r="K327" s="1" t="s">
        <v>18</v>
      </c>
      <c r="L327" s="1" t="s">
        <v>19</v>
      </c>
      <c r="M327" s="1">
        <v>2489</v>
      </c>
    </row>
    <row r="328" spans="1:13" x14ac:dyDescent="0.35">
      <c r="A328" s="1" t="s">
        <v>667</v>
      </c>
      <c r="B328" s="2">
        <v>46010</v>
      </c>
      <c r="C328" s="1" t="s">
        <v>668</v>
      </c>
      <c r="D328" s="1" t="s">
        <v>23</v>
      </c>
      <c r="E328" s="1" t="s">
        <v>22</v>
      </c>
      <c r="F328" s="1" t="s">
        <v>24</v>
      </c>
      <c r="G328" s="3">
        <v>0.53472222222222221</v>
      </c>
      <c r="H328" s="3">
        <v>0.53472222222222221</v>
      </c>
      <c r="I328" s="1">
        <v>0</v>
      </c>
      <c r="J328" s="1">
        <v>3</v>
      </c>
      <c r="K328" s="1" t="s">
        <v>18</v>
      </c>
      <c r="L328" s="1" t="s">
        <v>19</v>
      </c>
      <c r="M328" s="1">
        <v>1622</v>
      </c>
    </row>
    <row r="329" spans="1:13" x14ac:dyDescent="0.35">
      <c r="A329" s="1" t="s">
        <v>669</v>
      </c>
      <c r="B329" s="2">
        <v>46010</v>
      </c>
      <c r="C329" s="1" t="s">
        <v>670</v>
      </c>
      <c r="D329" s="1" t="s">
        <v>50</v>
      </c>
      <c r="E329" s="1" t="s">
        <v>41</v>
      </c>
      <c r="F329" s="1" t="s">
        <v>38</v>
      </c>
      <c r="G329" s="3">
        <v>0.61805555555555558</v>
      </c>
      <c r="H329" s="3">
        <v>0.61875000000000002</v>
      </c>
      <c r="I329" s="1">
        <v>1</v>
      </c>
      <c r="J329" s="1">
        <v>-2</v>
      </c>
      <c r="K329" s="1" t="s">
        <v>18</v>
      </c>
      <c r="L329" s="1" t="s">
        <v>19</v>
      </c>
      <c r="M329" s="1">
        <v>596</v>
      </c>
    </row>
    <row r="330" spans="1:13" x14ac:dyDescent="0.35">
      <c r="A330" s="1" t="s">
        <v>671</v>
      </c>
      <c r="B330" s="2">
        <v>46010</v>
      </c>
      <c r="C330" s="1" t="s">
        <v>672</v>
      </c>
      <c r="D330" s="1" t="s">
        <v>23</v>
      </c>
      <c r="E330" s="1" t="s">
        <v>16</v>
      </c>
      <c r="F330" s="1" t="s">
        <v>24</v>
      </c>
      <c r="G330" s="3">
        <v>0.75</v>
      </c>
      <c r="H330" s="3">
        <v>0.74513888888888891</v>
      </c>
      <c r="I330" s="1">
        <v>-7</v>
      </c>
      <c r="J330" s="1">
        <v>-14</v>
      </c>
      <c r="K330" s="1" t="s">
        <v>18</v>
      </c>
      <c r="L330" s="1" t="s">
        <v>19</v>
      </c>
      <c r="M330" s="1">
        <v>886</v>
      </c>
    </row>
    <row r="331" spans="1:13" x14ac:dyDescent="0.35">
      <c r="A331" s="1" t="s">
        <v>673</v>
      </c>
      <c r="B331" s="2">
        <v>46010</v>
      </c>
      <c r="C331" s="1" t="s">
        <v>196</v>
      </c>
      <c r="D331" s="1" t="s">
        <v>588</v>
      </c>
      <c r="E331" s="1" t="s">
        <v>23</v>
      </c>
      <c r="F331" s="1" t="s">
        <v>17</v>
      </c>
      <c r="G331" s="3">
        <v>0.83333333333333337</v>
      </c>
      <c r="H331" s="3">
        <v>0.83888888888888891</v>
      </c>
      <c r="I331" s="1">
        <v>8</v>
      </c>
      <c r="J331" s="1">
        <v>10</v>
      </c>
      <c r="K331" s="1" t="s">
        <v>18</v>
      </c>
      <c r="L331" s="1" t="s">
        <v>19</v>
      </c>
      <c r="M331" s="1">
        <v>0</v>
      </c>
    </row>
    <row r="332" spans="1:13" x14ac:dyDescent="0.35">
      <c r="A332" s="1" t="s">
        <v>674</v>
      </c>
      <c r="B332" s="2">
        <v>46011</v>
      </c>
      <c r="C332" s="1" t="s">
        <v>675</v>
      </c>
      <c r="D332" s="1" t="s">
        <v>418</v>
      </c>
      <c r="E332" s="1" t="s">
        <v>22</v>
      </c>
      <c r="F332" s="1" t="s">
        <v>17</v>
      </c>
      <c r="G332" s="3">
        <v>0.63541666666666663</v>
      </c>
      <c r="H332" s="3">
        <v>0.63263888888888886</v>
      </c>
      <c r="I332" s="1">
        <v>-4</v>
      </c>
      <c r="J332" s="1">
        <v>6</v>
      </c>
      <c r="K332" s="1" t="s">
        <v>18</v>
      </c>
      <c r="L332" s="1" t="s">
        <v>19</v>
      </c>
      <c r="M332" s="1">
        <v>1092</v>
      </c>
    </row>
    <row r="333" spans="1:13" x14ac:dyDescent="0.35">
      <c r="A333" s="1" t="s">
        <v>676</v>
      </c>
      <c r="B333" s="2">
        <v>46011</v>
      </c>
      <c r="C333" s="1" t="s">
        <v>677</v>
      </c>
      <c r="D333" s="1" t="s">
        <v>16</v>
      </c>
      <c r="E333" s="1" t="s">
        <v>78</v>
      </c>
      <c r="F333" s="1" t="s">
        <v>24</v>
      </c>
      <c r="G333" s="3">
        <v>0.63541666666666663</v>
      </c>
      <c r="H333" s="3">
        <v>0.64236111111111116</v>
      </c>
      <c r="I333" s="1">
        <v>10</v>
      </c>
      <c r="J333" s="1">
        <v>-1</v>
      </c>
      <c r="K333" s="1" t="s">
        <v>18</v>
      </c>
      <c r="L333" s="1" t="s">
        <v>19</v>
      </c>
      <c r="M333" s="1">
        <v>1438</v>
      </c>
    </row>
    <row r="334" spans="1:13" x14ac:dyDescent="0.35">
      <c r="A334" s="1" t="s">
        <v>678</v>
      </c>
      <c r="B334" s="2">
        <v>46012</v>
      </c>
      <c r="C334" s="1" t="s">
        <v>369</v>
      </c>
      <c r="D334" s="1" t="s">
        <v>78</v>
      </c>
      <c r="E334" s="1" t="s">
        <v>41</v>
      </c>
      <c r="F334" s="1" t="s">
        <v>24</v>
      </c>
      <c r="G334" s="3">
        <v>0.52083333333333337</v>
      </c>
      <c r="H334" s="3">
        <v>0.54305555555555551</v>
      </c>
      <c r="I334" s="1">
        <v>32</v>
      </c>
      <c r="J334" s="1">
        <v>21</v>
      </c>
      <c r="K334" s="1" t="s">
        <v>54</v>
      </c>
      <c r="L334" s="1" t="s">
        <v>19</v>
      </c>
      <c r="M334" s="1">
        <v>1969</v>
      </c>
    </row>
    <row r="335" spans="1:13" x14ac:dyDescent="0.35">
      <c r="A335" s="1" t="s">
        <v>679</v>
      </c>
      <c r="B335" s="2">
        <v>46012</v>
      </c>
      <c r="C335" s="1" t="s">
        <v>637</v>
      </c>
      <c r="D335" s="1" t="s">
        <v>16</v>
      </c>
      <c r="E335" s="1" t="s">
        <v>41</v>
      </c>
      <c r="F335" s="1" t="s">
        <v>24</v>
      </c>
      <c r="G335" s="3">
        <v>0.76736111111111116</v>
      </c>
      <c r="H335" s="3">
        <v>0.77222222222222225</v>
      </c>
      <c r="I335" s="1">
        <v>7</v>
      </c>
      <c r="J335" s="1"/>
      <c r="K335" s="1" t="s">
        <v>18</v>
      </c>
      <c r="L335" s="1" t="s">
        <v>19</v>
      </c>
      <c r="M335" s="1">
        <v>1199</v>
      </c>
    </row>
    <row r="336" spans="1:13" x14ac:dyDescent="0.35">
      <c r="A336" s="1" t="s">
        <v>680</v>
      </c>
      <c r="B336" s="2">
        <v>46012</v>
      </c>
      <c r="C336" s="1" t="s">
        <v>415</v>
      </c>
      <c r="D336" s="1" t="s">
        <v>16</v>
      </c>
      <c r="E336" s="1" t="s">
        <v>23</v>
      </c>
      <c r="F336" s="1" t="s">
        <v>38</v>
      </c>
      <c r="G336" s="3">
        <v>0.77083333333333337</v>
      </c>
      <c r="H336" s="3">
        <v>0.76944444444444449</v>
      </c>
      <c r="I336" s="1">
        <v>-2</v>
      </c>
      <c r="J336" s="1">
        <v>-1</v>
      </c>
      <c r="K336" s="1" t="s">
        <v>18</v>
      </c>
      <c r="L336" s="1" t="s">
        <v>19</v>
      </c>
      <c r="M336" s="1">
        <v>886</v>
      </c>
    </row>
    <row r="337" spans="1:13" x14ac:dyDescent="0.35">
      <c r="A337" s="1" t="s">
        <v>681</v>
      </c>
      <c r="B337" s="2">
        <v>46013</v>
      </c>
      <c r="C337" s="1" t="s">
        <v>682</v>
      </c>
      <c r="D337" s="1" t="s">
        <v>22</v>
      </c>
      <c r="E337" s="1" t="s">
        <v>50</v>
      </c>
      <c r="F337" s="1" t="s">
        <v>24</v>
      </c>
      <c r="G337" s="3">
        <v>0.5625</v>
      </c>
      <c r="H337" s="3">
        <v>0.57499999999999996</v>
      </c>
      <c r="I337" s="1">
        <v>18</v>
      </c>
      <c r="J337" s="1">
        <v>10</v>
      </c>
      <c r="K337" s="1" t="s">
        <v>263</v>
      </c>
      <c r="L337" s="1" t="s">
        <v>19</v>
      </c>
      <c r="M337" s="1">
        <v>759</v>
      </c>
    </row>
    <row r="338" spans="1:13" x14ac:dyDescent="0.35">
      <c r="A338" s="1" t="s">
        <v>683</v>
      </c>
      <c r="B338" s="2">
        <v>46013</v>
      </c>
      <c r="C338" s="1" t="s">
        <v>684</v>
      </c>
      <c r="D338" s="1" t="s">
        <v>37</v>
      </c>
      <c r="E338" s="1" t="s">
        <v>27</v>
      </c>
      <c r="F338" s="1" t="s">
        <v>17</v>
      </c>
      <c r="G338" s="3">
        <v>0.61805555555555558</v>
      </c>
      <c r="H338" s="3">
        <v>0.65902777777777777</v>
      </c>
      <c r="I338" s="1">
        <v>59</v>
      </c>
      <c r="J338" s="1">
        <v>49</v>
      </c>
      <c r="K338" s="1" t="s">
        <v>129</v>
      </c>
      <c r="L338" s="1" t="s">
        <v>19</v>
      </c>
      <c r="M338" s="1">
        <v>1658</v>
      </c>
    </row>
    <row r="339" spans="1:13" x14ac:dyDescent="0.35">
      <c r="A339" s="1" t="s">
        <v>685</v>
      </c>
      <c r="B339" s="2">
        <v>46013</v>
      </c>
      <c r="C339" s="1" t="s">
        <v>686</v>
      </c>
      <c r="D339" s="1" t="s">
        <v>16</v>
      </c>
      <c r="E339" s="1" t="s">
        <v>23</v>
      </c>
      <c r="F339" s="1" t="s">
        <v>24</v>
      </c>
      <c r="G339" s="3">
        <v>0.68402777777777779</v>
      </c>
      <c r="H339" s="3">
        <v>0.68333333333333335</v>
      </c>
      <c r="I339" s="1">
        <v>-1</v>
      </c>
      <c r="J339" s="1">
        <v>-11</v>
      </c>
      <c r="K339" s="1" t="s">
        <v>18</v>
      </c>
      <c r="L339" s="1" t="s">
        <v>19</v>
      </c>
      <c r="M339" s="1">
        <v>886</v>
      </c>
    </row>
    <row r="340" spans="1:13" x14ac:dyDescent="0.35">
      <c r="A340" s="1" t="s">
        <v>687</v>
      </c>
      <c r="B340" s="2">
        <v>46013</v>
      </c>
      <c r="C340" s="1" t="s">
        <v>688</v>
      </c>
      <c r="D340" s="1" t="s">
        <v>50</v>
      </c>
      <c r="E340" s="1" t="s">
        <v>27</v>
      </c>
      <c r="F340" s="1" t="s">
        <v>17</v>
      </c>
      <c r="G340" s="3">
        <v>0.69444444444444442</v>
      </c>
      <c r="H340" s="3">
        <v>0.68888888888888888</v>
      </c>
      <c r="I340" s="1">
        <v>-8</v>
      </c>
      <c r="J340" s="1">
        <v>-4</v>
      </c>
      <c r="K340" s="1" t="s">
        <v>18</v>
      </c>
      <c r="L340" s="1" t="s">
        <v>19</v>
      </c>
      <c r="M340" s="1">
        <v>730</v>
      </c>
    </row>
    <row r="341" spans="1:13" x14ac:dyDescent="0.35">
      <c r="A341" s="1" t="s">
        <v>687</v>
      </c>
      <c r="B341" s="2">
        <v>46013</v>
      </c>
      <c r="C341" s="1" t="s">
        <v>688</v>
      </c>
      <c r="D341" s="1" t="s">
        <v>50</v>
      </c>
      <c r="E341" s="1" t="s">
        <v>27</v>
      </c>
      <c r="F341" s="1" t="s">
        <v>17</v>
      </c>
      <c r="G341" s="3">
        <v>0.69444444444444442</v>
      </c>
      <c r="H341" s="3">
        <v>0.68888888888888888</v>
      </c>
      <c r="I341" s="1">
        <v>-8</v>
      </c>
      <c r="J341" s="1">
        <v>-4</v>
      </c>
      <c r="K341" s="1" t="s">
        <v>18</v>
      </c>
      <c r="L341" s="1" t="s">
        <v>19</v>
      </c>
      <c r="M341" s="1">
        <v>730</v>
      </c>
    </row>
    <row r="342" spans="1:13" x14ac:dyDescent="0.35">
      <c r="A342" s="1" t="s">
        <v>689</v>
      </c>
      <c r="B342" s="2">
        <v>46014</v>
      </c>
      <c r="C342" s="1" t="s">
        <v>559</v>
      </c>
      <c r="D342" s="1" t="s">
        <v>50</v>
      </c>
      <c r="E342" s="1" t="s">
        <v>15</v>
      </c>
      <c r="F342" s="1" t="s">
        <v>17</v>
      </c>
      <c r="G342" s="3">
        <v>0.27777777777777779</v>
      </c>
      <c r="H342" s="3">
        <v>0.28402777777777782</v>
      </c>
      <c r="I342" s="1">
        <v>9</v>
      </c>
      <c r="J342" s="1">
        <v>4</v>
      </c>
      <c r="K342" s="1" t="s">
        <v>18</v>
      </c>
      <c r="L342" s="1" t="s">
        <v>19</v>
      </c>
      <c r="M342" s="1">
        <v>1942</v>
      </c>
    </row>
    <row r="343" spans="1:13" x14ac:dyDescent="0.35">
      <c r="A343" s="1" t="s">
        <v>690</v>
      </c>
      <c r="B343" s="2">
        <v>46014</v>
      </c>
      <c r="C343" s="1" t="s">
        <v>476</v>
      </c>
      <c r="D343" s="1" t="s">
        <v>16</v>
      </c>
      <c r="E343" s="1" t="s">
        <v>22</v>
      </c>
      <c r="F343" s="1" t="s">
        <v>24</v>
      </c>
      <c r="G343" s="3">
        <v>0.44444444444444442</v>
      </c>
      <c r="H343" s="3">
        <v>0.47222222222222221</v>
      </c>
      <c r="I343" s="1">
        <v>40</v>
      </c>
      <c r="J343" s="1">
        <v>29</v>
      </c>
      <c r="K343" s="1" t="s">
        <v>60</v>
      </c>
      <c r="L343" s="1" t="s">
        <v>19</v>
      </c>
      <c r="M343" s="1">
        <v>738</v>
      </c>
    </row>
    <row r="344" spans="1:13" x14ac:dyDescent="0.35">
      <c r="A344" s="1" t="s">
        <v>691</v>
      </c>
      <c r="B344" s="2">
        <v>46014</v>
      </c>
      <c r="C344" s="1" t="s">
        <v>692</v>
      </c>
      <c r="D344" s="1" t="s">
        <v>97</v>
      </c>
      <c r="E344" s="1" t="s">
        <v>44</v>
      </c>
      <c r="F344" s="1" t="s">
        <v>24</v>
      </c>
      <c r="G344" s="3">
        <v>0.79861111111111116</v>
      </c>
      <c r="H344" s="3">
        <v>0.82152777777777775</v>
      </c>
      <c r="I344" s="1">
        <v>33</v>
      </c>
      <c r="J344" s="1">
        <v>19</v>
      </c>
      <c r="K344" s="1" t="s">
        <v>319</v>
      </c>
      <c r="L344" s="1" t="s">
        <v>19</v>
      </c>
      <c r="M344" s="1">
        <v>1749</v>
      </c>
    </row>
    <row r="345" spans="1:13" x14ac:dyDescent="0.35">
      <c r="A345" s="1" t="s">
        <v>693</v>
      </c>
      <c r="B345" s="2">
        <v>46015</v>
      </c>
      <c r="C345" s="1" t="s">
        <v>694</v>
      </c>
      <c r="D345" s="1" t="s">
        <v>695</v>
      </c>
      <c r="E345" s="1" t="s">
        <v>41</v>
      </c>
      <c r="F345" s="1" t="s">
        <v>17</v>
      </c>
      <c r="G345" s="3">
        <v>0.75</v>
      </c>
      <c r="H345" s="3">
        <v>0.75138888888888888</v>
      </c>
      <c r="I345" s="1">
        <v>2</v>
      </c>
      <c r="J345" s="1">
        <v>1</v>
      </c>
      <c r="K345" s="1" t="s">
        <v>18</v>
      </c>
      <c r="L345" s="1" t="s">
        <v>19</v>
      </c>
      <c r="M345" s="1">
        <v>2722</v>
      </c>
    </row>
    <row r="346" spans="1:13" x14ac:dyDescent="0.35">
      <c r="A346" s="1" t="s">
        <v>696</v>
      </c>
      <c r="B346" s="2">
        <v>46016</v>
      </c>
      <c r="C346" s="1" t="s">
        <v>697</v>
      </c>
      <c r="D346" s="1" t="s">
        <v>27</v>
      </c>
      <c r="E346" s="1" t="s">
        <v>16</v>
      </c>
      <c r="F346" s="1" t="s">
        <v>17</v>
      </c>
      <c r="G346" s="3">
        <v>0.76388888888888884</v>
      </c>
      <c r="H346" s="3">
        <v>0.75902777777777775</v>
      </c>
      <c r="I346" s="1">
        <v>-7</v>
      </c>
      <c r="J346" s="1"/>
      <c r="K346" s="1" t="s">
        <v>18</v>
      </c>
      <c r="L346" s="1" t="s">
        <v>19</v>
      </c>
      <c r="M346" s="1">
        <v>802</v>
      </c>
    </row>
    <row r="347" spans="1:13" x14ac:dyDescent="0.35">
      <c r="A347" s="1" t="s">
        <v>698</v>
      </c>
      <c r="B347" s="2">
        <v>46016</v>
      </c>
      <c r="C347" s="1" t="s">
        <v>699</v>
      </c>
      <c r="D347" s="1" t="s">
        <v>37</v>
      </c>
      <c r="E347" s="1" t="s">
        <v>41</v>
      </c>
      <c r="F347" s="1" t="s">
        <v>38</v>
      </c>
      <c r="G347" s="3">
        <v>0.79513888888888884</v>
      </c>
      <c r="H347" s="3">
        <v>0.7993055555555556</v>
      </c>
      <c r="I347" s="1">
        <v>6</v>
      </c>
      <c r="J347" s="1">
        <v>-4</v>
      </c>
      <c r="K347" s="1" t="s">
        <v>18</v>
      </c>
      <c r="L347" s="1" t="s">
        <v>19</v>
      </c>
      <c r="M347" s="1">
        <v>2722</v>
      </c>
    </row>
    <row r="348" spans="1:13" x14ac:dyDescent="0.35">
      <c r="A348" s="1" t="s">
        <v>700</v>
      </c>
      <c r="B348" s="2">
        <v>46017</v>
      </c>
      <c r="C348" s="1" t="s">
        <v>454</v>
      </c>
      <c r="D348" s="1" t="s">
        <v>16</v>
      </c>
      <c r="E348" s="1" t="s">
        <v>47</v>
      </c>
      <c r="F348" s="1" t="s">
        <v>28</v>
      </c>
      <c r="G348" s="3">
        <v>0.25</v>
      </c>
      <c r="H348" s="3">
        <v>0.25555555555555548</v>
      </c>
      <c r="I348" s="1">
        <v>8</v>
      </c>
      <c r="J348" s="1">
        <v>6</v>
      </c>
      <c r="K348" s="1" t="s">
        <v>18</v>
      </c>
      <c r="L348" s="1" t="s">
        <v>19</v>
      </c>
      <c r="M348" s="1">
        <v>1842</v>
      </c>
    </row>
    <row r="349" spans="1:13" x14ac:dyDescent="0.35">
      <c r="A349" s="1" t="s">
        <v>701</v>
      </c>
      <c r="B349" s="2">
        <v>46017</v>
      </c>
      <c r="C349" s="1" t="s">
        <v>702</v>
      </c>
      <c r="D349" s="1" t="s">
        <v>27</v>
      </c>
      <c r="E349" s="1" t="s">
        <v>41</v>
      </c>
      <c r="F349" s="1" t="s">
        <v>17</v>
      </c>
      <c r="G349" s="3">
        <v>0.50347222222222221</v>
      </c>
      <c r="H349" s="3">
        <v>0.50069444444444444</v>
      </c>
      <c r="I349" s="1">
        <v>-4</v>
      </c>
      <c r="J349" s="1">
        <v>0</v>
      </c>
      <c r="K349" s="1" t="s">
        <v>18</v>
      </c>
      <c r="L349" s="1" t="s">
        <v>19</v>
      </c>
      <c r="M349" s="1">
        <v>1120</v>
      </c>
    </row>
    <row r="350" spans="1:13" x14ac:dyDescent="0.35">
      <c r="A350" s="1" t="s">
        <v>703</v>
      </c>
      <c r="B350" s="2">
        <v>46017</v>
      </c>
      <c r="C350" s="1" t="s">
        <v>404</v>
      </c>
      <c r="D350" s="1" t="s">
        <v>15</v>
      </c>
      <c r="E350" s="1" t="s">
        <v>44</v>
      </c>
      <c r="F350" s="1" t="s">
        <v>17</v>
      </c>
      <c r="G350" s="3">
        <v>0.55555555555555558</v>
      </c>
      <c r="H350" s="3">
        <v>0.5625</v>
      </c>
      <c r="I350" s="1">
        <v>10</v>
      </c>
      <c r="J350" s="1">
        <v>4</v>
      </c>
      <c r="K350" s="1" t="s">
        <v>18</v>
      </c>
      <c r="L350" s="1" t="s">
        <v>19</v>
      </c>
      <c r="M350" s="1">
        <v>2606</v>
      </c>
    </row>
    <row r="351" spans="1:13" x14ac:dyDescent="0.35">
      <c r="A351" s="1" t="s">
        <v>704</v>
      </c>
      <c r="B351" s="2">
        <v>46017</v>
      </c>
      <c r="C351" s="1" t="s">
        <v>705</v>
      </c>
      <c r="D351" s="1" t="s">
        <v>15</v>
      </c>
      <c r="E351" s="1" t="s">
        <v>27</v>
      </c>
      <c r="F351" s="1" t="s">
        <v>17</v>
      </c>
      <c r="G351" s="3">
        <v>0.60069444444444442</v>
      </c>
      <c r="H351" s="1"/>
      <c r="I351" s="1">
        <v>5</v>
      </c>
      <c r="J351" s="1">
        <v>-2</v>
      </c>
      <c r="K351" s="1" t="s">
        <v>18</v>
      </c>
      <c r="L351" s="1" t="s">
        <v>19</v>
      </c>
      <c r="M351" s="1">
        <v>1232</v>
      </c>
    </row>
    <row r="352" spans="1:13" x14ac:dyDescent="0.35">
      <c r="A352" s="1" t="s">
        <v>706</v>
      </c>
      <c r="B352" s="2">
        <v>46018</v>
      </c>
      <c r="C352" s="1" t="s">
        <v>388</v>
      </c>
      <c r="D352" s="1" t="s">
        <v>15</v>
      </c>
      <c r="E352" s="1" t="s">
        <v>50</v>
      </c>
      <c r="F352" s="1" t="s">
        <v>24</v>
      </c>
      <c r="G352" s="3">
        <v>0.60416666666666663</v>
      </c>
      <c r="H352" s="3">
        <v>0.60277777777777775</v>
      </c>
      <c r="I352" s="1">
        <v>-2</v>
      </c>
      <c r="J352" s="1">
        <v>2</v>
      </c>
      <c r="K352" s="1" t="s">
        <v>18</v>
      </c>
      <c r="L352" s="1" t="s">
        <v>19</v>
      </c>
      <c r="M352" s="1">
        <v>1942</v>
      </c>
    </row>
    <row r="353" spans="1:13" x14ac:dyDescent="0.35">
      <c r="A353" s="1" t="s">
        <v>707</v>
      </c>
      <c r="B353" s="2">
        <v>46019</v>
      </c>
      <c r="C353" s="1" t="s">
        <v>155</v>
      </c>
      <c r="D353" s="1" t="s">
        <v>50</v>
      </c>
      <c r="E353" s="1" t="s">
        <v>591</v>
      </c>
      <c r="F353" s="1" t="s">
        <v>24</v>
      </c>
      <c r="G353" s="3">
        <v>0.44097222222222221</v>
      </c>
      <c r="H353" s="3">
        <v>0.44444444444444442</v>
      </c>
      <c r="I353" s="1">
        <v>5</v>
      </c>
      <c r="J353" s="1">
        <v>15</v>
      </c>
      <c r="K353" s="1" t="s">
        <v>18</v>
      </c>
      <c r="L353" s="1" t="s">
        <v>19</v>
      </c>
      <c r="M353" s="1">
        <v>730</v>
      </c>
    </row>
    <row r="354" spans="1:13" x14ac:dyDescent="0.35">
      <c r="A354" s="1" t="s">
        <v>708</v>
      </c>
      <c r="B354" s="2">
        <v>46020</v>
      </c>
      <c r="C354" s="1" t="s">
        <v>241</v>
      </c>
      <c r="D354" s="1" t="s">
        <v>41</v>
      </c>
      <c r="E354" s="1" t="s">
        <v>37</v>
      </c>
      <c r="F354" s="1" t="s">
        <v>28</v>
      </c>
      <c r="G354" s="3">
        <v>0.3888888888888889</v>
      </c>
      <c r="H354" s="3">
        <v>0.38333333333333341</v>
      </c>
      <c r="I354" s="1">
        <v>-8</v>
      </c>
      <c r="J354" s="1">
        <v>-9</v>
      </c>
      <c r="K354" s="1" t="s">
        <v>18</v>
      </c>
      <c r="L354" s="1" t="s">
        <v>19</v>
      </c>
      <c r="M354" s="1">
        <v>2722</v>
      </c>
    </row>
    <row r="355" spans="1:13" x14ac:dyDescent="0.35">
      <c r="A355" s="1" t="s">
        <v>709</v>
      </c>
      <c r="B355" s="2">
        <v>46020</v>
      </c>
      <c r="C355" s="1" t="s">
        <v>710</v>
      </c>
      <c r="D355" s="1" t="s">
        <v>41</v>
      </c>
      <c r="E355" s="1" t="s">
        <v>23</v>
      </c>
      <c r="F355" s="1" t="s">
        <v>38</v>
      </c>
      <c r="G355" s="3">
        <v>0.61458333333333337</v>
      </c>
      <c r="H355" s="3">
        <v>0.60902777777777772</v>
      </c>
      <c r="I355" s="1">
        <v>-8</v>
      </c>
      <c r="J355" s="1">
        <v>-11</v>
      </c>
      <c r="K355" s="1" t="s">
        <v>18</v>
      </c>
      <c r="L355" s="1" t="s">
        <v>19</v>
      </c>
      <c r="M355" s="1">
        <v>1708</v>
      </c>
    </row>
    <row r="356" spans="1:13" x14ac:dyDescent="0.35">
      <c r="A356" s="1" t="s">
        <v>711</v>
      </c>
      <c r="B356" s="2">
        <v>46020</v>
      </c>
      <c r="C356" s="1" t="s">
        <v>712</v>
      </c>
      <c r="D356" s="1" t="s">
        <v>413</v>
      </c>
      <c r="E356" s="1" t="s">
        <v>27</v>
      </c>
      <c r="F356" s="1" t="s">
        <v>28</v>
      </c>
      <c r="G356" s="3">
        <v>0.71875</v>
      </c>
      <c r="H356" s="3">
        <v>0.72083333333333333</v>
      </c>
      <c r="I356" s="1">
        <v>3</v>
      </c>
      <c r="J356" s="1">
        <v>-3</v>
      </c>
      <c r="K356" s="1" t="s">
        <v>18</v>
      </c>
      <c r="L356" s="1" t="s">
        <v>19</v>
      </c>
      <c r="M356" s="1">
        <v>1232</v>
      </c>
    </row>
    <row r="357" spans="1:13" x14ac:dyDescent="0.35">
      <c r="A357" s="1" t="s">
        <v>713</v>
      </c>
      <c r="B357" s="2">
        <v>46020</v>
      </c>
      <c r="C357" s="1" t="s">
        <v>714</v>
      </c>
      <c r="D357" s="1" t="s">
        <v>27</v>
      </c>
      <c r="E357" s="1" t="s">
        <v>44</v>
      </c>
      <c r="F357" s="1" t="s">
        <v>28</v>
      </c>
      <c r="G357" s="3">
        <v>0.82638888888888884</v>
      </c>
      <c r="H357" s="3">
        <v>0.82986111111111116</v>
      </c>
      <c r="I357" s="1">
        <v>5</v>
      </c>
      <c r="J357" s="1">
        <v>8</v>
      </c>
      <c r="K357" s="1" t="s">
        <v>18</v>
      </c>
      <c r="L357" s="1" t="s">
        <v>19</v>
      </c>
      <c r="M357" s="1">
        <v>1559</v>
      </c>
    </row>
    <row r="358" spans="1:13" x14ac:dyDescent="0.35">
      <c r="A358" s="1" t="s">
        <v>715</v>
      </c>
      <c r="B358" s="2">
        <v>46021</v>
      </c>
      <c r="C358" s="1" t="s">
        <v>716</v>
      </c>
      <c r="D358" s="1" t="s">
        <v>22</v>
      </c>
      <c r="E358" s="1" t="s">
        <v>27</v>
      </c>
      <c r="F358" s="1" t="s">
        <v>28</v>
      </c>
      <c r="G358" s="3">
        <v>0.76736111111111116</v>
      </c>
      <c r="H358" s="3">
        <v>0.76180555555555551</v>
      </c>
      <c r="I358" s="1">
        <v>-8</v>
      </c>
      <c r="J358" s="1">
        <v>-1</v>
      </c>
      <c r="K358" s="1" t="s">
        <v>18</v>
      </c>
      <c r="L358" s="1" t="s">
        <v>19</v>
      </c>
      <c r="M358" s="1">
        <v>1389</v>
      </c>
    </row>
    <row r="359" spans="1:13" x14ac:dyDescent="0.35">
      <c r="A359" s="1" t="s">
        <v>717</v>
      </c>
      <c r="B359" s="2">
        <v>46021</v>
      </c>
      <c r="C359" s="1" t="s">
        <v>243</v>
      </c>
      <c r="D359" s="1" t="s">
        <v>27</v>
      </c>
      <c r="E359" s="1" t="s">
        <v>15</v>
      </c>
      <c r="F359" s="1" t="s">
        <v>17</v>
      </c>
      <c r="G359" s="3">
        <v>0.93402777777777779</v>
      </c>
      <c r="H359" s="3">
        <v>0.93888888888888888</v>
      </c>
      <c r="I359" s="1">
        <v>7</v>
      </c>
      <c r="J359" s="1">
        <v>0</v>
      </c>
      <c r="K359" s="1" t="s">
        <v>18</v>
      </c>
      <c r="L359" s="1" t="s">
        <v>19</v>
      </c>
      <c r="M359" s="1">
        <v>1232</v>
      </c>
    </row>
    <row r="360" spans="1:13" x14ac:dyDescent="0.35">
      <c r="A360" s="1" t="s">
        <v>718</v>
      </c>
      <c r="B360" s="2">
        <v>46022</v>
      </c>
      <c r="C360" s="1" t="s">
        <v>719</v>
      </c>
      <c r="D360" s="1" t="s">
        <v>44</v>
      </c>
      <c r="E360" s="1" t="s">
        <v>555</v>
      </c>
      <c r="F360" s="1" t="s">
        <v>17</v>
      </c>
      <c r="G360" s="3">
        <v>0.39930555555555558</v>
      </c>
      <c r="H360" s="3">
        <v>0.40069444444444452</v>
      </c>
      <c r="I360" s="1">
        <v>2</v>
      </c>
      <c r="J360" s="1">
        <v>-3</v>
      </c>
      <c r="K360" s="1" t="s">
        <v>18</v>
      </c>
      <c r="L360" s="1" t="s">
        <v>19</v>
      </c>
      <c r="M360" s="1">
        <v>864</v>
      </c>
    </row>
    <row r="361" spans="1:13" x14ac:dyDescent="0.35">
      <c r="A361" s="1" t="s">
        <v>720</v>
      </c>
      <c r="B361" s="2">
        <v>46022</v>
      </c>
      <c r="C361" s="1" t="s">
        <v>721</v>
      </c>
      <c r="D361" s="1" t="s">
        <v>23</v>
      </c>
      <c r="E361" s="1" t="s">
        <v>27</v>
      </c>
      <c r="F361" s="1" t="s">
        <v>38</v>
      </c>
      <c r="G361" s="3">
        <v>0.53472222222222221</v>
      </c>
      <c r="H361" s="3">
        <v>0.54166666666666663</v>
      </c>
      <c r="I361" s="1">
        <v>10</v>
      </c>
      <c r="J361" s="1">
        <v>2</v>
      </c>
      <c r="K361" s="1" t="s">
        <v>18</v>
      </c>
      <c r="L361" s="1" t="s">
        <v>19</v>
      </c>
      <c r="M361" s="1">
        <v>641</v>
      </c>
    </row>
    <row r="362" spans="1:13" x14ac:dyDescent="0.35">
      <c r="A362" s="1" t="s">
        <v>722</v>
      </c>
      <c r="B362" s="2">
        <v>46023</v>
      </c>
      <c r="C362" s="1" t="s">
        <v>723</v>
      </c>
      <c r="D362" s="1" t="s">
        <v>27</v>
      </c>
      <c r="E362" s="1" t="s">
        <v>16</v>
      </c>
      <c r="F362" s="1" t="s">
        <v>17</v>
      </c>
      <c r="G362" s="3">
        <v>0.3923611111111111</v>
      </c>
      <c r="H362" s="3">
        <v>0.3888888888888889</v>
      </c>
      <c r="I362" s="1">
        <v>-5</v>
      </c>
      <c r="J362" s="1">
        <v>0</v>
      </c>
      <c r="K362" s="1" t="s">
        <v>18</v>
      </c>
      <c r="L362" s="1" t="s">
        <v>19</v>
      </c>
      <c r="M362" s="1">
        <v>802</v>
      </c>
    </row>
    <row r="363" spans="1:13" x14ac:dyDescent="0.35">
      <c r="A363" s="1" t="s">
        <v>724</v>
      </c>
      <c r="B363" s="2">
        <v>46023</v>
      </c>
      <c r="C363" s="1" t="s">
        <v>397</v>
      </c>
      <c r="D363" s="1" t="s">
        <v>37</v>
      </c>
      <c r="E363" s="1" t="s">
        <v>41</v>
      </c>
      <c r="F363" s="1" t="s">
        <v>38</v>
      </c>
      <c r="G363" s="3">
        <v>0.59375</v>
      </c>
      <c r="H363" s="3">
        <v>0.59166666666666667</v>
      </c>
      <c r="I363" s="1">
        <v>-3</v>
      </c>
      <c r="J363" s="1">
        <v>-6</v>
      </c>
      <c r="K363" s="1" t="s">
        <v>18</v>
      </c>
      <c r="L363" s="1" t="s">
        <v>19</v>
      </c>
      <c r="M363" s="1">
        <v>2722</v>
      </c>
    </row>
    <row r="364" spans="1:13" x14ac:dyDescent="0.35">
      <c r="A364" s="1" t="s">
        <v>725</v>
      </c>
      <c r="B364" s="2">
        <v>46024</v>
      </c>
      <c r="C364" s="1" t="s">
        <v>726</v>
      </c>
      <c r="D364" s="1" t="s">
        <v>15</v>
      </c>
      <c r="E364" s="1" t="s">
        <v>78</v>
      </c>
      <c r="F364" s="1" t="s">
        <v>38</v>
      </c>
      <c r="G364" s="3">
        <v>0.46875</v>
      </c>
      <c r="H364" s="3">
        <v>0.47222222222222221</v>
      </c>
      <c r="I364" s="1">
        <v>5</v>
      </c>
      <c r="J364" s="1">
        <v>-6</v>
      </c>
      <c r="K364" s="1" t="s">
        <v>18</v>
      </c>
      <c r="L364" s="1" t="s">
        <v>19</v>
      </c>
      <c r="M364" s="1">
        <v>370</v>
      </c>
    </row>
    <row r="365" spans="1:13" x14ac:dyDescent="0.35">
      <c r="A365" s="1" t="s">
        <v>727</v>
      </c>
      <c r="B365" s="2">
        <v>46024</v>
      </c>
      <c r="C365" s="1" t="s">
        <v>728</v>
      </c>
      <c r="D365" s="1" t="s">
        <v>666</v>
      </c>
      <c r="E365" s="1" t="s">
        <v>16</v>
      </c>
      <c r="F365" s="1" t="s">
        <v>17</v>
      </c>
      <c r="G365" s="3">
        <v>0.50694444444444442</v>
      </c>
      <c r="H365" s="3">
        <v>0.50972222222222219</v>
      </c>
      <c r="I365" s="1">
        <v>4</v>
      </c>
      <c r="J365" s="1">
        <v>7</v>
      </c>
      <c r="K365" s="1" t="s">
        <v>18</v>
      </c>
      <c r="L365" s="1" t="s">
        <v>19</v>
      </c>
      <c r="M365" s="1">
        <v>864</v>
      </c>
    </row>
    <row r="366" spans="1:13" x14ac:dyDescent="0.35">
      <c r="A366" s="1" t="s">
        <v>729</v>
      </c>
      <c r="B366" s="2">
        <v>46024</v>
      </c>
      <c r="C366" s="1" t="s">
        <v>616</v>
      </c>
      <c r="D366" s="1" t="s">
        <v>27</v>
      </c>
      <c r="E366" s="1" t="s">
        <v>47</v>
      </c>
      <c r="F366" s="1" t="s">
        <v>38</v>
      </c>
      <c r="G366" s="3">
        <v>0.6875</v>
      </c>
      <c r="H366" s="3">
        <v>0.69027777777777777</v>
      </c>
      <c r="I366" s="1">
        <v>4</v>
      </c>
      <c r="J366" s="1">
        <v>3</v>
      </c>
      <c r="K366" s="1"/>
      <c r="L366" s="1" t="s">
        <v>19</v>
      </c>
      <c r="M366" s="1">
        <v>1462</v>
      </c>
    </row>
    <row r="367" spans="1:13" x14ac:dyDescent="0.35">
      <c r="A367" s="1" t="s">
        <v>730</v>
      </c>
      <c r="B367" s="2">
        <v>46024</v>
      </c>
      <c r="C367" s="1" t="s">
        <v>62</v>
      </c>
      <c r="D367" s="1" t="s">
        <v>15</v>
      </c>
      <c r="E367" s="1" t="s">
        <v>31</v>
      </c>
      <c r="F367" s="1" t="s">
        <v>38</v>
      </c>
      <c r="G367" s="3">
        <v>0.74305555555555558</v>
      </c>
      <c r="H367" s="3">
        <v>0.75</v>
      </c>
      <c r="I367" s="1">
        <v>10</v>
      </c>
      <c r="J367" s="1">
        <v>10</v>
      </c>
      <c r="K367" s="1" t="s">
        <v>18</v>
      </c>
      <c r="L367" s="1" t="s">
        <v>19</v>
      </c>
      <c r="M367" s="1">
        <v>236</v>
      </c>
    </row>
    <row r="368" spans="1:13" x14ac:dyDescent="0.35">
      <c r="A368" s="1" t="s">
        <v>731</v>
      </c>
      <c r="B368" s="2">
        <v>46024</v>
      </c>
      <c r="C368" s="1" t="s">
        <v>732</v>
      </c>
      <c r="D368" s="1" t="s">
        <v>22</v>
      </c>
      <c r="E368" s="1" t="s">
        <v>23</v>
      </c>
      <c r="F368" s="1" t="s">
        <v>28</v>
      </c>
      <c r="G368" s="3">
        <v>0.88541666666666663</v>
      </c>
      <c r="H368" s="3">
        <v>0.90208333333333335</v>
      </c>
      <c r="I368" s="1">
        <v>24</v>
      </c>
      <c r="J368" s="1">
        <v>25</v>
      </c>
      <c r="K368" s="1" t="s">
        <v>54</v>
      </c>
      <c r="L368" s="1" t="s">
        <v>19</v>
      </c>
      <c r="M368" s="1">
        <v>1622</v>
      </c>
    </row>
    <row r="369" spans="1:13" x14ac:dyDescent="0.35">
      <c r="A369" s="1" t="s">
        <v>733</v>
      </c>
      <c r="B369" s="2">
        <v>46025</v>
      </c>
      <c r="C369" s="1" t="s">
        <v>734</v>
      </c>
      <c r="D369" s="1" t="s">
        <v>15</v>
      </c>
      <c r="E369" s="1" t="s">
        <v>41</v>
      </c>
      <c r="F369" s="1" t="s">
        <v>28</v>
      </c>
      <c r="G369" s="3">
        <v>0.46875</v>
      </c>
      <c r="H369" s="3">
        <v>0.47291666666666671</v>
      </c>
      <c r="I369" s="1">
        <v>6</v>
      </c>
      <c r="J369" s="1">
        <v>-1</v>
      </c>
      <c r="K369" s="1" t="s">
        <v>18</v>
      </c>
      <c r="L369" s="1" t="s">
        <v>19</v>
      </c>
      <c r="M369" s="1">
        <v>2338</v>
      </c>
    </row>
    <row r="370" spans="1:13" x14ac:dyDescent="0.35">
      <c r="A370" s="1" t="s">
        <v>735</v>
      </c>
      <c r="B370" s="2">
        <v>46025</v>
      </c>
      <c r="C370" s="1" t="s">
        <v>275</v>
      </c>
      <c r="D370" s="1" t="s">
        <v>41</v>
      </c>
      <c r="E370" s="1" t="s">
        <v>16</v>
      </c>
      <c r="F370" s="1" t="s">
        <v>28</v>
      </c>
      <c r="G370" s="3">
        <v>0.65277777777777779</v>
      </c>
      <c r="H370" s="3">
        <v>0.66111111111111109</v>
      </c>
      <c r="I370" s="1">
        <v>12</v>
      </c>
      <c r="J370" s="1">
        <v>20</v>
      </c>
      <c r="K370" s="1" t="s">
        <v>18</v>
      </c>
      <c r="L370" s="1" t="s">
        <v>19</v>
      </c>
      <c r="M370" s="1">
        <v>1199</v>
      </c>
    </row>
    <row r="371" spans="1:13" x14ac:dyDescent="0.35">
      <c r="A371" s="1" t="s">
        <v>736</v>
      </c>
      <c r="B371" s="2">
        <v>46025</v>
      </c>
      <c r="C371" s="1" t="s">
        <v>737</v>
      </c>
      <c r="D371" s="1" t="s">
        <v>31</v>
      </c>
      <c r="E371" s="1" t="s">
        <v>50</v>
      </c>
      <c r="F371" s="1" t="s">
        <v>17</v>
      </c>
      <c r="G371" s="3">
        <v>0.86111111111111116</v>
      </c>
      <c r="H371" s="3">
        <v>0.86111111111111116</v>
      </c>
      <c r="I371" s="1">
        <v>0</v>
      </c>
      <c r="J371" s="1">
        <v>-4</v>
      </c>
      <c r="K371" s="1"/>
      <c r="L371" s="1" t="s">
        <v>19</v>
      </c>
      <c r="M371" s="1">
        <v>1743</v>
      </c>
    </row>
    <row r="372" spans="1:13" x14ac:dyDescent="0.35">
      <c r="A372" s="1" t="s">
        <v>738</v>
      </c>
      <c r="B372" s="2">
        <v>46026</v>
      </c>
      <c r="C372" s="1" t="s">
        <v>399</v>
      </c>
      <c r="D372" s="1" t="s">
        <v>41</v>
      </c>
      <c r="E372" s="1" t="s">
        <v>47</v>
      </c>
      <c r="F372" s="1" t="s">
        <v>17</v>
      </c>
      <c r="G372" s="3">
        <v>0.2673611111111111</v>
      </c>
      <c r="H372" s="3">
        <v>0.26319444444444451</v>
      </c>
      <c r="I372" s="1">
        <v>-6</v>
      </c>
      <c r="J372" s="1">
        <v>-11</v>
      </c>
      <c r="K372" s="1" t="s">
        <v>18</v>
      </c>
      <c r="L372" s="1" t="s">
        <v>19</v>
      </c>
      <c r="M372" s="1">
        <v>2582</v>
      </c>
    </row>
    <row r="373" spans="1:13" x14ac:dyDescent="0.35">
      <c r="A373" s="1" t="s">
        <v>739</v>
      </c>
      <c r="B373" s="2">
        <v>46026</v>
      </c>
      <c r="C373" s="1" t="s">
        <v>740</v>
      </c>
      <c r="D373" s="1" t="s">
        <v>47</v>
      </c>
      <c r="E373" s="1" t="s">
        <v>27</v>
      </c>
      <c r="F373" s="1" t="s">
        <v>28</v>
      </c>
      <c r="G373" s="3">
        <v>0.34375</v>
      </c>
      <c r="H373" s="3">
        <v>0.33888888888888891</v>
      </c>
      <c r="I373" s="1">
        <v>-7</v>
      </c>
      <c r="J373" s="1">
        <v>-1</v>
      </c>
      <c r="K373" s="1"/>
      <c r="L373" s="1" t="s">
        <v>19</v>
      </c>
      <c r="M373" s="1">
        <v>1462</v>
      </c>
    </row>
    <row r="374" spans="1:13" x14ac:dyDescent="0.35">
      <c r="A374" s="1" t="s">
        <v>741</v>
      </c>
      <c r="B374" s="2">
        <v>46026</v>
      </c>
      <c r="C374" s="1" t="s">
        <v>742</v>
      </c>
      <c r="D374" s="1" t="s">
        <v>15</v>
      </c>
      <c r="E374" s="1" t="s">
        <v>50</v>
      </c>
      <c r="F374" s="1" t="s">
        <v>28</v>
      </c>
      <c r="G374" s="3">
        <v>0.84375</v>
      </c>
      <c r="H374" s="3">
        <v>0.8520833333333333</v>
      </c>
      <c r="I374" s="1">
        <v>12</v>
      </c>
      <c r="J374" s="1">
        <v>8</v>
      </c>
      <c r="K374" s="1" t="s">
        <v>18</v>
      </c>
      <c r="L374" s="1" t="s">
        <v>19</v>
      </c>
      <c r="M374" s="1">
        <v>1942</v>
      </c>
    </row>
    <row r="375" spans="1:13" x14ac:dyDescent="0.35">
      <c r="A375" s="1" t="s">
        <v>743</v>
      </c>
      <c r="B375" s="2">
        <v>46027</v>
      </c>
      <c r="C375" s="1" t="s">
        <v>374</v>
      </c>
      <c r="D375" s="1" t="s">
        <v>41</v>
      </c>
      <c r="E375" s="1" t="s">
        <v>50</v>
      </c>
      <c r="F375" s="1" t="s">
        <v>24</v>
      </c>
      <c r="G375" s="3">
        <v>0.29166666666666669</v>
      </c>
      <c r="H375" s="3">
        <v>0.29583333333333328</v>
      </c>
      <c r="I375" s="1">
        <v>6</v>
      </c>
      <c r="J375" s="1">
        <v>13</v>
      </c>
      <c r="K375" s="1" t="s">
        <v>18</v>
      </c>
      <c r="L375" s="1" t="s">
        <v>19</v>
      </c>
      <c r="M375" s="1">
        <v>596</v>
      </c>
    </row>
    <row r="376" spans="1:13" x14ac:dyDescent="0.35">
      <c r="A376" s="1" t="s">
        <v>744</v>
      </c>
      <c r="B376" s="2">
        <v>46027</v>
      </c>
      <c r="C376" s="1" t="s">
        <v>619</v>
      </c>
      <c r="D376" s="1" t="s">
        <v>78</v>
      </c>
      <c r="E376" s="1" t="s">
        <v>15</v>
      </c>
      <c r="F376" s="1" t="s">
        <v>17</v>
      </c>
      <c r="G376" s="3">
        <v>0.40972222222222221</v>
      </c>
      <c r="H376" s="3">
        <v>0.42638888888888887</v>
      </c>
      <c r="I376" s="1">
        <v>24</v>
      </c>
      <c r="J376" s="1">
        <v>14</v>
      </c>
      <c r="K376" s="1" t="s">
        <v>98</v>
      </c>
      <c r="L376" s="1" t="s">
        <v>19</v>
      </c>
      <c r="M376" s="1">
        <v>370</v>
      </c>
    </row>
    <row r="377" spans="1:13" x14ac:dyDescent="0.35">
      <c r="A377" s="1" t="s">
        <v>745</v>
      </c>
      <c r="B377" s="2">
        <v>46027</v>
      </c>
      <c r="C377" s="1" t="s">
        <v>746</v>
      </c>
      <c r="D377" s="1" t="s">
        <v>41</v>
      </c>
      <c r="E377" s="1" t="s">
        <v>22</v>
      </c>
      <c r="F377" s="1" t="s">
        <v>17</v>
      </c>
      <c r="G377" s="3">
        <v>0.44791666666666669</v>
      </c>
      <c r="H377" s="3">
        <v>0.47916666666666669</v>
      </c>
      <c r="I377" s="1">
        <v>45</v>
      </c>
      <c r="J377" s="1">
        <v>53</v>
      </c>
      <c r="K377" s="1" t="s">
        <v>60</v>
      </c>
      <c r="L377" s="1" t="s">
        <v>19</v>
      </c>
      <c r="M377" s="1">
        <v>1092</v>
      </c>
    </row>
    <row r="378" spans="1:13" x14ac:dyDescent="0.35">
      <c r="A378" s="1" t="s">
        <v>747</v>
      </c>
      <c r="B378" s="2">
        <v>46027</v>
      </c>
      <c r="C378" s="1" t="s">
        <v>748</v>
      </c>
      <c r="D378" s="1" t="s">
        <v>50</v>
      </c>
      <c r="E378" s="1" t="s">
        <v>31</v>
      </c>
      <c r="F378" s="1" t="s">
        <v>38</v>
      </c>
      <c r="G378" s="3">
        <v>0.63541666666666663</v>
      </c>
      <c r="H378" s="3">
        <v>0.63055555555555554</v>
      </c>
      <c r="I378" s="1">
        <v>-7</v>
      </c>
      <c r="J378" s="1">
        <v>-10</v>
      </c>
      <c r="K378" s="1" t="s">
        <v>18</v>
      </c>
      <c r="L378" s="1" t="s">
        <v>19</v>
      </c>
      <c r="M378" s="1">
        <v>1743</v>
      </c>
    </row>
    <row r="379" spans="1:13" x14ac:dyDescent="0.35">
      <c r="A379" s="1" t="s">
        <v>749</v>
      </c>
      <c r="B379" s="2">
        <v>46028</v>
      </c>
      <c r="C379" s="1" t="s">
        <v>750</v>
      </c>
      <c r="D379" s="1" t="s">
        <v>27</v>
      </c>
      <c r="E379" s="1" t="s">
        <v>23</v>
      </c>
      <c r="F379" s="1" t="s">
        <v>28</v>
      </c>
      <c r="G379" s="3">
        <v>0.36805555555555558</v>
      </c>
      <c r="H379" s="1"/>
      <c r="I379" s="1"/>
      <c r="J379" s="1"/>
      <c r="K379" s="1" t="s">
        <v>303</v>
      </c>
      <c r="L379" s="1" t="s">
        <v>254</v>
      </c>
      <c r="M379" s="1">
        <v>641</v>
      </c>
    </row>
    <row r="380" spans="1:13" x14ac:dyDescent="0.35">
      <c r="A380" s="1" t="s">
        <v>751</v>
      </c>
      <c r="B380" s="2">
        <v>46028</v>
      </c>
      <c r="C380" s="1" t="s">
        <v>752</v>
      </c>
      <c r="D380" s="1" t="s">
        <v>16</v>
      </c>
      <c r="E380" s="1" t="s">
        <v>41</v>
      </c>
      <c r="F380" s="1" t="s">
        <v>17</v>
      </c>
      <c r="G380" s="3">
        <v>0.50347222222222221</v>
      </c>
      <c r="H380" s="3">
        <v>0.51527777777777772</v>
      </c>
      <c r="I380" s="1">
        <v>17</v>
      </c>
      <c r="J380" s="1">
        <v>14</v>
      </c>
      <c r="K380" s="1" t="s">
        <v>276</v>
      </c>
      <c r="L380" s="1" t="s">
        <v>19</v>
      </c>
      <c r="M380" s="1">
        <v>1199</v>
      </c>
    </row>
    <row r="381" spans="1:13" x14ac:dyDescent="0.35">
      <c r="A381" s="1" t="s">
        <v>753</v>
      </c>
      <c r="B381" s="2">
        <v>46028</v>
      </c>
      <c r="C381" s="1" t="s">
        <v>754</v>
      </c>
      <c r="D381" s="1" t="s">
        <v>22</v>
      </c>
      <c r="E381" s="1" t="s">
        <v>123</v>
      </c>
      <c r="F381" s="1" t="s">
        <v>17</v>
      </c>
      <c r="G381" s="3">
        <v>0.65277777777777779</v>
      </c>
      <c r="H381" s="3">
        <v>0.65763888888888888</v>
      </c>
      <c r="I381" s="1">
        <v>7</v>
      </c>
      <c r="J381" s="1">
        <v>9</v>
      </c>
      <c r="K381" s="1" t="s">
        <v>18</v>
      </c>
      <c r="L381" s="1" t="s">
        <v>19</v>
      </c>
      <c r="M381" s="1">
        <v>759</v>
      </c>
    </row>
    <row r="382" spans="1:13" x14ac:dyDescent="0.35">
      <c r="A382" s="1" t="s">
        <v>755</v>
      </c>
      <c r="B382" s="2">
        <v>46029</v>
      </c>
      <c r="C382" s="1" t="s">
        <v>756</v>
      </c>
      <c r="D382" s="1" t="s">
        <v>27</v>
      </c>
      <c r="E382" s="1" t="s">
        <v>78</v>
      </c>
      <c r="F382" s="1" t="s">
        <v>24</v>
      </c>
      <c r="G382" s="3">
        <v>0.72916666666666663</v>
      </c>
      <c r="H382" s="3">
        <v>0.80555555555555558</v>
      </c>
      <c r="I382" s="1">
        <v>110</v>
      </c>
      <c r="J382" s="1">
        <v>104</v>
      </c>
      <c r="K382" s="1" t="s">
        <v>129</v>
      </c>
      <c r="L382" s="1" t="s">
        <v>19</v>
      </c>
      <c r="M382" s="1">
        <v>866</v>
      </c>
    </row>
    <row r="383" spans="1:13" x14ac:dyDescent="0.35">
      <c r="A383" s="1" t="s">
        <v>757</v>
      </c>
      <c r="B383" s="2">
        <v>46030</v>
      </c>
      <c r="C383" s="1" t="s">
        <v>758</v>
      </c>
      <c r="D383" s="1" t="s">
        <v>37</v>
      </c>
      <c r="E383" s="1" t="s">
        <v>23</v>
      </c>
      <c r="F383" s="1" t="s">
        <v>38</v>
      </c>
      <c r="G383" s="3">
        <v>0.85069444444444442</v>
      </c>
      <c r="H383" s="3">
        <v>0.85416666666666663</v>
      </c>
      <c r="I383" s="1">
        <v>5</v>
      </c>
      <c r="J383" s="1">
        <v>9</v>
      </c>
      <c r="K383" s="1" t="s">
        <v>18</v>
      </c>
      <c r="L383" s="1" t="s">
        <v>19</v>
      </c>
      <c r="M383" s="1">
        <v>1023</v>
      </c>
    </row>
    <row r="384" spans="1:13" x14ac:dyDescent="0.35">
      <c r="A384" s="1" t="s">
        <v>759</v>
      </c>
      <c r="B384" s="2">
        <v>46030</v>
      </c>
      <c r="C384" s="1" t="s">
        <v>760</v>
      </c>
      <c r="D384" s="1" t="s">
        <v>16</v>
      </c>
      <c r="E384" s="1" t="s">
        <v>41</v>
      </c>
      <c r="F384" s="1" t="s">
        <v>17</v>
      </c>
      <c r="G384" s="3">
        <v>0.95138888888888884</v>
      </c>
      <c r="H384" s="3">
        <v>0.95416666666666672</v>
      </c>
      <c r="I384" s="1">
        <v>4</v>
      </c>
      <c r="J384" s="1">
        <v>0</v>
      </c>
      <c r="K384" s="1" t="s">
        <v>18</v>
      </c>
      <c r="L384" s="1" t="s">
        <v>19</v>
      </c>
      <c r="M384" s="1">
        <v>1199</v>
      </c>
    </row>
    <row r="385" spans="1:13" x14ac:dyDescent="0.35">
      <c r="A385" s="1" t="s">
        <v>761</v>
      </c>
      <c r="B385" s="2">
        <v>46031</v>
      </c>
      <c r="C385" s="1" t="s">
        <v>548</v>
      </c>
      <c r="D385" s="1" t="s">
        <v>23</v>
      </c>
      <c r="E385" s="1" t="s">
        <v>37</v>
      </c>
      <c r="F385" s="1" t="s">
        <v>24</v>
      </c>
      <c r="G385" s="3">
        <v>0.34722222222222221</v>
      </c>
      <c r="H385" s="1"/>
      <c r="I385" s="1"/>
      <c r="J385" s="1"/>
      <c r="K385" s="1" t="s">
        <v>129</v>
      </c>
      <c r="L385" s="1" t="s">
        <v>254</v>
      </c>
      <c r="M385" s="1">
        <v>1023</v>
      </c>
    </row>
    <row r="386" spans="1:13" x14ac:dyDescent="0.35">
      <c r="A386" s="1" t="s">
        <v>762</v>
      </c>
      <c r="B386" s="2">
        <v>46031</v>
      </c>
      <c r="C386" s="1" t="s">
        <v>249</v>
      </c>
      <c r="D386" s="1" t="s">
        <v>31</v>
      </c>
      <c r="E386" s="1" t="s">
        <v>50</v>
      </c>
      <c r="F386" s="1" t="s">
        <v>38</v>
      </c>
      <c r="G386" s="3">
        <v>0.41319444444444442</v>
      </c>
      <c r="H386" s="3">
        <v>0.41458333333333341</v>
      </c>
      <c r="I386" s="1">
        <v>2</v>
      </c>
      <c r="J386" s="1">
        <v>-1</v>
      </c>
      <c r="K386" s="1" t="s">
        <v>18</v>
      </c>
      <c r="L386" s="1" t="s">
        <v>19</v>
      </c>
      <c r="M386" s="1">
        <v>1743</v>
      </c>
    </row>
    <row r="387" spans="1:13" x14ac:dyDescent="0.35">
      <c r="A387" s="1" t="s">
        <v>763</v>
      </c>
      <c r="B387" s="2">
        <v>46031</v>
      </c>
      <c r="C387" s="1" t="s">
        <v>764</v>
      </c>
      <c r="D387" s="1" t="s">
        <v>50</v>
      </c>
      <c r="E387" s="1" t="s">
        <v>22</v>
      </c>
      <c r="F387" s="1" t="s">
        <v>28</v>
      </c>
      <c r="G387" s="3">
        <v>0.51736111111111116</v>
      </c>
      <c r="H387" s="3">
        <v>0.52430555555555558</v>
      </c>
      <c r="I387" s="1">
        <v>10</v>
      </c>
      <c r="J387" s="1">
        <v>2</v>
      </c>
      <c r="K387" s="1" t="s">
        <v>18</v>
      </c>
      <c r="L387" s="1" t="s">
        <v>19</v>
      </c>
      <c r="M387" s="1">
        <v>759</v>
      </c>
    </row>
    <row r="388" spans="1:13" x14ac:dyDescent="0.35">
      <c r="A388" s="1" t="s">
        <v>765</v>
      </c>
      <c r="B388" s="2">
        <v>46031</v>
      </c>
      <c r="C388" s="1" t="s">
        <v>766</v>
      </c>
      <c r="D388" s="1" t="s">
        <v>22</v>
      </c>
      <c r="E388" s="1" t="s">
        <v>27</v>
      </c>
      <c r="F388" s="1" t="s">
        <v>38</v>
      </c>
      <c r="G388" s="3">
        <v>0.78472222222222221</v>
      </c>
      <c r="H388" s="3">
        <v>0.78055555555555556</v>
      </c>
      <c r="I388" s="1">
        <v>-6</v>
      </c>
      <c r="J388" s="1">
        <v>4</v>
      </c>
      <c r="K388" s="1"/>
      <c r="L388" s="1" t="s">
        <v>19</v>
      </c>
      <c r="M388" s="1">
        <v>1389</v>
      </c>
    </row>
    <row r="389" spans="1:13" x14ac:dyDescent="0.35">
      <c r="A389" s="1" t="s">
        <v>767</v>
      </c>
      <c r="B389" s="2">
        <v>46031</v>
      </c>
      <c r="C389" s="1" t="s">
        <v>768</v>
      </c>
      <c r="D389" s="1" t="s">
        <v>16</v>
      </c>
      <c r="E389" s="1" t="s">
        <v>15</v>
      </c>
      <c r="F389" s="1" t="s">
        <v>28</v>
      </c>
      <c r="G389" s="3">
        <v>0.78819444444444442</v>
      </c>
      <c r="H389" s="3">
        <v>0.8208333333333333</v>
      </c>
      <c r="I389" s="1">
        <v>47</v>
      </c>
      <c r="J389" s="1">
        <v>51</v>
      </c>
      <c r="K389" s="1" t="s">
        <v>319</v>
      </c>
      <c r="L389" s="1" t="s">
        <v>19</v>
      </c>
      <c r="M389" s="1">
        <v>1742</v>
      </c>
    </row>
    <row r="390" spans="1:13" x14ac:dyDescent="0.35">
      <c r="A390" s="1" t="s">
        <v>769</v>
      </c>
      <c r="B390" s="2">
        <v>46033</v>
      </c>
      <c r="C390" s="1" t="s">
        <v>770</v>
      </c>
      <c r="D390" s="1" t="s">
        <v>15</v>
      </c>
      <c r="E390" s="1" t="s">
        <v>27</v>
      </c>
      <c r="F390" s="1" t="s">
        <v>24</v>
      </c>
      <c r="G390" s="3">
        <v>0.35069444444444442</v>
      </c>
      <c r="H390" s="3">
        <v>0.38680555555555562</v>
      </c>
      <c r="I390" s="1">
        <v>52</v>
      </c>
      <c r="J390" s="1">
        <v>48</v>
      </c>
      <c r="K390" s="1" t="s">
        <v>617</v>
      </c>
      <c r="L390" s="1" t="s">
        <v>19</v>
      </c>
      <c r="M390" s="1">
        <v>1232</v>
      </c>
    </row>
    <row r="391" spans="1:13" x14ac:dyDescent="0.35">
      <c r="A391" s="1" t="s">
        <v>771</v>
      </c>
      <c r="B391" s="2">
        <v>46033</v>
      </c>
      <c r="C391" s="1" t="s">
        <v>171</v>
      </c>
      <c r="D391" s="1" t="s">
        <v>44</v>
      </c>
      <c r="E391" s="1" t="s">
        <v>41</v>
      </c>
      <c r="F391" s="1" t="s">
        <v>28</v>
      </c>
      <c r="G391" s="3">
        <v>0.65972222222222221</v>
      </c>
      <c r="H391" s="3">
        <v>0.65902777777777777</v>
      </c>
      <c r="I391" s="1">
        <v>-1</v>
      </c>
      <c r="J391" s="1">
        <v>9</v>
      </c>
      <c r="K391" s="1"/>
      <c r="L391" s="1" t="s">
        <v>19</v>
      </c>
      <c r="M391" s="1">
        <v>1260</v>
      </c>
    </row>
    <row r="392" spans="1:13" x14ac:dyDescent="0.35">
      <c r="A392" s="1" t="s">
        <v>772</v>
      </c>
      <c r="B392" s="2">
        <v>46033</v>
      </c>
      <c r="C392" s="1" t="s">
        <v>773</v>
      </c>
      <c r="D392" s="1" t="s">
        <v>16</v>
      </c>
      <c r="E392" s="1" t="s">
        <v>27</v>
      </c>
      <c r="F392" s="1" t="s">
        <v>38</v>
      </c>
      <c r="G392" s="3">
        <v>0.75347222222222221</v>
      </c>
      <c r="H392" s="1"/>
      <c r="I392" s="1"/>
      <c r="J392" s="1"/>
      <c r="K392" s="1" t="s">
        <v>129</v>
      </c>
      <c r="L392" s="1" t="s">
        <v>254</v>
      </c>
      <c r="M392" s="1">
        <v>802</v>
      </c>
    </row>
    <row r="393" spans="1:13" x14ac:dyDescent="0.35">
      <c r="A393" s="1" t="s">
        <v>774</v>
      </c>
      <c r="B393" s="2">
        <v>46034</v>
      </c>
      <c r="C393" s="1" t="s">
        <v>133</v>
      </c>
      <c r="D393" s="1" t="s">
        <v>23</v>
      </c>
      <c r="E393" s="1" t="s">
        <v>22</v>
      </c>
      <c r="F393" s="1" t="s">
        <v>38</v>
      </c>
      <c r="G393" s="3">
        <v>0.40625</v>
      </c>
      <c r="H393" s="3">
        <v>0.41111111111111109</v>
      </c>
      <c r="I393" s="1">
        <v>7</v>
      </c>
      <c r="J393" s="1">
        <v>16</v>
      </c>
      <c r="K393" s="1" t="s">
        <v>18</v>
      </c>
      <c r="L393" s="1" t="s">
        <v>19</v>
      </c>
      <c r="M393" s="1">
        <v>1622</v>
      </c>
    </row>
    <row r="394" spans="1:13" x14ac:dyDescent="0.35">
      <c r="A394" s="1" t="s">
        <v>775</v>
      </c>
      <c r="B394" s="2">
        <v>46034</v>
      </c>
      <c r="C394" s="1" t="s">
        <v>776</v>
      </c>
      <c r="D394" s="1" t="s">
        <v>15</v>
      </c>
      <c r="E394" s="1" t="s">
        <v>27</v>
      </c>
      <c r="F394" s="1" t="s">
        <v>17</v>
      </c>
      <c r="G394" s="3">
        <v>0.41666666666666669</v>
      </c>
      <c r="H394" s="3">
        <v>0.42152777777777778</v>
      </c>
      <c r="I394" s="1">
        <v>7</v>
      </c>
      <c r="J394" s="1">
        <v>8</v>
      </c>
      <c r="K394" s="1"/>
      <c r="L394" s="1" t="s">
        <v>19</v>
      </c>
      <c r="M394" s="1">
        <v>1232</v>
      </c>
    </row>
    <row r="395" spans="1:13" x14ac:dyDescent="0.35">
      <c r="A395" s="1" t="s">
        <v>777</v>
      </c>
      <c r="B395" s="2">
        <v>46034</v>
      </c>
      <c r="C395" s="1" t="s">
        <v>778</v>
      </c>
      <c r="D395" s="1" t="s">
        <v>78</v>
      </c>
      <c r="E395" s="1" t="s">
        <v>27</v>
      </c>
      <c r="F395" s="1" t="s">
        <v>17</v>
      </c>
      <c r="G395" s="3">
        <v>0.88888888888888884</v>
      </c>
      <c r="H395" s="3">
        <v>0.89652777777777781</v>
      </c>
      <c r="I395" s="1">
        <v>11</v>
      </c>
      <c r="J395" s="1">
        <v>15</v>
      </c>
      <c r="K395" s="1" t="s">
        <v>18</v>
      </c>
      <c r="L395" s="1" t="s">
        <v>19</v>
      </c>
      <c r="M395" s="1">
        <v>866</v>
      </c>
    </row>
    <row r="396" spans="1:13" x14ac:dyDescent="0.35">
      <c r="A396" s="1" t="s">
        <v>779</v>
      </c>
      <c r="B396" s="2">
        <v>46035</v>
      </c>
      <c r="C396" s="1" t="s">
        <v>780</v>
      </c>
      <c r="D396" s="1" t="s">
        <v>78</v>
      </c>
      <c r="E396" s="1" t="s">
        <v>23</v>
      </c>
      <c r="F396" s="1" t="s">
        <v>38</v>
      </c>
      <c r="G396" s="3">
        <v>0.28472222222222221</v>
      </c>
      <c r="H396" s="3">
        <v>0.28263888888888888</v>
      </c>
      <c r="I396" s="1">
        <v>-3</v>
      </c>
      <c r="J396" s="1">
        <v>7</v>
      </c>
      <c r="K396" s="1"/>
      <c r="L396" s="1" t="s">
        <v>19</v>
      </c>
      <c r="M396" s="1">
        <v>602</v>
      </c>
    </row>
    <row r="397" spans="1:13" x14ac:dyDescent="0.35">
      <c r="A397" s="1" t="s">
        <v>781</v>
      </c>
      <c r="B397" s="2">
        <v>46035</v>
      </c>
      <c r="C397" s="1" t="s">
        <v>782</v>
      </c>
      <c r="D397" s="1" t="s">
        <v>23</v>
      </c>
      <c r="E397" s="1" t="s">
        <v>27</v>
      </c>
      <c r="F397" s="1" t="s">
        <v>24</v>
      </c>
      <c r="G397" s="3">
        <v>0.40277777777777779</v>
      </c>
      <c r="H397" s="3">
        <v>0.41041666666666671</v>
      </c>
      <c r="I397" s="1">
        <v>11</v>
      </c>
      <c r="J397" s="1">
        <v>14</v>
      </c>
      <c r="K397" s="1" t="s">
        <v>18</v>
      </c>
      <c r="L397" s="1" t="s">
        <v>19</v>
      </c>
      <c r="M397" s="1">
        <v>641</v>
      </c>
    </row>
    <row r="398" spans="1:13" x14ac:dyDescent="0.35">
      <c r="A398" s="1" t="s">
        <v>783</v>
      </c>
      <c r="B398" s="2">
        <v>46035</v>
      </c>
      <c r="C398" s="1" t="s">
        <v>77</v>
      </c>
      <c r="D398" s="1" t="s">
        <v>22</v>
      </c>
      <c r="E398" s="1" t="s">
        <v>78</v>
      </c>
      <c r="F398" s="1" t="s">
        <v>24</v>
      </c>
      <c r="G398" s="3">
        <v>0.43055555555555558</v>
      </c>
      <c r="H398" s="3">
        <v>0.43402777777777779</v>
      </c>
      <c r="I398" s="1">
        <v>5</v>
      </c>
      <c r="J398" s="1">
        <v>-2</v>
      </c>
      <c r="K398" s="1" t="s">
        <v>18</v>
      </c>
      <c r="L398" s="1" t="s">
        <v>19</v>
      </c>
      <c r="M398" s="1">
        <v>2149</v>
      </c>
    </row>
    <row r="399" spans="1:13" x14ac:dyDescent="0.35">
      <c r="A399" s="1" t="s">
        <v>784</v>
      </c>
      <c r="B399" s="2">
        <v>46035</v>
      </c>
      <c r="C399" s="1" t="s">
        <v>785</v>
      </c>
      <c r="D399" s="1" t="s">
        <v>15</v>
      </c>
      <c r="E399" s="1" t="s">
        <v>41</v>
      </c>
      <c r="F399" s="1" t="s">
        <v>17</v>
      </c>
      <c r="G399" s="3">
        <v>0.4375</v>
      </c>
      <c r="H399" s="3">
        <v>0.4375</v>
      </c>
      <c r="I399" s="1">
        <v>0</v>
      </c>
      <c r="J399" s="1">
        <v>-8</v>
      </c>
      <c r="K399" s="1"/>
      <c r="L399" s="1" t="s">
        <v>19</v>
      </c>
      <c r="M399" s="1">
        <v>2338</v>
      </c>
    </row>
    <row r="400" spans="1:13" x14ac:dyDescent="0.35">
      <c r="A400" s="1" t="s">
        <v>786</v>
      </c>
      <c r="B400" s="2">
        <v>46035</v>
      </c>
      <c r="C400" s="1" t="s">
        <v>787</v>
      </c>
      <c r="D400" s="1" t="s">
        <v>47</v>
      </c>
      <c r="E400" s="1" t="s">
        <v>31</v>
      </c>
      <c r="F400" s="1" t="s">
        <v>38</v>
      </c>
      <c r="G400" s="3">
        <v>0.56597222222222221</v>
      </c>
      <c r="H400" s="3">
        <v>0.56180555555555556</v>
      </c>
      <c r="I400" s="1">
        <v>-6</v>
      </c>
      <c r="J400" s="1">
        <v>-11</v>
      </c>
      <c r="K400" s="1" t="s">
        <v>18</v>
      </c>
      <c r="L400" s="1" t="s">
        <v>19</v>
      </c>
      <c r="M400" s="1">
        <v>414</v>
      </c>
    </row>
    <row r="401" spans="1:13" x14ac:dyDescent="0.35">
      <c r="A401" s="1" t="s">
        <v>788</v>
      </c>
      <c r="B401" s="2">
        <v>46037</v>
      </c>
      <c r="C401" s="1" t="s">
        <v>789</v>
      </c>
      <c r="D401" s="1" t="s">
        <v>214</v>
      </c>
      <c r="E401" s="1" t="s">
        <v>50</v>
      </c>
      <c r="F401" s="1" t="s">
        <v>24</v>
      </c>
      <c r="G401" s="3">
        <v>0.64236111111111116</v>
      </c>
      <c r="H401" s="1"/>
      <c r="I401" s="1"/>
      <c r="J401" s="1"/>
      <c r="K401" s="1" t="s">
        <v>60</v>
      </c>
      <c r="L401" s="1" t="s">
        <v>254</v>
      </c>
      <c r="M401" s="1">
        <v>1197</v>
      </c>
    </row>
    <row r="402" spans="1:13" x14ac:dyDescent="0.35">
      <c r="A402" s="1" t="s">
        <v>790</v>
      </c>
      <c r="B402" s="2">
        <v>46037</v>
      </c>
      <c r="C402" s="1" t="s">
        <v>791</v>
      </c>
      <c r="D402" s="1" t="s">
        <v>47</v>
      </c>
      <c r="E402" s="1" t="s">
        <v>27</v>
      </c>
      <c r="F402" s="1" t="s">
        <v>17</v>
      </c>
      <c r="G402" s="3">
        <v>0.69097222222222221</v>
      </c>
      <c r="H402" s="3">
        <v>0.69444444444444442</v>
      </c>
      <c r="I402" s="1">
        <v>5</v>
      </c>
      <c r="J402" s="1">
        <v>2</v>
      </c>
      <c r="K402" s="1" t="s">
        <v>18</v>
      </c>
      <c r="L402" s="1" t="s">
        <v>19</v>
      </c>
      <c r="M402" s="1">
        <v>1462</v>
      </c>
    </row>
    <row r="403" spans="1:13" x14ac:dyDescent="0.35">
      <c r="A403" s="1" t="s">
        <v>792</v>
      </c>
      <c r="B403" s="2">
        <v>46038</v>
      </c>
      <c r="C403" s="1" t="s">
        <v>314</v>
      </c>
      <c r="D403" s="1" t="s">
        <v>37</v>
      </c>
      <c r="E403" s="1" t="s">
        <v>16</v>
      </c>
      <c r="F403" s="1" t="s">
        <v>17</v>
      </c>
      <c r="G403" s="3">
        <v>0.86111111111111116</v>
      </c>
      <c r="H403" s="3">
        <v>0.85555555555555551</v>
      </c>
      <c r="I403" s="1">
        <v>-8</v>
      </c>
      <c r="J403" s="1">
        <v>-4</v>
      </c>
      <c r="K403" s="1" t="s">
        <v>18</v>
      </c>
      <c r="L403" s="1" t="s">
        <v>19</v>
      </c>
      <c r="M403" s="1">
        <v>1717</v>
      </c>
    </row>
    <row r="404" spans="1:13" x14ac:dyDescent="0.35">
      <c r="A404" s="1" t="s">
        <v>793</v>
      </c>
      <c r="B404" s="2">
        <v>46039</v>
      </c>
      <c r="C404" s="1" t="s">
        <v>794</v>
      </c>
      <c r="D404" s="1" t="s">
        <v>50</v>
      </c>
      <c r="E404" s="1" t="s">
        <v>51</v>
      </c>
      <c r="F404" s="1" t="s">
        <v>24</v>
      </c>
      <c r="G404" s="3">
        <v>0.2361111111111111</v>
      </c>
      <c r="H404" s="3">
        <v>0.24236111111111111</v>
      </c>
      <c r="I404" s="1">
        <v>9</v>
      </c>
      <c r="J404" s="1">
        <v>1</v>
      </c>
      <c r="K404" s="1"/>
      <c r="L404" s="1" t="s">
        <v>19</v>
      </c>
      <c r="M404" s="1">
        <v>730</v>
      </c>
    </row>
    <row r="405" spans="1:13" x14ac:dyDescent="0.35">
      <c r="A405" s="1" t="s">
        <v>795</v>
      </c>
      <c r="B405" s="2">
        <v>46039</v>
      </c>
      <c r="C405" s="1" t="s">
        <v>796</v>
      </c>
      <c r="D405" s="1" t="s">
        <v>32</v>
      </c>
      <c r="E405" s="1" t="s">
        <v>47</v>
      </c>
      <c r="F405" s="1" t="s">
        <v>17</v>
      </c>
      <c r="G405" s="3">
        <v>0.59722222222222221</v>
      </c>
      <c r="H405" s="3">
        <v>0.61111111111111116</v>
      </c>
      <c r="I405" s="1">
        <v>20</v>
      </c>
      <c r="J405" s="1">
        <v>11</v>
      </c>
      <c r="K405" s="1" t="s">
        <v>149</v>
      </c>
      <c r="L405" s="1" t="s">
        <v>19</v>
      </c>
      <c r="M405" s="1">
        <v>2580</v>
      </c>
    </row>
    <row r="406" spans="1:13" x14ac:dyDescent="0.35">
      <c r="A406" s="1" t="s">
        <v>797</v>
      </c>
      <c r="B406" s="2">
        <v>46039</v>
      </c>
      <c r="C406" s="1" t="s">
        <v>452</v>
      </c>
      <c r="D406" s="1" t="s">
        <v>31</v>
      </c>
      <c r="E406" s="1" t="s">
        <v>78</v>
      </c>
      <c r="F406" s="1" t="s">
        <v>17</v>
      </c>
      <c r="G406" s="3">
        <v>0.60763888888888884</v>
      </c>
      <c r="H406" s="3">
        <v>0.61388888888888893</v>
      </c>
      <c r="I406" s="1">
        <v>9</v>
      </c>
      <c r="J406" s="1">
        <v>-2</v>
      </c>
      <c r="K406" s="1" t="s">
        <v>18</v>
      </c>
      <c r="L406" s="1" t="s">
        <v>19</v>
      </c>
      <c r="M406" s="1">
        <v>256</v>
      </c>
    </row>
    <row r="407" spans="1:13" x14ac:dyDescent="0.35">
      <c r="A407" s="1" t="s">
        <v>798</v>
      </c>
      <c r="B407" s="2">
        <v>46039</v>
      </c>
      <c r="C407" s="1" t="s">
        <v>799</v>
      </c>
      <c r="D407" s="1" t="s">
        <v>31</v>
      </c>
      <c r="E407" s="1" t="s">
        <v>23</v>
      </c>
      <c r="F407" s="1" t="s">
        <v>24</v>
      </c>
      <c r="G407" s="3">
        <v>0.73263888888888884</v>
      </c>
      <c r="H407" s="3">
        <v>0.7270833333333333</v>
      </c>
      <c r="I407" s="1">
        <v>-8</v>
      </c>
      <c r="J407" s="1">
        <v>-10</v>
      </c>
      <c r="K407" s="1" t="s">
        <v>18</v>
      </c>
      <c r="L407" s="1" t="s">
        <v>19</v>
      </c>
      <c r="M407" s="1">
        <v>627</v>
      </c>
    </row>
    <row r="408" spans="1:13" x14ac:dyDescent="0.35">
      <c r="A408" s="1" t="s">
        <v>800</v>
      </c>
      <c r="B408" s="2">
        <v>46040</v>
      </c>
      <c r="C408" s="1" t="s">
        <v>801</v>
      </c>
      <c r="D408" s="1" t="s">
        <v>15</v>
      </c>
      <c r="E408" s="1" t="s">
        <v>50</v>
      </c>
      <c r="F408" s="1" t="s">
        <v>17</v>
      </c>
      <c r="G408" s="3">
        <v>0.69097222222222221</v>
      </c>
      <c r="H408" s="3">
        <v>0.69722222222222219</v>
      </c>
      <c r="I408" s="1">
        <v>9</v>
      </c>
      <c r="J408" s="1">
        <v>18</v>
      </c>
      <c r="K408" s="1" t="s">
        <v>18</v>
      </c>
      <c r="L408" s="1" t="s">
        <v>19</v>
      </c>
      <c r="M408" s="1">
        <v>1942</v>
      </c>
    </row>
    <row r="409" spans="1:13" x14ac:dyDescent="0.35">
      <c r="A409" s="1" t="s">
        <v>802</v>
      </c>
      <c r="B409" s="2">
        <v>46040</v>
      </c>
      <c r="C409" s="1" t="s">
        <v>728</v>
      </c>
      <c r="D409" s="1" t="s">
        <v>50</v>
      </c>
      <c r="E409" s="1" t="s">
        <v>22</v>
      </c>
      <c r="F409" s="1" t="s">
        <v>28</v>
      </c>
      <c r="G409" s="3">
        <v>0.70486111111111116</v>
      </c>
      <c r="H409" s="3">
        <v>0.7104166666666667</v>
      </c>
      <c r="I409" s="1">
        <v>8</v>
      </c>
      <c r="J409" s="1">
        <v>-2</v>
      </c>
      <c r="K409" s="1" t="s">
        <v>18</v>
      </c>
      <c r="L409" s="1" t="s">
        <v>19</v>
      </c>
      <c r="M409" s="1">
        <v>759</v>
      </c>
    </row>
    <row r="410" spans="1:13" x14ac:dyDescent="0.35">
      <c r="A410" s="1" t="s">
        <v>803</v>
      </c>
      <c r="B410" s="2">
        <v>46040</v>
      </c>
      <c r="C410" s="1" t="s">
        <v>804</v>
      </c>
      <c r="D410" s="1" t="s">
        <v>31</v>
      </c>
      <c r="E410" s="1" t="s">
        <v>41</v>
      </c>
      <c r="F410" s="1" t="s">
        <v>28</v>
      </c>
      <c r="G410" s="3">
        <v>0.77083333333333337</v>
      </c>
      <c r="H410" s="3">
        <v>0.78194444444444444</v>
      </c>
      <c r="I410" s="1">
        <v>16</v>
      </c>
      <c r="J410" s="1">
        <v>19</v>
      </c>
      <c r="K410" s="1" t="s">
        <v>276</v>
      </c>
      <c r="L410" s="1" t="s">
        <v>19</v>
      </c>
      <c r="M410" s="1">
        <v>2171</v>
      </c>
    </row>
    <row r="411" spans="1:13" x14ac:dyDescent="0.35">
      <c r="A411" s="1" t="s">
        <v>805</v>
      </c>
      <c r="B411" s="2">
        <v>46041</v>
      </c>
      <c r="C411" s="1" t="s">
        <v>92</v>
      </c>
      <c r="D411" s="1" t="s">
        <v>806</v>
      </c>
      <c r="E411" s="1" t="s">
        <v>23</v>
      </c>
      <c r="F411" s="1" t="s">
        <v>17</v>
      </c>
      <c r="G411" s="3">
        <v>0.2673611111111111</v>
      </c>
      <c r="H411" s="3">
        <v>0.26250000000000001</v>
      </c>
      <c r="I411" s="1">
        <v>-7</v>
      </c>
      <c r="J411" s="1">
        <v>-14</v>
      </c>
      <c r="K411" s="1" t="s">
        <v>18</v>
      </c>
      <c r="L411" s="1" t="s">
        <v>19</v>
      </c>
      <c r="M411" s="1">
        <v>861</v>
      </c>
    </row>
    <row r="412" spans="1:13" x14ac:dyDescent="0.35">
      <c r="A412" s="1" t="s">
        <v>807</v>
      </c>
      <c r="B412" s="2">
        <v>46041</v>
      </c>
      <c r="C412" s="1" t="s">
        <v>742</v>
      </c>
      <c r="D412" s="1" t="s">
        <v>16</v>
      </c>
      <c r="E412" s="1" t="s">
        <v>50</v>
      </c>
      <c r="F412" s="1" t="s">
        <v>28</v>
      </c>
      <c r="G412" s="3">
        <v>0.60416666666666663</v>
      </c>
      <c r="H412" s="3">
        <v>0.63888888888888884</v>
      </c>
      <c r="I412" s="1">
        <v>50</v>
      </c>
      <c r="J412" s="1">
        <v>46</v>
      </c>
      <c r="K412" s="1" t="s">
        <v>129</v>
      </c>
      <c r="L412" s="1" t="s">
        <v>19</v>
      </c>
      <c r="M412" s="1">
        <v>606</v>
      </c>
    </row>
    <row r="413" spans="1:13" x14ac:dyDescent="0.35">
      <c r="A413" s="1" t="s">
        <v>808</v>
      </c>
      <c r="B413" s="2">
        <v>46043</v>
      </c>
      <c r="C413" s="1" t="s">
        <v>165</v>
      </c>
      <c r="D413" s="1" t="s">
        <v>50</v>
      </c>
      <c r="E413" s="1" t="s">
        <v>15</v>
      </c>
      <c r="F413" s="1" t="s">
        <v>24</v>
      </c>
      <c r="G413" s="3">
        <v>0.33333333333333331</v>
      </c>
      <c r="H413" s="3">
        <v>0.32847222222222222</v>
      </c>
      <c r="I413" s="1">
        <v>-7</v>
      </c>
      <c r="J413" s="1">
        <v>1</v>
      </c>
      <c r="K413" s="1" t="s">
        <v>18</v>
      </c>
      <c r="L413" s="1" t="s">
        <v>19</v>
      </c>
      <c r="M413" s="1">
        <v>1942</v>
      </c>
    </row>
    <row r="414" spans="1:13" x14ac:dyDescent="0.35">
      <c r="A414" s="1" t="s">
        <v>809</v>
      </c>
      <c r="B414" s="2">
        <v>46044</v>
      </c>
      <c r="C414" s="1" t="s">
        <v>596</v>
      </c>
      <c r="D414" s="1" t="s">
        <v>325</v>
      </c>
      <c r="E414" s="1" t="s">
        <v>123</v>
      </c>
      <c r="F414" s="1" t="s">
        <v>17</v>
      </c>
      <c r="G414" s="3">
        <v>0.2986111111111111</v>
      </c>
      <c r="H414" s="3">
        <v>0.2986111111111111</v>
      </c>
      <c r="I414" s="1">
        <v>0</v>
      </c>
      <c r="J414" s="1">
        <v>-1</v>
      </c>
      <c r="K414" s="1" t="s">
        <v>18</v>
      </c>
      <c r="L414" s="1" t="s">
        <v>19</v>
      </c>
      <c r="M414" s="1">
        <v>945</v>
      </c>
    </row>
    <row r="415" spans="1:13" x14ac:dyDescent="0.35">
      <c r="A415" s="1" t="s">
        <v>810</v>
      </c>
      <c r="B415" s="2">
        <v>46044</v>
      </c>
      <c r="C415" s="1" t="s">
        <v>776</v>
      </c>
      <c r="D415" s="1" t="s">
        <v>22</v>
      </c>
      <c r="E415" s="1" t="s">
        <v>51</v>
      </c>
      <c r="F415" s="1" t="s">
        <v>17</v>
      </c>
      <c r="G415" s="3">
        <v>0.39930555555555558</v>
      </c>
      <c r="H415" s="3">
        <v>0.40763888888888888</v>
      </c>
      <c r="I415" s="1">
        <v>12</v>
      </c>
      <c r="J415" s="1">
        <v>13</v>
      </c>
      <c r="K415" s="1" t="s">
        <v>18</v>
      </c>
      <c r="L415" s="1" t="s">
        <v>19</v>
      </c>
      <c r="M415" s="1">
        <v>1389</v>
      </c>
    </row>
    <row r="416" spans="1:13" x14ac:dyDescent="0.35">
      <c r="A416" s="1" t="s">
        <v>811</v>
      </c>
      <c r="B416" s="2">
        <v>46044</v>
      </c>
      <c r="C416" s="1" t="s">
        <v>812</v>
      </c>
      <c r="D416" s="1" t="s">
        <v>23</v>
      </c>
      <c r="E416" s="1" t="s">
        <v>15</v>
      </c>
      <c r="F416" s="1" t="s">
        <v>24</v>
      </c>
      <c r="G416" s="3">
        <v>0.71180555555555558</v>
      </c>
      <c r="H416" s="3">
        <v>0.78055555555555556</v>
      </c>
      <c r="I416" s="1">
        <v>99</v>
      </c>
      <c r="J416" s="1">
        <v>100</v>
      </c>
      <c r="K416" s="1" t="s">
        <v>129</v>
      </c>
      <c r="L416" s="1" t="s">
        <v>19</v>
      </c>
      <c r="M416" s="1">
        <v>861</v>
      </c>
    </row>
    <row r="417" spans="1:13" x14ac:dyDescent="0.35">
      <c r="A417" s="1" t="s">
        <v>813</v>
      </c>
      <c r="B417" s="2">
        <v>46045</v>
      </c>
      <c r="C417" s="1" t="s">
        <v>607</v>
      </c>
      <c r="D417" s="1" t="s">
        <v>16</v>
      </c>
      <c r="E417" s="1" t="s">
        <v>50</v>
      </c>
      <c r="F417" s="1" t="s">
        <v>17</v>
      </c>
      <c r="G417" s="3">
        <v>0.21527777777777779</v>
      </c>
      <c r="H417" s="3">
        <v>0.21319444444444441</v>
      </c>
      <c r="I417" s="1">
        <v>-3</v>
      </c>
      <c r="J417" s="1">
        <v>-6</v>
      </c>
      <c r="K417" s="1" t="s">
        <v>18</v>
      </c>
      <c r="L417" s="1" t="s">
        <v>19</v>
      </c>
      <c r="M417" s="1">
        <v>606</v>
      </c>
    </row>
    <row r="418" spans="1:13" x14ac:dyDescent="0.35">
      <c r="A418" s="1" t="s">
        <v>814</v>
      </c>
      <c r="B418" s="2">
        <v>46045</v>
      </c>
      <c r="C418" s="1" t="s">
        <v>815</v>
      </c>
      <c r="D418" s="1" t="s">
        <v>27</v>
      </c>
      <c r="E418" s="1" t="s">
        <v>44</v>
      </c>
      <c r="F418" s="1" t="s">
        <v>38</v>
      </c>
      <c r="G418" s="3">
        <v>0.40625</v>
      </c>
      <c r="H418" s="3">
        <v>0.40833333333333333</v>
      </c>
      <c r="I418" s="1">
        <v>3</v>
      </c>
      <c r="J418" s="1">
        <v>13</v>
      </c>
      <c r="K418" s="1" t="s">
        <v>18</v>
      </c>
      <c r="L418" s="1" t="s">
        <v>19</v>
      </c>
      <c r="M418" s="1">
        <v>1559</v>
      </c>
    </row>
    <row r="419" spans="1:13" x14ac:dyDescent="0.35">
      <c r="A419" s="1" t="s">
        <v>816</v>
      </c>
      <c r="B419" s="2">
        <v>46046</v>
      </c>
      <c r="C419" s="1" t="s">
        <v>817</v>
      </c>
      <c r="D419" s="1" t="s">
        <v>44</v>
      </c>
      <c r="E419" s="1" t="s">
        <v>27</v>
      </c>
      <c r="F419" s="1" t="s">
        <v>24</v>
      </c>
      <c r="G419" s="3">
        <v>0.84375</v>
      </c>
      <c r="H419" s="3">
        <v>0.84722222222222221</v>
      </c>
      <c r="I419" s="1">
        <v>5</v>
      </c>
      <c r="J419" s="1">
        <v>7</v>
      </c>
      <c r="K419" s="1" t="s">
        <v>18</v>
      </c>
      <c r="L419" s="1" t="s">
        <v>19</v>
      </c>
      <c r="M419" s="1">
        <v>1559</v>
      </c>
    </row>
    <row r="420" spans="1:13" x14ac:dyDescent="0.35">
      <c r="A420" s="1" t="s">
        <v>818</v>
      </c>
      <c r="B420" s="2">
        <v>46047</v>
      </c>
      <c r="C420" s="1" t="s">
        <v>819</v>
      </c>
      <c r="D420" s="1" t="s">
        <v>806</v>
      </c>
      <c r="E420" s="1" t="s">
        <v>31</v>
      </c>
      <c r="F420" s="1" t="s">
        <v>17</v>
      </c>
      <c r="G420" s="3">
        <v>0.45833333333333331</v>
      </c>
      <c r="H420" s="3">
        <v>0.46041666666666659</v>
      </c>
      <c r="I420" s="1">
        <v>3</v>
      </c>
      <c r="J420" s="1">
        <v>0</v>
      </c>
      <c r="K420" s="1"/>
      <c r="L420" s="1" t="s">
        <v>19</v>
      </c>
      <c r="M420" s="1">
        <v>236</v>
      </c>
    </row>
    <row r="421" spans="1:13" x14ac:dyDescent="0.35">
      <c r="A421" s="1" t="s">
        <v>820</v>
      </c>
      <c r="B421" s="2">
        <v>46047</v>
      </c>
      <c r="C421" s="1" t="s">
        <v>821</v>
      </c>
      <c r="D421" s="1" t="s">
        <v>23</v>
      </c>
      <c r="E421" s="1" t="s">
        <v>50</v>
      </c>
      <c r="F421" s="1" t="s">
        <v>24</v>
      </c>
      <c r="G421" s="3">
        <v>0.51041666666666663</v>
      </c>
      <c r="H421" s="3">
        <v>0.51666666666666672</v>
      </c>
      <c r="I421" s="1">
        <v>9</v>
      </c>
      <c r="J421" s="1">
        <v>5</v>
      </c>
      <c r="K421" s="1"/>
      <c r="L421" s="1" t="s">
        <v>19</v>
      </c>
      <c r="M421" s="1">
        <v>1197</v>
      </c>
    </row>
    <row r="422" spans="1:13" x14ac:dyDescent="0.35">
      <c r="A422" s="1" t="s">
        <v>822</v>
      </c>
      <c r="B422" s="2">
        <v>46047</v>
      </c>
      <c r="C422" s="1" t="s">
        <v>823</v>
      </c>
      <c r="D422" s="1" t="s">
        <v>79</v>
      </c>
      <c r="E422" s="1" t="s">
        <v>16</v>
      </c>
      <c r="F422" s="1" t="s">
        <v>24</v>
      </c>
      <c r="G422" s="3">
        <v>0.73263888888888884</v>
      </c>
      <c r="H422" s="3">
        <v>0.76041666666666663</v>
      </c>
      <c r="I422" s="1">
        <v>40</v>
      </c>
      <c r="J422" s="1">
        <v>33</v>
      </c>
      <c r="K422" s="1" t="s">
        <v>129</v>
      </c>
      <c r="L422" s="1" t="s">
        <v>19</v>
      </c>
      <c r="M422" s="1">
        <v>606</v>
      </c>
    </row>
    <row r="423" spans="1:13" x14ac:dyDescent="0.35">
      <c r="A423" s="1" t="s">
        <v>824</v>
      </c>
      <c r="B423" s="2">
        <v>46047</v>
      </c>
      <c r="C423" s="1" t="s">
        <v>236</v>
      </c>
      <c r="D423" s="1" t="s">
        <v>629</v>
      </c>
      <c r="E423" s="1" t="s">
        <v>23</v>
      </c>
      <c r="F423" s="1" t="s">
        <v>28</v>
      </c>
      <c r="G423" s="3">
        <v>0.76041666666666663</v>
      </c>
      <c r="H423" s="3">
        <v>0.76527777777777772</v>
      </c>
      <c r="I423" s="1">
        <v>7</v>
      </c>
      <c r="J423" s="1">
        <v>8</v>
      </c>
      <c r="K423" s="1"/>
      <c r="L423" s="1" t="s">
        <v>19</v>
      </c>
      <c r="M423" s="1">
        <v>602</v>
      </c>
    </row>
    <row r="424" spans="1:13" x14ac:dyDescent="0.35">
      <c r="A424" s="1" t="s">
        <v>825</v>
      </c>
      <c r="B424" s="2">
        <v>46048</v>
      </c>
      <c r="C424" s="1" t="s">
        <v>161</v>
      </c>
      <c r="D424" s="1" t="s">
        <v>16</v>
      </c>
      <c r="E424" s="1" t="s">
        <v>47</v>
      </c>
      <c r="F424" s="1" t="s">
        <v>28</v>
      </c>
      <c r="G424" s="3">
        <v>0.4201388888888889</v>
      </c>
      <c r="H424" s="3">
        <v>0.42083333333333328</v>
      </c>
      <c r="I424" s="1">
        <v>1</v>
      </c>
      <c r="J424" s="1">
        <v>11</v>
      </c>
      <c r="K424" s="1" t="s">
        <v>18</v>
      </c>
      <c r="L424" s="1" t="s">
        <v>19</v>
      </c>
      <c r="M424" s="1">
        <v>1842</v>
      </c>
    </row>
    <row r="425" spans="1:13" x14ac:dyDescent="0.35">
      <c r="A425" s="1" t="s">
        <v>826</v>
      </c>
      <c r="B425" s="2">
        <v>46048</v>
      </c>
      <c r="C425" s="1" t="s">
        <v>827</v>
      </c>
      <c r="D425" s="1" t="s">
        <v>50</v>
      </c>
      <c r="E425" s="1" t="s">
        <v>31</v>
      </c>
      <c r="F425" s="1" t="s">
        <v>17</v>
      </c>
      <c r="G425" s="3">
        <v>0.86111111111111116</v>
      </c>
      <c r="H425" s="3">
        <v>0.8618055555555556</v>
      </c>
      <c r="I425" s="1">
        <v>1</v>
      </c>
      <c r="J425" s="1">
        <v>-10</v>
      </c>
      <c r="K425" s="1" t="s">
        <v>18</v>
      </c>
      <c r="L425" s="1" t="s">
        <v>19</v>
      </c>
      <c r="M425" s="1">
        <v>1743</v>
      </c>
    </row>
    <row r="426" spans="1:13" x14ac:dyDescent="0.35">
      <c r="A426" s="1" t="s">
        <v>828</v>
      </c>
      <c r="B426" s="2">
        <v>46049</v>
      </c>
      <c r="C426" s="1" t="s">
        <v>829</v>
      </c>
      <c r="D426" s="1" t="s">
        <v>16</v>
      </c>
      <c r="E426" s="1" t="s">
        <v>50</v>
      </c>
      <c r="F426" s="1" t="s">
        <v>24</v>
      </c>
      <c r="G426" s="3">
        <v>0.53125</v>
      </c>
      <c r="H426" s="3">
        <v>0.53680555555555554</v>
      </c>
      <c r="I426" s="1">
        <v>8</v>
      </c>
      <c r="J426" s="1">
        <v>11</v>
      </c>
      <c r="K426" s="1" t="s">
        <v>18</v>
      </c>
      <c r="L426" s="1" t="s">
        <v>19</v>
      </c>
      <c r="M426" s="1">
        <v>606</v>
      </c>
    </row>
    <row r="427" spans="1:13" x14ac:dyDescent="0.35">
      <c r="A427" s="1" t="s">
        <v>830</v>
      </c>
      <c r="B427" s="2">
        <v>46049</v>
      </c>
      <c r="C427" s="1" t="s">
        <v>831</v>
      </c>
      <c r="D427" s="1" t="s">
        <v>41</v>
      </c>
      <c r="E427" s="1" t="s">
        <v>78</v>
      </c>
      <c r="F427" s="1" t="s">
        <v>17</v>
      </c>
      <c r="G427" s="3">
        <v>0.64930555555555558</v>
      </c>
      <c r="H427" s="3">
        <v>0.67361111111111116</v>
      </c>
      <c r="I427" s="1">
        <v>35</v>
      </c>
      <c r="J427" s="1">
        <v>42</v>
      </c>
      <c r="K427" s="1" t="s">
        <v>617</v>
      </c>
      <c r="L427" s="1" t="s">
        <v>19</v>
      </c>
      <c r="M427" s="1">
        <v>1969</v>
      </c>
    </row>
    <row r="428" spans="1:13" x14ac:dyDescent="0.35">
      <c r="A428" s="1" t="s">
        <v>832</v>
      </c>
      <c r="B428" s="2">
        <v>46051</v>
      </c>
      <c r="C428" s="1" t="s">
        <v>833</v>
      </c>
      <c r="D428" s="1" t="s">
        <v>27</v>
      </c>
      <c r="E428" s="1" t="s">
        <v>41</v>
      </c>
      <c r="F428" s="1" t="s">
        <v>24</v>
      </c>
      <c r="G428" s="3">
        <v>0.35069444444444442</v>
      </c>
      <c r="H428" s="3">
        <v>0.34930555555555548</v>
      </c>
      <c r="I428" s="1">
        <v>-2</v>
      </c>
      <c r="J428" s="1">
        <v>-11</v>
      </c>
      <c r="K428" s="1" t="s">
        <v>18</v>
      </c>
      <c r="L428" s="1" t="s">
        <v>19</v>
      </c>
      <c r="M428" s="1">
        <v>1120</v>
      </c>
    </row>
    <row r="429" spans="1:13" x14ac:dyDescent="0.35">
      <c r="A429" s="1" t="s">
        <v>834</v>
      </c>
      <c r="B429" s="2">
        <v>46051</v>
      </c>
      <c r="C429" s="1" t="s">
        <v>835</v>
      </c>
      <c r="D429" s="1" t="s">
        <v>50</v>
      </c>
      <c r="E429" s="1" t="s">
        <v>78</v>
      </c>
      <c r="F429" s="1" t="s">
        <v>17</v>
      </c>
      <c r="G429" s="3">
        <v>0.67013888888888884</v>
      </c>
      <c r="H429" s="3">
        <v>0.67083333333333328</v>
      </c>
      <c r="I429" s="1">
        <v>1</v>
      </c>
      <c r="J429" s="1">
        <v>-10</v>
      </c>
      <c r="K429" s="1" t="s">
        <v>18</v>
      </c>
      <c r="L429" s="1" t="s">
        <v>19</v>
      </c>
      <c r="M429" s="1">
        <v>1584</v>
      </c>
    </row>
    <row r="430" spans="1:13" x14ac:dyDescent="0.35">
      <c r="A430" s="1" t="s">
        <v>836</v>
      </c>
      <c r="B430" s="2">
        <v>46051</v>
      </c>
      <c r="C430" s="1" t="s">
        <v>837</v>
      </c>
      <c r="D430" s="1" t="s">
        <v>27</v>
      </c>
      <c r="E430" s="1" t="s">
        <v>22</v>
      </c>
      <c r="F430" s="1" t="s">
        <v>38</v>
      </c>
      <c r="G430" s="3">
        <v>0.8125</v>
      </c>
      <c r="H430" s="3">
        <v>0.80694444444444446</v>
      </c>
      <c r="I430" s="1">
        <v>-8</v>
      </c>
      <c r="J430" s="1">
        <v>-6</v>
      </c>
      <c r="K430" s="1" t="s">
        <v>18</v>
      </c>
      <c r="L430" s="1" t="s">
        <v>19</v>
      </c>
      <c r="M430" s="1">
        <v>1389</v>
      </c>
    </row>
    <row r="431" spans="1:13" x14ac:dyDescent="0.35">
      <c r="A431" s="1" t="s">
        <v>838</v>
      </c>
      <c r="B431" s="2">
        <v>46051</v>
      </c>
      <c r="C431" s="1" t="s">
        <v>839</v>
      </c>
      <c r="D431" s="1" t="s">
        <v>44</v>
      </c>
      <c r="E431" s="1" t="s">
        <v>15</v>
      </c>
      <c r="F431" s="1" t="s">
        <v>24</v>
      </c>
      <c r="G431" s="3">
        <v>0.84027777777777779</v>
      </c>
      <c r="H431" s="3">
        <v>0.84027777777777779</v>
      </c>
      <c r="I431" s="1">
        <v>0</v>
      </c>
      <c r="J431" s="1">
        <v>-4</v>
      </c>
      <c r="K431" s="1" t="s">
        <v>18</v>
      </c>
      <c r="L431" s="1" t="s">
        <v>19</v>
      </c>
      <c r="M431" s="1">
        <v>2606</v>
      </c>
    </row>
    <row r="432" spans="1:13" x14ac:dyDescent="0.35">
      <c r="A432" s="1" t="s">
        <v>840</v>
      </c>
      <c r="B432" s="2">
        <v>46052</v>
      </c>
      <c r="C432" s="1" t="s">
        <v>841</v>
      </c>
      <c r="D432" s="1" t="s">
        <v>32</v>
      </c>
      <c r="E432" s="1" t="s">
        <v>41</v>
      </c>
      <c r="F432" s="1" t="s">
        <v>28</v>
      </c>
      <c r="G432" s="3">
        <v>0.46180555555555558</v>
      </c>
      <c r="H432" s="3">
        <v>0.45624999999999999</v>
      </c>
      <c r="I432" s="1">
        <v>-8</v>
      </c>
      <c r="J432" s="1">
        <v>-20</v>
      </c>
      <c r="K432" s="1" t="s">
        <v>18</v>
      </c>
      <c r="L432" s="1" t="s">
        <v>19</v>
      </c>
      <c r="M432" s="1">
        <v>1092</v>
      </c>
    </row>
    <row r="433" spans="1:13" x14ac:dyDescent="0.35">
      <c r="A433" s="1" t="s">
        <v>842</v>
      </c>
      <c r="B433" s="2">
        <v>46053</v>
      </c>
      <c r="C433" s="1" t="s">
        <v>843</v>
      </c>
      <c r="D433" s="1" t="s">
        <v>78</v>
      </c>
      <c r="E433" s="1" t="s">
        <v>50</v>
      </c>
      <c r="F433" s="1" t="s">
        <v>24</v>
      </c>
      <c r="G433" s="3">
        <v>0.46180555555555558</v>
      </c>
      <c r="H433" s="3">
        <v>0.4861111111111111</v>
      </c>
      <c r="I433" s="1">
        <v>35</v>
      </c>
      <c r="J433" s="1">
        <v>35</v>
      </c>
      <c r="K433" s="1" t="s">
        <v>129</v>
      </c>
      <c r="L433" s="1" t="s">
        <v>19</v>
      </c>
      <c r="M433" s="1">
        <v>1584</v>
      </c>
    </row>
    <row r="434" spans="1:13" x14ac:dyDescent="0.35">
      <c r="A434" s="1" t="s">
        <v>844</v>
      </c>
      <c r="B434" s="2">
        <v>46053</v>
      </c>
      <c r="C434" s="1" t="s">
        <v>845</v>
      </c>
      <c r="D434" s="1" t="s">
        <v>123</v>
      </c>
      <c r="E434" s="1" t="s">
        <v>16</v>
      </c>
      <c r="F434" s="1" t="s">
        <v>28</v>
      </c>
      <c r="G434" s="3">
        <v>0.625</v>
      </c>
      <c r="H434" s="3">
        <v>0.62986111111111109</v>
      </c>
      <c r="I434" s="1">
        <v>7</v>
      </c>
      <c r="J434" s="1">
        <v>15</v>
      </c>
      <c r="K434" s="1" t="s">
        <v>18</v>
      </c>
      <c r="L434" s="1" t="s">
        <v>19</v>
      </c>
      <c r="M434" s="1">
        <v>606</v>
      </c>
    </row>
    <row r="435" spans="1:13" x14ac:dyDescent="0.35">
      <c r="A435" s="1" t="s">
        <v>846</v>
      </c>
      <c r="B435" s="2">
        <v>46053</v>
      </c>
      <c r="C435" s="1" t="s">
        <v>847</v>
      </c>
      <c r="D435" s="1" t="s">
        <v>50</v>
      </c>
      <c r="E435" s="1" t="s">
        <v>32</v>
      </c>
      <c r="F435" s="1" t="s">
        <v>24</v>
      </c>
      <c r="G435" s="3">
        <v>0.64583333333333337</v>
      </c>
      <c r="H435" s="3">
        <v>0.64513888888888893</v>
      </c>
      <c r="I435" s="1">
        <v>-1</v>
      </c>
      <c r="J435" s="1">
        <v>-6</v>
      </c>
      <c r="K435" s="1" t="s">
        <v>18</v>
      </c>
      <c r="L435" s="1" t="s">
        <v>19</v>
      </c>
      <c r="M435" s="1">
        <v>759</v>
      </c>
    </row>
    <row r="436" spans="1:13" x14ac:dyDescent="0.35">
      <c r="A436" s="1" t="s">
        <v>848</v>
      </c>
      <c r="B436" s="2">
        <v>46053</v>
      </c>
      <c r="C436" s="1" t="s">
        <v>849</v>
      </c>
      <c r="D436" s="1" t="s">
        <v>27</v>
      </c>
      <c r="E436" s="1" t="s">
        <v>23</v>
      </c>
      <c r="F436" s="1" t="s">
        <v>24</v>
      </c>
      <c r="G436" s="3">
        <v>0.65277777777777779</v>
      </c>
      <c r="H436" s="3">
        <v>0.6694444444444444</v>
      </c>
      <c r="I436" s="1">
        <v>24</v>
      </c>
      <c r="J436" s="1">
        <v>25</v>
      </c>
      <c r="K436" s="1" t="s">
        <v>129</v>
      </c>
      <c r="L436" s="1" t="s">
        <v>19</v>
      </c>
      <c r="M436" s="1">
        <v>641</v>
      </c>
    </row>
    <row r="437" spans="1:13" x14ac:dyDescent="0.35">
      <c r="A437" s="1" t="s">
        <v>850</v>
      </c>
      <c r="B437" s="2">
        <v>46053</v>
      </c>
      <c r="C437" s="1" t="s">
        <v>851</v>
      </c>
      <c r="D437" s="1" t="s">
        <v>27</v>
      </c>
      <c r="E437" s="1" t="s">
        <v>47</v>
      </c>
      <c r="F437" s="1" t="s">
        <v>17</v>
      </c>
      <c r="G437" s="3">
        <v>0.69444444444444442</v>
      </c>
      <c r="H437" s="3">
        <v>0.70277777777777772</v>
      </c>
      <c r="I437" s="1">
        <v>12</v>
      </c>
      <c r="J437" s="1">
        <v>18</v>
      </c>
      <c r="K437" s="1" t="s">
        <v>18</v>
      </c>
      <c r="L437" s="1" t="s">
        <v>19</v>
      </c>
      <c r="M437" s="1">
        <v>1462</v>
      </c>
    </row>
    <row r="438" spans="1:13" x14ac:dyDescent="0.35">
      <c r="A438" s="1" t="s">
        <v>852</v>
      </c>
      <c r="B438" s="2">
        <v>46054</v>
      </c>
      <c r="C438" s="1" t="s">
        <v>853</v>
      </c>
      <c r="D438" s="1" t="s">
        <v>50</v>
      </c>
      <c r="E438" s="1" t="s">
        <v>27</v>
      </c>
      <c r="F438" s="1" t="s">
        <v>17</v>
      </c>
      <c r="G438" s="3">
        <v>0.36458333333333331</v>
      </c>
      <c r="H438" s="3">
        <v>0.37152777777777779</v>
      </c>
      <c r="I438" s="1">
        <v>10</v>
      </c>
      <c r="J438" s="1">
        <v>20</v>
      </c>
      <c r="K438" s="1" t="s">
        <v>18</v>
      </c>
      <c r="L438" s="1" t="s">
        <v>19</v>
      </c>
      <c r="M438" s="1">
        <v>730</v>
      </c>
    </row>
    <row r="439" spans="1:13" x14ac:dyDescent="0.35">
      <c r="A439" s="1" t="s">
        <v>854</v>
      </c>
      <c r="B439" s="2">
        <v>46054</v>
      </c>
      <c r="C439" s="1" t="s">
        <v>855</v>
      </c>
      <c r="D439" s="1" t="s">
        <v>23</v>
      </c>
      <c r="E439" s="1" t="s">
        <v>15</v>
      </c>
      <c r="F439" s="1" t="s">
        <v>28</v>
      </c>
      <c r="G439" s="3">
        <v>0.64236111111111116</v>
      </c>
      <c r="H439" s="3">
        <v>0.74444444444444446</v>
      </c>
      <c r="I439" s="1">
        <v>147</v>
      </c>
      <c r="J439" s="1">
        <v>155</v>
      </c>
      <c r="K439" s="1" t="s">
        <v>174</v>
      </c>
      <c r="L439" s="1" t="s">
        <v>19</v>
      </c>
      <c r="M439" s="1">
        <v>861</v>
      </c>
    </row>
    <row r="440" spans="1:13" x14ac:dyDescent="0.35">
      <c r="A440" s="1" t="s">
        <v>856</v>
      </c>
      <c r="B440" s="2">
        <v>46054</v>
      </c>
      <c r="C440" s="1" t="s">
        <v>857</v>
      </c>
      <c r="D440" s="1" t="s">
        <v>22</v>
      </c>
      <c r="E440" s="1" t="s">
        <v>15</v>
      </c>
      <c r="F440" s="1" t="s">
        <v>24</v>
      </c>
      <c r="G440" s="3">
        <v>0.80208333333333337</v>
      </c>
      <c r="H440" s="3">
        <v>0.80763888888888891</v>
      </c>
      <c r="I440" s="1">
        <v>8</v>
      </c>
      <c r="J440" s="1">
        <v>7</v>
      </c>
      <c r="K440" s="1" t="s">
        <v>18</v>
      </c>
      <c r="L440" s="1" t="s">
        <v>19</v>
      </c>
      <c r="M440" s="1">
        <v>2470</v>
      </c>
    </row>
    <row r="441" spans="1:13" x14ac:dyDescent="0.35">
      <c r="A441" s="1" t="s">
        <v>858</v>
      </c>
      <c r="B441" s="2">
        <v>46055</v>
      </c>
      <c r="C441" s="1" t="s">
        <v>859</v>
      </c>
      <c r="D441" s="1" t="s">
        <v>16</v>
      </c>
      <c r="E441" s="1" t="s">
        <v>23</v>
      </c>
      <c r="F441" s="1" t="s">
        <v>17</v>
      </c>
      <c r="G441" s="3">
        <v>0.3611111111111111</v>
      </c>
      <c r="H441" s="3">
        <v>0.35694444444444451</v>
      </c>
      <c r="I441" s="1">
        <v>-6</v>
      </c>
      <c r="J441" s="1">
        <v>-13</v>
      </c>
      <c r="K441" s="1" t="s">
        <v>18</v>
      </c>
      <c r="L441" s="1" t="s">
        <v>19</v>
      </c>
      <c r="M441" s="1">
        <v>886</v>
      </c>
    </row>
    <row r="442" spans="1:13" x14ac:dyDescent="0.35">
      <c r="A442" s="1" t="s">
        <v>860</v>
      </c>
      <c r="B442" s="2">
        <v>46055</v>
      </c>
      <c r="C442" s="1" t="s">
        <v>205</v>
      </c>
      <c r="D442" s="1" t="s">
        <v>27</v>
      </c>
      <c r="E442" s="1" t="s">
        <v>16</v>
      </c>
      <c r="F442" s="1" t="s">
        <v>28</v>
      </c>
      <c r="G442" s="3">
        <v>0.4548611111111111</v>
      </c>
      <c r="H442" s="3">
        <v>0.45902777777777781</v>
      </c>
      <c r="I442" s="1">
        <v>6</v>
      </c>
      <c r="J442" s="1">
        <v>15</v>
      </c>
      <c r="K442" s="1" t="s">
        <v>18</v>
      </c>
      <c r="L442" s="1" t="s">
        <v>19</v>
      </c>
      <c r="M442" s="1">
        <v>802</v>
      </c>
    </row>
    <row r="443" spans="1:13" x14ac:dyDescent="0.35">
      <c r="A443" s="1" t="s">
        <v>861</v>
      </c>
      <c r="B443" s="2">
        <v>46055</v>
      </c>
      <c r="C443" s="1" t="s">
        <v>862</v>
      </c>
      <c r="D443" s="1" t="s">
        <v>50</v>
      </c>
      <c r="E443" s="1" t="s">
        <v>23</v>
      </c>
      <c r="F443" s="1" t="s">
        <v>17</v>
      </c>
      <c r="G443" s="3">
        <v>0.56944444444444442</v>
      </c>
      <c r="H443" s="3">
        <v>0.62777777777777777</v>
      </c>
      <c r="I443" s="1">
        <v>84</v>
      </c>
      <c r="J443" s="1">
        <v>77</v>
      </c>
      <c r="K443" s="1" t="s">
        <v>54</v>
      </c>
      <c r="L443" s="1" t="s">
        <v>19</v>
      </c>
      <c r="M443" s="1">
        <v>1197</v>
      </c>
    </row>
    <row r="444" spans="1:13" x14ac:dyDescent="0.35">
      <c r="A444" s="1" t="s">
        <v>863</v>
      </c>
      <c r="B444" s="2">
        <v>46055</v>
      </c>
      <c r="C444" s="1" t="s">
        <v>864</v>
      </c>
      <c r="D444" s="1" t="s">
        <v>44</v>
      </c>
      <c r="E444" s="1" t="s">
        <v>50</v>
      </c>
      <c r="F444" s="1" t="s">
        <v>38</v>
      </c>
      <c r="G444" s="3">
        <v>0.68402777777777779</v>
      </c>
      <c r="H444" s="3">
        <v>0.68541666666666667</v>
      </c>
      <c r="I444" s="1">
        <v>2</v>
      </c>
      <c r="J444" s="1">
        <v>2</v>
      </c>
      <c r="K444" s="1" t="s">
        <v>18</v>
      </c>
      <c r="L444" s="1" t="s">
        <v>19</v>
      </c>
      <c r="M444" s="1">
        <v>945</v>
      </c>
    </row>
    <row r="445" spans="1:13" x14ac:dyDescent="0.35">
      <c r="A445" s="1" t="s">
        <v>865</v>
      </c>
      <c r="B445" s="2">
        <v>46055</v>
      </c>
      <c r="C445" s="1" t="s">
        <v>866</v>
      </c>
      <c r="D445" s="1" t="s">
        <v>50</v>
      </c>
      <c r="E445" s="1" t="s">
        <v>31</v>
      </c>
      <c r="F445" s="1" t="s">
        <v>28</v>
      </c>
      <c r="G445" s="3">
        <v>0.74305555555555558</v>
      </c>
      <c r="H445" s="3">
        <v>0.80486111111111114</v>
      </c>
      <c r="I445" s="1">
        <v>89</v>
      </c>
      <c r="J445" s="1">
        <v>95</v>
      </c>
      <c r="K445" s="1" t="s">
        <v>477</v>
      </c>
      <c r="L445" s="1" t="s">
        <v>19</v>
      </c>
      <c r="M445" s="1">
        <v>1743</v>
      </c>
    </row>
    <row r="446" spans="1:13" x14ac:dyDescent="0.35">
      <c r="A446" s="1" t="s">
        <v>867</v>
      </c>
      <c r="B446" s="2">
        <v>46055</v>
      </c>
      <c r="C446" s="1" t="s">
        <v>868</v>
      </c>
      <c r="D446" s="1" t="s">
        <v>50</v>
      </c>
      <c r="E446" s="1" t="s">
        <v>31</v>
      </c>
      <c r="F446" s="1" t="s">
        <v>17</v>
      </c>
      <c r="G446" s="3">
        <v>0.85763888888888884</v>
      </c>
      <c r="H446" s="3">
        <v>0.87638888888888888</v>
      </c>
      <c r="I446" s="1">
        <v>27</v>
      </c>
      <c r="J446" s="1">
        <v>29</v>
      </c>
      <c r="K446" s="1" t="s">
        <v>60</v>
      </c>
      <c r="L446" s="1" t="s">
        <v>19</v>
      </c>
      <c r="M446" s="1">
        <v>1743</v>
      </c>
    </row>
    <row r="447" spans="1:13" x14ac:dyDescent="0.35">
      <c r="A447" s="1" t="s">
        <v>869</v>
      </c>
      <c r="B447" s="2">
        <v>46056</v>
      </c>
      <c r="C447" s="1" t="s">
        <v>133</v>
      </c>
      <c r="D447" s="1" t="s">
        <v>41</v>
      </c>
      <c r="E447" s="1" t="s">
        <v>37</v>
      </c>
      <c r="F447" s="1" t="s">
        <v>24</v>
      </c>
      <c r="G447" s="3">
        <v>0.30555555555555558</v>
      </c>
      <c r="H447" s="3">
        <v>0.30833333333333329</v>
      </c>
      <c r="I447" s="1">
        <v>4</v>
      </c>
      <c r="J447" s="1">
        <v>12</v>
      </c>
      <c r="K447" s="1"/>
      <c r="L447" s="1" t="s">
        <v>19</v>
      </c>
      <c r="M447" s="1">
        <v>2722</v>
      </c>
    </row>
    <row r="448" spans="1:13" x14ac:dyDescent="0.35">
      <c r="A448" s="1" t="s">
        <v>870</v>
      </c>
      <c r="B448" s="2">
        <v>46056</v>
      </c>
      <c r="C448" s="1" t="s">
        <v>871</v>
      </c>
      <c r="D448" s="1" t="s">
        <v>44</v>
      </c>
      <c r="E448" s="1" t="s">
        <v>27</v>
      </c>
      <c r="F448" s="1" t="s">
        <v>17</v>
      </c>
      <c r="G448" s="3">
        <v>0.41319444444444442</v>
      </c>
      <c r="H448" s="3">
        <v>0.41388888888888892</v>
      </c>
      <c r="I448" s="1">
        <v>1</v>
      </c>
      <c r="J448" s="1">
        <v>1</v>
      </c>
      <c r="K448" s="1" t="s">
        <v>18</v>
      </c>
      <c r="L448" s="1" t="s">
        <v>19</v>
      </c>
      <c r="M448" s="1">
        <v>1559</v>
      </c>
    </row>
    <row r="449" spans="1:13" x14ac:dyDescent="0.35">
      <c r="A449" s="1" t="s">
        <v>872</v>
      </c>
      <c r="B449" s="2">
        <v>46056</v>
      </c>
      <c r="C449" s="1" t="s">
        <v>205</v>
      </c>
      <c r="D449" s="1" t="s">
        <v>123</v>
      </c>
      <c r="E449" s="1" t="s">
        <v>31</v>
      </c>
      <c r="F449" s="1" t="s">
        <v>24</v>
      </c>
      <c r="G449" s="3">
        <v>0.46875</v>
      </c>
      <c r="H449" s="3">
        <v>0.48749999999999999</v>
      </c>
      <c r="I449" s="1">
        <v>27</v>
      </c>
      <c r="J449" s="1">
        <v>19</v>
      </c>
      <c r="K449" s="1" t="s">
        <v>276</v>
      </c>
      <c r="L449" s="1" t="s">
        <v>19</v>
      </c>
      <c r="M449" s="1">
        <v>1743</v>
      </c>
    </row>
    <row r="450" spans="1:13" x14ac:dyDescent="0.35">
      <c r="A450" s="1" t="s">
        <v>873</v>
      </c>
      <c r="B450" s="2">
        <v>46056</v>
      </c>
      <c r="C450" s="1" t="s">
        <v>874</v>
      </c>
      <c r="D450" s="1" t="s">
        <v>31</v>
      </c>
      <c r="E450" s="1" t="s">
        <v>27</v>
      </c>
      <c r="F450" s="1" t="s">
        <v>17</v>
      </c>
      <c r="G450" s="3">
        <v>0.69444444444444442</v>
      </c>
      <c r="H450" s="3">
        <v>0.7</v>
      </c>
      <c r="I450" s="1">
        <v>8</v>
      </c>
      <c r="J450" s="1">
        <v>12</v>
      </c>
      <c r="K450" s="1" t="s">
        <v>18</v>
      </c>
      <c r="L450" s="1" t="s">
        <v>19</v>
      </c>
      <c r="M450" s="1">
        <v>1053</v>
      </c>
    </row>
    <row r="451" spans="1:13" x14ac:dyDescent="0.35">
      <c r="A451" s="1" t="s">
        <v>875</v>
      </c>
      <c r="B451" s="2">
        <v>46057</v>
      </c>
      <c r="C451" s="1" t="s">
        <v>292</v>
      </c>
      <c r="D451" s="1" t="s">
        <v>31</v>
      </c>
      <c r="E451" s="1" t="s">
        <v>23</v>
      </c>
      <c r="F451" s="1" t="s">
        <v>17</v>
      </c>
      <c r="G451" s="3">
        <v>0.3298611111111111</v>
      </c>
      <c r="H451" s="3">
        <v>0.33194444444444438</v>
      </c>
      <c r="I451" s="1">
        <v>3</v>
      </c>
      <c r="J451" s="1">
        <v>-2</v>
      </c>
      <c r="K451" s="1" t="s">
        <v>18</v>
      </c>
      <c r="L451" s="1" t="s">
        <v>19</v>
      </c>
      <c r="M451" s="1">
        <v>627</v>
      </c>
    </row>
    <row r="452" spans="1:13" x14ac:dyDescent="0.35">
      <c r="A452" s="1" t="s">
        <v>876</v>
      </c>
      <c r="B452" s="2">
        <v>46057</v>
      </c>
      <c r="C452" s="1" t="s">
        <v>877</v>
      </c>
      <c r="D452" s="1" t="s">
        <v>22</v>
      </c>
      <c r="E452" s="1" t="s">
        <v>23</v>
      </c>
      <c r="F452" s="1" t="s">
        <v>28</v>
      </c>
      <c r="G452" s="3">
        <v>0.46527777777777779</v>
      </c>
      <c r="H452" s="3">
        <v>0.47361111111111109</v>
      </c>
      <c r="I452" s="1">
        <v>12</v>
      </c>
      <c r="J452" s="1">
        <v>0</v>
      </c>
      <c r="K452" s="1" t="s">
        <v>18</v>
      </c>
      <c r="L452" s="1" t="s">
        <v>19</v>
      </c>
      <c r="M452" s="1">
        <v>1622</v>
      </c>
    </row>
    <row r="453" spans="1:13" x14ac:dyDescent="0.35">
      <c r="A453" s="1" t="s">
        <v>878</v>
      </c>
      <c r="B453" s="2">
        <v>46058</v>
      </c>
      <c r="C453" s="1" t="s">
        <v>271</v>
      </c>
      <c r="D453" s="1" t="s">
        <v>50</v>
      </c>
      <c r="E453" s="1" t="s">
        <v>37</v>
      </c>
      <c r="F453" s="1" t="s">
        <v>24</v>
      </c>
      <c r="G453" s="3">
        <v>0.38541666666666669</v>
      </c>
      <c r="H453" s="3">
        <v>0.38194444444444442</v>
      </c>
      <c r="I453" s="1">
        <v>-5</v>
      </c>
      <c r="J453" s="1">
        <v>-2</v>
      </c>
      <c r="K453" s="1" t="s">
        <v>18</v>
      </c>
      <c r="L453" s="1" t="s">
        <v>19</v>
      </c>
      <c r="M453" s="1">
        <v>2178</v>
      </c>
    </row>
    <row r="454" spans="1:13" x14ac:dyDescent="0.35">
      <c r="A454" s="1" t="s">
        <v>879</v>
      </c>
      <c r="B454" s="2">
        <v>46058</v>
      </c>
      <c r="C454" s="1" t="s">
        <v>332</v>
      </c>
      <c r="D454" s="1" t="s">
        <v>16</v>
      </c>
      <c r="E454" s="1" t="s">
        <v>15</v>
      </c>
      <c r="F454" s="1" t="s">
        <v>24</v>
      </c>
      <c r="G454" s="3">
        <v>0.59722222222222221</v>
      </c>
      <c r="H454" s="3">
        <v>0.64513888888888893</v>
      </c>
      <c r="I454" s="1">
        <v>69</v>
      </c>
      <c r="J454" s="1">
        <v>75</v>
      </c>
      <c r="K454" s="1" t="s">
        <v>276</v>
      </c>
      <c r="L454" s="1" t="s">
        <v>19</v>
      </c>
      <c r="M454" s="1">
        <v>1742</v>
      </c>
    </row>
    <row r="455" spans="1:13" x14ac:dyDescent="0.35">
      <c r="A455" s="1" t="s">
        <v>880</v>
      </c>
      <c r="B455" s="2">
        <v>46059</v>
      </c>
      <c r="C455" s="1" t="s">
        <v>881</v>
      </c>
      <c r="D455" s="1" t="s">
        <v>44</v>
      </c>
      <c r="E455" s="1" t="s">
        <v>31</v>
      </c>
      <c r="F455" s="1" t="s">
        <v>28</v>
      </c>
      <c r="G455" s="3">
        <v>0.57986111111111116</v>
      </c>
      <c r="H455" s="3">
        <v>0.59652777777777777</v>
      </c>
      <c r="I455" s="1">
        <v>24</v>
      </c>
      <c r="J455" s="1">
        <v>32</v>
      </c>
      <c r="K455" s="1" t="s">
        <v>54</v>
      </c>
      <c r="L455" s="1" t="s">
        <v>19</v>
      </c>
      <c r="M455" s="1">
        <v>2375</v>
      </c>
    </row>
    <row r="456" spans="1:13" x14ac:dyDescent="0.35">
      <c r="A456" s="1" t="s">
        <v>882</v>
      </c>
      <c r="B456" s="2">
        <v>46059</v>
      </c>
      <c r="C456" s="1" t="s">
        <v>883</v>
      </c>
      <c r="D456" s="1" t="s">
        <v>555</v>
      </c>
      <c r="E456" s="1" t="s">
        <v>44</v>
      </c>
      <c r="F456" s="1" t="s">
        <v>17</v>
      </c>
      <c r="G456" s="3">
        <v>0.63888888888888884</v>
      </c>
      <c r="H456" s="3">
        <v>0.64375000000000004</v>
      </c>
      <c r="I456" s="1">
        <v>7</v>
      </c>
      <c r="J456" s="1">
        <v>6</v>
      </c>
      <c r="K456" s="1" t="s">
        <v>18</v>
      </c>
      <c r="L456" s="1" t="s">
        <v>19</v>
      </c>
      <c r="M456" s="1">
        <v>864</v>
      </c>
    </row>
    <row r="457" spans="1:13" x14ac:dyDescent="0.35">
      <c r="A457" s="1" t="s">
        <v>884</v>
      </c>
      <c r="B457" s="2">
        <v>46060</v>
      </c>
      <c r="C457" s="1" t="s">
        <v>885</v>
      </c>
      <c r="D457" s="1" t="s">
        <v>50</v>
      </c>
      <c r="E457" s="1" t="s">
        <v>15</v>
      </c>
      <c r="F457" s="1" t="s">
        <v>24</v>
      </c>
      <c r="G457" s="3">
        <v>0.77430555555555558</v>
      </c>
      <c r="H457" s="3">
        <v>0.78194444444444444</v>
      </c>
      <c r="I457" s="1">
        <v>11</v>
      </c>
      <c r="J457" s="1">
        <v>18</v>
      </c>
      <c r="K457" s="1" t="s">
        <v>18</v>
      </c>
      <c r="L457" s="1" t="s">
        <v>19</v>
      </c>
      <c r="M457" s="1">
        <v>1942</v>
      </c>
    </row>
    <row r="458" spans="1:13" x14ac:dyDescent="0.35">
      <c r="A458" s="1" t="s">
        <v>886</v>
      </c>
      <c r="B458" s="2">
        <v>46061</v>
      </c>
      <c r="C458" s="1" t="s">
        <v>251</v>
      </c>
      <c r="D458" s="1" t="s">
        <v>44</v>
      </c>
      <c r="E458" s="1" t="s">
        <v>41</v>
      </c>
      <c r="F458" s="1" t="s">
        <v>38</v>
      </c>
      <c r="G458" s="3">
        <v>0.31597222222222221</v>
      </c>
      <c r="H458" s="3">
        <v>0.31041666666666667</v>
      </c>
      <c r="I458" s="1">
        <v>-8</v>
      </c>
      <c r="J458" s="1">
        <v>-13</v>
      </c>
      <c r="K458" s="1" t="s">
        <v>18</v>
      </c>
      <c r="L458" s="1" t="s">
        <v>19</v>
      </c>
      <c r="M458" s="1">
        <v>1260</v>
      </c>
    </row>
    <row r="459" spans="1:13" x14ac:dyDescent="0.35">
      <c r="A459" s="1" t="s">
        <v>887</v>
      </c>
      <c r="B459" s="2">
        <v>46061</v>
      </c>
      <c r="C459" s="1" t="s">
        <v>434</v>
      </c>
      <c r="D459" s="1" t="s">
        <v>47</v>
      </c>
      <c r="E459" s="1" t="s">
        <v>16</v>
      </c>
      <c r="F459" s="1" t="s">
        <v>28</v>
      </c>
      <c r="G459" s="3">
        <v>0.4548611111111111</v>
      </c>
      <c r="H459" s="3">
        <v>0.45555555555555549</v>
      </c>
      <c r="I459" s="1">
        <v>1</v>
      </c>
      <c r="J459" s="1">
        <v>1</v>
      </c>
      <c r="K459" s="1" t="s">
        <v>18</v>
      </c>
      <c r="L459" s="1" t="s">
        <v>19</v>
      </c>
      <c r="M459" s="1">
        <v>1842</v>
      </c>
    </row>
    <row r="460" spans="1:13" x14ac:dyDescent="0.35">
      <c r="A460" s="1" t="s">
        <v>888</v>
      </c>
      <c r="B460" s="2">
        <v>46061</v>
      </c>
      <c r="C460" s="1" t="s">
        <v>889</v>
      </c>
      <c r="D460" s="1" t="s">
        <v>41</v>
      </c>
      <c r="E460" s="1" t="s">
        <v>78</v>
      </c>
      <c r="F460" s="1" t="s">
        <v>17</v>
      </c>
      <c r="G460" s="3">
        <v>0.73611111111111116</v>
      </c>
      <c r="H460" s="1"/>
      <c r="I460" s="1"/>
      <c r="J460" s="1"/>
      <c r="K460" s="1" t="s">
        <v>129</v>
      </c>
      <c r="L460" s="1" t="s">
        <v>254</v>
      </c>
      <c r="M460" s="1">
        <v>1969</v>
      </c>
    </row>
    <row r="461" spans="1:13" x14ac:dyDescent="0.35">
      <c r="A461" s="1" t="s">
        <v>890</v>
      </c>
      <c r="B461" s="2">
        <v>46062</v>
      </c>
      <c r="C461" s="1" t="s">
        <v>891</v>
      </c>
      <c r="D461" s="1" t="s">
        <v>22</v>
      </c>
      <c r="E461" s="1" t="s">
        <v>16</v>
      </c>
      <c r="F461" s="1" t="s">
        <v>38</v>
      </c>
      <c r="G461" s="3">
        <v>0.28472222222222221</v>
      </c>
      <c r="H461" s="3">
        <v>0.28749999999999998</v>
      </c>
      <c r="I461" s="1">
        <v>4</v>
      </c>
      <c r="J461" s="1">
        <v>7</v>
      </c>
      <c r="K461" s="1" t="s">
        <v>18</v>
      </c>
      <c r="L461" s="1" t="s">
        <v>19</v>
      </c>
      <c r="M461" s="1">
        <v>738</v>
      </c>
    </row>
    <row r="462" spans="1:13" x14ac:dyDescent="0.35">
      <c r="A462" s="1" t="s">
        <v>892</v>
      </c>
      <c r="B462" s="2">
        <v>46062</v>
      </c>
      <c r="C462" s="1" t="s">
        <v>893</v>
      </c>
      <c r="D462" s="1" t="s">
        <v>23</v>
      </c>
      <c r="E462" s="1" t="s">
        <v>50</v>
      </c>
      <c r="F462" s="1" t="s">
        <v>38</v>
      </c>
      <c r="G462" s="3">
        <v>0.67361111111111116</v>
      </c>
      <c r="H462" s="1"/>
      <c r="I462" s="1">
        <v>9</v>
      </c>
      <c r="J462" s="1">
        <v>1</v>
      </c>
      <c r="K462" s="1" t="s">
        <v>18</v>
      </c>
      <c r="L462" s="1" t="s">
        <v>19</v>
      </c>
      <c r="M462" s="1">
        <v>1197</v>
      </c>
    </row>
    <row r="463" spans="1:13" x14ac:dyDescent="0.35">
      <c r="A463" s="1" t="s">
        <v>894</v>
      </c>
      <c r="B463" s="2">
        <v>46062</v>
      </c>
      <c r="C463" s="1" t="s">
        <v>216</v>
      </c>
      <c r="D463" s="1" t="s">
        <v>27</v>
      </c>
      <c r="E463" s="1" t="s">
        <v>50</v>
      </c>
      <c r="F463" s="1" t="s">
        <v>24</v>
      </c>
      <c r="G463" s="3">
        <v>0.6875</v>
      </c>
      <c r="H463" s="3">
        <v>0.68680555555555556</v>
      </c>
      <c r="I463" s="1">
        <v>-1</v>
      </c>
      <c r="J463" s="1">
        <v>-11</v>
      </c>
      <c r="K463" s="1" t="s">
        <v>18</v>
      </c>
      <c r="L463" s="1" t="s">
        <v>19</v>
      </c>
      <c r="M463" s="1">
        <v>730</v>
      </c>
    </row>
    <row r="464" spans="1:13" x14ac:dyDescent="0.35">
      <c r="A464" s="1" t="s">
        <v>895</v>
      </c>
      <c r="B464" s="2">
        <v>46063</v>
      </c>
      <c r="C464" s="1" t="s">
        <v>896</v>
      </c>
      <c r="D464" s="1" t="s">
        <v>27</v>
      </c>
      <c r="E464" s="1" t="s">
        <v>22</v>
      </c>
      <c r="F464" s="1" t="s">
        <v>38</v>
      </c>
      <c r="G464" s="3">
        <v>0.56597222222222221</v>
      </c>
      <c r="H464" s="1"/>
      <c r="I464" s="1"/>
      <c r="J464" s="1"/>
      <c r="K464" s="1" t="s">
        <v>129</v>
      </c>
      <c r="L464" s="1" t="s">
        <v>254</v>
      </c>
      <c r="M464" s="1">
        <v>1389</v>
      </c>
    </row>
    <row r="465" spans="1:13" x14ac:dyDescent="0.35">
      <c r="A465" s="1" t="s">
        <v>897</v>
      </c>
      <c r="B465" s="2">
        <v>46064</v>
      </c>
      <c r="C465" s="1" t="s">
        <v>716</v>
      </c>
      <c r="D465" s="1" t="s">
        <v>50</v>
      </c>
      <c r="E465" s="1" t="s">
        <v>31</v>
      </c>
      <c r="F465" s="1" t="s">
        <v>28</v>
      </c>
      <c r="G465" s="3">
        <v>0.43402777777777779</v>
      </c>
      <c r="H465" s="1"/>
      <c r="I465" s="1"/>
      <c r="J465" s="1"/>
      <c r="K465" s="1" t="s">
        <v>60</v>
      </c>
      <c r="L465" s="1" t="s">
        <v>254</v>
      </c>
      <c r="M465" s="1">
        <v>1743</v>
      </c>
    </row>
    <row r="466" spans="1:13" x14ac:dyDescent="0.35">
      <c r="A466" s="1" t="s">
        <v>898</v>
      </c>
      <c r="B466" s="2">
        <v>46064</v>
      </c>
      <c r="C466" s="1" t="s">
        <v>899</v>
      </c>
      <c r="D466" s="1" t="s">
        <v>214</v>
      </c>
      <c r="E466" s="1" t="s">
        <v>16</v>
      </c>
      <c r="F466" s="1" t="s">
        <v>17</v>
      </c>
      <c r="G466" s="3">
        <v>0.46875</v>
      </c>
      <c r="H466" s="3">
        <v>0.46527777777777779</v>
      </c>
      <c r="I466" s="1">
        <v>-5</v>
      </c>
      <c r="J466" s="1">
        <v>0</v>
      </c>
      <c r="K466" s="1" t="s">
        <v>18</v>
      </c>
      <c r="L466" s="1" t="s">
        <v>19</v>
      </c>
      <c r="M466" s="1">
        <v>886</v>
      </c>
    </row>
    <row r="467" spans="1:13" x14ac:dyDescent="0.35">
      <c r="A467" s="1" t="s">
        <v>900</v>
      </c>
      <c r="B467" s="2">
        <v>46064</v>
      </c>
      <c r="C467" s="1" t="s">
        <v>901</v>
      </c>
      <c r="D467" s="1" t="s">
        <v>50</v>
      </c>
      <c r="E467" s="1" t="s">
        <v>22</v>
      </c>
      <c r="F467" s="1" t="s">
        <v>24</v>
      </c>
      <c r="G467" s="3">
        <v>0.60069444444444442</v>
      </c>
      <c r="H467" s="3">
        <v>0.66736111111111107</v>
      </c>
      <c r="I467" s="1">
        <v>96</v>
      </c>
      <c r="J467" s="1">
        <v>90</v>
      </c>
      <c r="K467" s="1" t="s">
        <v>129</v>
      </c>
      <c r="L467" s="1" t="s">
        <v>19</v>
      </c>
      <c r="M467" s="1">
        <v>759</v>
      </c>
    </row>
    <row r="468" spans="1:13" x14ac:dyDescent="0.35">
      <c r="A468" s="1" t="s">
        <v>902</v>
      </c>
      <c r="B468" s="2">
        <v>46064</v>
      </c>
      <c r="C468" s="1" t="s">
        <v>903</v>
      </c>
      <c r="D468" s="1" t="s">
        <v>27</v>
      </c>
      <c r="E468" s="1" t="s">
        <v>22</v>
      </c>
      <c r="F468" s="1" t="s">
        <v>24</v>
      </c>
      <c r="G468" s="3">
        <v>0.72916666666666663</v>
      </c>
      <c r="H468" s="3">
        <v>0.74236111111111114</v>
      </c>
      <c r="I468" s="1">
        <v>19</v>
      </c>
      <c r="J468" s="1">
        <v>10</v>
      </c>
      <c r="K468" s="1" t="s">
        <v>60</v>
      </c>
      <c r="L468" s="1" t="s">
        <v>19</v>
      </c>
      <c r="M468" s="1">
        <v>1389</v>
      </c>
    </row>
    <row r="469" spans="1:13" x14ac:dyDescent="0.35">
      <c r="A469" s="1" t="s">
        <v>904</v>
      </c>
      <c r="B469" s="2">
        <v>46067</v>
      </c>
      <c r="C469" s="1" t="s">
        <v>905</v>
      </c>
      <c r="D469" s="1" t="s">
        <v>27</v>
      </c>
      <c r="E469" s="1" t="s">
        <v>22</v>
      </c>
      <c r="F469" s="1" t="s">
        <v>17</v>
      </c>
      <c r="G469" s="3">
        <v>0.41666666666666669</v>
      </c>
      <c r="H469" s="3">
        <v>0.41597222222222219</v>
      </c>
      <c r="I469" s="1">
        <v>-1</v>
      </c>
      <c r="J469" s="1">
        <v>-8</v>
      </c>
      <c r="K469" s="1" t="s">
        <v>18</v>
      </c>
      <c r="L469" s="1" t="s">
        <v>19</v>
      </c>
      <c r="M469" s="1">
        <v>1389</v>
      </c>
    </row>
    <row r="470" spans="1:13" x14ac:dyDescent="0.35">
      <c r="A470" s="1" t="s">
        <v>906</v>
      </c>
      <c r="B470" s="2">
        <v>46067</v>
      </c>
      <c r="C470" s="1" t="s">
        <v>616</v>
      </c>
      <c r="D470" s="1" t="s">
        <v>37</v>
      </c>
      <c r="E470" s="1" t="s">
        <v>22</v>
      </c>
      <c r="F470" s="1" t="s">
        <v>28</v>
      </c>
      <c r="G470" s="3">
        <v>0.58333333333333337</v>
      </c>
      <c r="H470" s="3">
        <v>0.63263888888888886</v>
      </c>
      <c r="I470" s="1">
        <v>71</v>
      </c>
      <c r="J470" s="1">
        <v>73</v>
      </c>
      <c r="K470" s="1" t="s">
        <v>129</v>
      </c>
      <c r="L470" s="1" t="s">
        <v>19</v>
      </c>
      <c r="M470" s="1">
        <v>2415</v>
      </c>
    </row>
    <row r="471" spans="1:13" x14ac:dyDescent="0.35">
      <c r="A471" s="1" t="s">
        <v>907</v>
      </c>
      <c r="B471" s="2">
        <v>46067</v>
      </c>
      <c r="C471" s="1" t="s">
        <v>908</v>
      </c>
      <c r="D471" s="1" t="s">
        <v>16</v>
      </c>
      <c r="E471" s="1" t="s">
        <v>123</v>
      </c>
      <c r="F471" s="1" t="s">
        <v>17</v>
      </c>
      <c r="G471" s="3">
        <v>0.63888888888888884</v>
      </c>
      <c r="H471" s="3">
        <v>0.64027777777777772</v>
      </c>
      <c r="I471" s="1">
        <v>2</v>
      </c>
      <c r="J471" s="1">
        <v>2</v>
      </c>
      <c r="K471" s="1" t="s">
        <v>18</v>
      </c>
      <c r="L471" s="1" t="s">
        <v>19</v>
      </c>
      <c r="M471" s="1">
        <v>606</v>
      </c>
    </row>
    <row r="472" spans="1:13" x14ac:dyDescent="0.35">
      <c r="A472" s="1" t="s">
        <v>909</v>
      </c>
      <c r="B472" s="2">
        <v>46067</v>
      </c>
      <c r="C472" s="1" t="s">
        <v>626</v>
      </c>
      <c r="D472" s="1" t="s">
        <v>23</v>
      </c>
      <c r="E472" s="1" t="s">
        <v>50</v>
      </c>
      <c r="F472" s="1" t="s">
        <v>24</v>
      </c>
      <c r="G472" s="3">
        <v>0.81597222222222221</v>
      </c>
      <c r="H472" s="3">
        <v>0.83333333333333337</v>
      </c>
      <c r="I472" s="1">
        <v>25</v>
      </c>
      <c r="J472" s="1">
        <v>13</v>
      </c>
      <c r="K472" s="1" t="s">
        <v>276</v>
      </c>
      <c r="L472" s="1" t="s">
        <v>19</v>
      </c>
      <c r="M472" s="1">
        <v>1197</v>
      </c>
    </row>
    <row r="473" spans="1:13" x14ac:dyDescent="0.35">
      <c r="A473" s="1" t="s">
        <v>910</v>
      </c>
      <c r="B473" s="2">
        <v>46067</v>
      </c>
      <c r="C473" s="1" t="s">
        <v>911</v>
      </c>
      <c r="D473" s="1" t="s">
        <v>47</v>
      </c>
      <c r="E473" s="1" t="s">
        <v>16</v>
      </c>
      <c r="F473" s="1" t="s">
        <v>17</v>
      </c>
      <c r="G473" s="3">
        <v>0.91319444444444442</v>
      </c>
      <c r="H473" s="1"/>
      <c r="I473" s="1">
        <v>40</v>
      </c>
      <c r="J473" s="1">
        <v>47</v>
      </c>
      <c r="K473" s="1" t="s">
        <v>54</v>
      </c>
      <c r="L473" s="1" t="s">
        <v>19</v>
      </c>
      <c r="M473" s="1">
        <v>1842</v>
      </c>
    </row>
    <row r="474" spans="1:13" x14ac:dyDescent="0.35">
      <c r="A474" s="1" t="s">
        <v>912</v>
      </c>
      <c r="B474" s="2">
        <v>46068</v>
      </c>
      <c r="C474" s="1" t="s">
        <v>913</v>
      </c>
      <c r="D474" s="1" t="s">
        <v>202</v>
      </c>
      <c r="E474" s="1" t="s">
        <v>78</v>
      </c>
      <c r="F474" s="1" t="s">
        <v>24</v>
      </c>
      <c r="G474" s="3">
        <v>0.3263888888888889</v>
      </c>
      <c r="H474" s="3">
        <v>0.32500000000000001</v>
      </c>
      <c r="I474" s="1">
        <v>-2</v>
      </c>
      <c r="J474" s="1">
        <v>4</v>
      </c>
      <c r="K474" s="1" t="s">
        <v>18</v>
      </c>
      <c r="L474" s="1" t="s">
        <v>19</v>
      </c>
      <c r="M474" s="1">
        <v>1969</v>
      </c>
    </row>
    <row r="475" spans="1:13" x14ac:dyDescent="0.35">
      <c r="A475" s="1" t="s">
        <v>914</v>
      </c>
      <c r="B475" s="2">
        <v>46068</v>
      </c>
      <c r="C475" s="1" t="s">
        <v>915</v>
      </c>
      <c r="D475" s="1" t="s">
        <v>31</v>
      </c>
      <c r="E475" s="1" t="s">
        <v>50</v>
      </c>
      <c r="F475" s="1" t="s">
        <v>28</v>
      </c>
      <c r="G475" s="3">
        <v>0.36458333333333331</v>
      </c>
      <c r="H475" s="1"/>
      <c r="I475" s="1">
        <v>2</v>
      </c>
      <c r="J475" s="1">
        <v>-5</v>
      </c>
      <c r="K475" s="1" t="s">
        <v>18</v>
      </c>
      <c r="L475" s="1" t="s">
        <v>19</v>
      </c>
      <c r="M475" s="1">
        <v>1743</v>
      </c>
    </row>
    <row r="476" spans="1:13" x14ac:dyDescent="0.35">
      <c r="A476" s="1" t="s">
        <v>916</v>
      </c>
      <c r="B476" s="2">
        <v>46068</v>
      </c>
      <c r="C476" s="1" t="s">
        <v>917</v>
      </c>
      <c r="D476" s="1" t="s">
        <v>22</v>
      </c>
      <c r="E476" s="1" t="s">
        <v>23</v>
      </c>
      <c r="F476" s="1" t="s">
        <v>28</v>
      </c>
      <c r="G476" s="3">
        <v>0.625</v>
      </c>
      <c r="H476" s="3">
        <v>0.64375000000000004</v>
      </c>
      <c r="I476" s="1">
        <v>27</v>
      </c>
      <c r="J476" s="1">
        <v>25</v>
      </c>
      <c r="K476" s="1" t="s">
        <v>303</v>
      </c>
      <c r="L476" s="1" t="s">
        <v>19</v>
      </c>
      <c r="M476" s="1">
        <v>1622</v>
      </c>
    </row>
    <row r="477" spans="1:13" x14ac:dyDescent="0.35">
      <c r="A477" s="1" t="s">
        <v>918</v>
      </c>
      <c r="B477" s="2">
        <v>46068</v>
      </c>
      <c r="C477" s="1" t="s">
        <v>919</v>
      </c>
      <c r="D477" s="1" t="s">
        <v>78</v>
      </c>
      <c r="E477" s="1" t="s">
        <v>47</v>
      </c>
      <c r="F477" s="1" t="s">
        <v>28</v>
      </c>
      <c r="G477" s="3">
        <v>0.66666666666666663</v>
      </c>
      <c r="H477" s="3">
        <v>0.67291666666666672</v>
      </c>
      <c r="I477" s="1">
        <v>9</v>
      </c>
      <c r="J477" s="1">
        <v>10</v>
      </c>
      <c r="K477" s="1" t="s">
        <v>18</v>
      </c>
      <c r="L477" s="1" t="s">
        <v>19</v>
      </c>
      <c r="M477" s="1">
        <v>651</v>
      </c>
    </row>
    <row r="478" spans="1:13" x14ac:dyDescent="0.35">
      <c r="A478" s="1" t="s">
        <v>920</v>
      </c>
      <c r="B478" s="2">
        <v>46069</v>
      </c>
      <c r="C478" s="1" t="s">
        <v>70</v>
      </c>
      <c r="D478" s="1" t="s">
        <v>27</v>
      </c>
      <c r="E478" s="1" t="s">
        <v>15</v>
      </c>
      <c r="F478" s="1" t="s">
        <v>28</v>
      </c>
      <c r="G478" s="3">
        <v>0.30902777777777779</v>
      </c>
      <c r="H478" s="3">
        <v>0.30486111111111108</v>
      </c>
      <c r="I478" s="1">
        <v>-6</v>
      </c>
      <c r="J478" s="1">
        <v>-2</v>
      </c>
      <c r="K478" s="1" t="s">
        <v>18</v>
      </c>
      <c r="L478" s="1" t="s">
        <v>19</v>
      </c>
      <c r="M478" s="1">
        <v>1232</v>
      </c>
    </row>
    <row r="479" spans="1:13" x14ac:dyDescent="0.35">
      <c r="A479" s="1" t="s">
        <v>921</v>
      </c>
      <c r="B479" s="2">
        <v>46069</v>
      </c>
      <c r="C479" s="1" t="s">
        <v>922</v>
      </c>
      <c r="D479" s="1" t="s">
        <v>50</v>
      </c>
      <c r="E479" s="1" t="s">
        <v>78</v>
      </c>
      <c r="F479" s="1" t="s">
        <v>28</v>
      </c>
      <c r="G479" s="3">
        <v>0.50347222222222221</v>
      </c>
      <c r="H479" s="3">
        <v>0.50555555555555554</v>
      </c>
      <c r="I479" s="1">
        <v>3</v>
      </c>
      <c r="J479" s="1">
        <v>-3</v>
      </c>
      <c r="K479" s="1" t="s">
        <v>18</v>
      </c>
      <c r="L479" s="1" t="s">
        <v>19</v>
      </c>
      <c r="M479" s="1">
        <v>1584</v>
      </c>
    </row>
    <row r="480" spans="1:13" x14ac:dyDescent="0.35">
      <c r="A480" s="1" t="s">
        <v>923</v>
      </c>
      <c r="B480" s="2">
        <v>46070</v>
      </c>
      <c r="C480" s="1" t="s">
        <v>924</v>
      </c>
      <c r="D480" s="1" t="s">
        <v>41</v>
      </c>
      <c r="E480" s="1" t="s">
        <v>71</v>
      </c>
      <c r="F480" s="1" t="s">
        <v>17</v>
      </c>
      <c r="G480" s="3">
        <v>0.43055555555555558</v>
      </c>
      <c r="H480" s="3">
        <v>0.44305555555555548</v>
      </c>
      <c r="I480" s="1">
        <v>18</v>
      </c>
      <c r="J480" s="1">
        <v>20</v>
      </c>
      <c r="K480" s="1" t="s">
        <v>174</v>
      </c>
      <c r="L480" s="1" t="s">
        <v>19</v>
      </c>
      <c r="M480" s="1">
        <v>1199</v>
      </c>
    </row>
    <row r="481" spans="1:13" x14ac:dyDescent="0.35">
      <c r="A481" s="1" t="s">
        <v>925</v>
      </c>
      <c r="B481" s="2">
        <v>46070</v>
      </c>
      <c r="C481" s="1" t="s">
        <v>926</v>
      </c>
      <c r="D481" s="1" t="s">
        <v>27</v>
      </c>
      <c r="E481" s="1" t="s">
        <v>37</v>
      </c>
      <c r="F481" s="1" t="s">
        <v>17</v>
      </c>
      <c r="G481" s="3">
        <v>0.70138888888888884</v>
      </c>
      <c r="H481" s="3">
        <v>0.7055555555555556</v>
      </c>
      <c r="I481" s="1">
        <v>6</v>
      </c>
      <c r="J481" s="1">
        <v>12</v>
      </c>
      <c r="K481" s="1" t="s">
        <v>18</v>
      </c>
      <c r="L481" s="1" t="s">
        <v>19</v>
      </c>
      <c r="M481" s="1">
        <v>1658</v>
      </c>
    </row>
    <row r="482" spans="1:13" x14ac:dyDescent="0.35">
      <c r="A482" s="1" t="s">
        <v>927</v>
      </c>
      <c r="B482" s="2">
        <v>46071</v>
      </c>
      <c r="C482" s="1" t="s">
        <v>330</v>
      </c>
      <c r="D482" s="1" t="s">
        <v>31</v>
      </c>
      <c r="E482" s="1" t="s">
        <v>27</v>
      </c>
      <c r="F482" s="1" t="s">
        <v>17</v>
      </c>
      <c r="G482" s="3">
        <v>0.21527777777777779</v>
      </c>
      <c r="H482" s="3">
        <v>0.21111111111111111</v>
      </c>
      <c r="I482" s="1">
        <v>-6</v>
      </c>
      <c r="J482" s="1">
        <v>-16</v>
      </c>
      <c r="K482" s="1" t="s">
        <v>18</v>
      </c>
      <c r="L482" s="1" t="s">
        <v>19</v>
      </c>
      <c r="M482" s="1">
        <v>1053</v>
      </c>
    </row>
    <row r="483" spans="1:13" x14ac:dyDescent="0.35">
      <c r="A483" s="1" t="s">
        <v>928</v>
      </c>
      <c r="B483" s="2">
        <v>46071</v>
      </c>
      <c r="C483" s="1" t="s">
        <v>929</v>
      </c>
      <c r="D483" s="1" t="s">
        <v>31</v>
      </c>
      <c r="E483" s="1" t="s">
        <v>22</v>
      </c>
      <c r="F483" s="1" t="s">
        <v>24</v>
      </c>
      <c r="G483" s="3">
        <v>0.28819444444444442</v>
      </c>
      <c r="H483" s="3">
        <v>0.29097222222222219</v>
      </c>
      <c r="I483" s="1">
        <v>4</v>
      </c>
      <c r="J483" s="1">
        <v>-3</v>
      </c>
      <c r="K483" s="1" t="s">
        <v>18</v>
      </c>
      <c r="L483" s="1" t="s">
        <v>19</v>
      </c>
      <c r="M483" s="1">
        <v>2243</v>
      </c>
    </row>
    <row r="484" spans="1:13" x14ac:dyDescent="0.35">
      <c r="A484" s="1" t="s">
        <v>930</v>
      </c>
      <c r="B484" s="2">
        <v>46072</v>
      </c>
      <c r="C484" s="1" t="s">
        <v>931</v>
      </c>
      <c r="D484" s="1" t="s">
        <v>50</v>
      </c>
      <c r="E484" s="1" t="s">
        <v>16</v>
      </c>
      <c r="F484" s="1" t="s">
        <v>28</v>
      </c>
      <c r="G484" s="3">
        <v>0.40625</v>
      </c>
      <c r="H484" s="3">
        <v>0.42499999999999999</v>
      </c>
      <c r="I484" s="1">
        <v>27</v>
      </c>
      <c r="J484" s="1">
        <v>27</v>
      </c>
      <c r="K484" s="1" t="s">
        <v>477</v>
      </c>
      <c r="L484" s="1" t="s">
        <v>19</v>
      </c>
      <c r="M484" s="1">
        <v>606</v>
      </c>
    </row>
    <row r="485" spans="1:13" x14ac:dyDescent="0.35">
      <c r="A485" s="1" t="s">
        <v>932</v>
      </c>
      <c r="B485" s="2">
        <v>46072</v>
      </c>
      <c r="C485" s="1" t="s">
        <v>933</v>
      </c>
      <c r="D485" s="1" t="s">
        <v>15</v>
      </c>
      <c r="E485" s="1" t="s">
        <v>23</v>
      </c>
      <c r="F485" s="1" t="s">
        <v>24</v>
      </c>
      <c r="G485" s="3">
        <v>0.40625</v>
      </c>
      <c r="H485" s="3">
        <v>0.4284722222222222</v>
      </c>
      <c r="I485" s="1">
        <v>32</v>
      </c>
      <c r="J485" s="1">
        <v>18</v>
      </c>
      <c r="K485" s="1" t="s">
        <v>149</v>
      </c>
      <c r="L485" s="1" t="s">
        <v>19</v>
      </c>
      <c r="M485" s="1">
        <v>861</v>
      </c>
    </row>
    <row r="486" spans="1:13" x14ac:dyDescent="0.35">
      <c r="A486" s="1" t="s">
        <v>934</v>
      </c>
      <c r="B486" s="2">
        <v>46072</v>
      </c>
      <c r="C486" s="1" t="s">
        <v>935</v>
      </c>
      <c r="D486" s="1" t="s">
        <v>27</v>
      </c>
      <c r="E486" s="1" t="s">
        <v>41</v>
      </c>
      <c r="F486" s="1" t="s">
        <v>38</v>
      </c>
      <c r="G486" s="3">
        <v>0.55208333333333337</v>
      </c>
      <c r="H486" s="3">
        <v>0.55347222222222225</v>
      </c>
      <c r="I486" s="1">
        <v>2</v>
      </c>
      <c r="J486" s="1">
        <v>7</v>
      </c>
      <c r="K486" s="1"/>
      <c r="L486" s="1" t="s">
        <v>19</v>
      </c>
      <c r="M486" s="1">
        <v>0</v>
      </c>
    </row>
    <row r="487" spans="1:13" x14ac:dyDescent="0.35">
      <c r="A487" s="1" t="s">
        <v>936</v>
      </c>
      <c r="B487" s="2">
        <v>46072</v>
      </c>
      <c r="C487" s="1" t="s">
        <v>937</v>
      </c>
      <c r="D487" s="1" t="s">
        <v>44</v>
      </c>
      <c r="E487" s="1" t="s">
        <v>22</v>
      </c>
      <c r="F487" s="1" t="s">
        <v>17</v>
      </c>
      <c r="G487" s="3">
        <v>0.68402777777777779</v>
      </c>
      <c r="H487" s="3">
        <v>0.8354166666666667</v>
      </c>
      <c r="I487" s="1">
        <v>218</v>
      </c>
      <c r="J487" s="1">
        <v>213</v>
      </c>
      <c r="K487" s="1" t="s">
        <v>319</v>
      </c>
      <c r="L487" s="1" t="s">
        <v>19</v>
      </c>
      <c r="M487" s="1">
        <v>186</v>
      </c>
    </row>
    <row r="488" spans="1:13" x14ac:dyDescent="0.35">
      <c r="A488" s="1" t="s">
        <v>938</v>
      </c>
      <c r="B488" s="2">
        <v>46072</v>
      </c>
      <c r="C488" s="1" t="s">
        <v>508</v>
      </c>
      <c r="D488" s="1" t="s">
        <v>27</v>
      </c>
      <c r="E488" s="1" t="s">
        <v>44</v>
      </c>
      <c r="F488" s="1" t="s">
        <v>24</v>
      </c>
      <c r="G488" s="3">
        <v>0.6875</v>
      </c>
      <c r="H488" s="3">
        <v>0.68819444444444444</v>
      </c>
      <c r="I488" s="1">
        <v>1</v>
      </c>
      <c r="J488" s="1">
        <v>-9</v>
      </c>
      <c r="K488" s="1" t="s">
        <v>18</v>
      </c>
      <c r="L488" s="1" t="s">
        <v>19</v>
      </c>
      <c r="M488" s="1">
        <v>1559</v>
      </c>
    </row>
    <row r="489" spans="1:13" x14ac:dyDescent="0.35">
      <c r="A489" s="1" t="s">
        <v>939</v>
      </c>
      <c r="B489" s="2">
        <v>46072</v>
      </c>
      <c r="C489" s="1" t="s">
        <v>288</v>
      </c>
      <c r="D489" s="1" t="s">
        <v>940</v>
      </c>
      <c r="E489" s="1" t="s">
        <v>50</v>
      </c>
      <c r="F489" s="1" t="s">
        <v>24</v>
      </c>
      <c r="G489" s="3">
        <v>0.71875</v>
      </c>
      <c r="H489" s="3">
        <v>0.75416666666666665</v>
      </c>
      <c r="I489" s="1">
        <v>51</v>
      </c>
      <c r="J489" s="1">
        <v>56</v>
      </c>
      <c r="K489" s="1" t="s">
        <v>276</v>
      </c>
      <c r="L489" s="1" t="s">
        <v>19</v>
      </c>
      <c r="M489" s="1">
        <v>1743</v>
      </c>
    </row>
    <row r="490" spans="1:13" x14ac:dyDescent="0.35">
      <c r="A490" s="1" t="s">
        <v>941</v>
      </c>
      <c r="B490" s="2">
        <v>46073</v>
      </c>
      <c r="C490" s="1" t="s">
        <v>942</v>
      </c>
      <c r="D490" s="1" t="s">
        <v>629</v>
      </c>
      <c r="E490" s="1" t="s">
        <v>23</v>
      </c>
      <c r="F490" s="1" t="s">
        <v>17</v>
      </c>
      <c r="G490" s="3">
        <v>0.41319444444444442</v>
      </c>
      <c r="H490" s="3">
        <v>0.4201388888888889</v>
      </c>
      <c r="I490" s="1">
        <v>10</v>
      </c>
      <c r="J490" s="1">
        <v>12</v>
      </c>
      <c r="K490" s="1"/>
      <c r="L490" s="1" t="s">
        <v>19</v>
      </c>
      <c r="M490" s="1">
        <v>602</v>
      </c>
    </row>
    <row r="491" spans="1:13" x14ac:dyDescent="0.35">
      <c r="A491" s="1" t="s">
        <v>943</v>
      </c>
      <c r="B491" s="2">
        <v>46073</v>
      </c>
      <c r="C491" s="1" t="s">
        <v>851</v>
      </c>
      <c r="D491" s="1" t="s">
        <v>15</v>
      </c>
      <c r="E491" s="1" t="s">
        <v>23</v>
      </c>
      <c r="F491" s="1" t="s">
        <v>17</v>
      </c>
      <c r="G491" s="3">
        <v>0.47569444444444442</v>
      </c>
      <c r="H491" s="3">
        <v>0.47083333333333333</v>
      </c>
      <c r="I491" s="1">
        <v>-7</v>
      </c>
      <c r="J491" s="1">
        <v>-12</v>
      </c>
      <c r="K491" s="1" t="s">
        <v>18</v>
      </c>
      <c r="L491" s="1" t="s">
        <v>19</v>
      </c>
      <c r="M491" s="1">
        <v>861</v>
      </c>
    </row>
    <row r="492" spans="1:13" x14ac:dyDescent="0.35">
      <c r="A492" s="1" t="s">
        <v>944</v>
      </c>
      <c r="B492" s="2">
        <v>46073</v>
      </c>
      <c r="C492" s="1" t="s">
        <v>945</v>
      </c>
      <c r="D492" s="1" t="s">
        <v>16</v>
      </c>
      <c r="E492" s="1" t="s">
        <v>27</v>
      </c>
      <c r="F492" s="1" t="s">
        <v>17</v>
      </c>
      <c r="G492" s="3">
        <v>0.59375</v>
      </c>
      <c r="H492" s="3">
        <v>0.59236111111111112</v>
      </c>
      <c r="I492" s="1">
        <v>-2</v>
      </c>
      <c r="J492" s="1">
        <v>6</v>
      </c>
      <c r="K492" s="1" t="s">
        <v>18</v>
      </c>
      <c r="L492" s="1" t="s">
        <v>19</v>
      </c>
      <c r="M492" s="1">
        <v>802</v>
      </c>
    </row>
    <row r="493" spans="1:13" x14ac:dyDescent="0.35">
      <c r="A493" s="1" t="s">
        <v>946</v>
      </c>
      <c r="B493" s="2">
        <v>46073</v>
      </c>
      <c r="C493" s="1" t="s">
        <v>125</v>
      </c>
      <c r="D493" s="1" t="s">
        <v>78</v>
      </c>
      <c r="E493" s="1" t="s">
        <v>50</v>
      </c>
      <c r="F493" s="1" t="s">
        <v>24</v>
      </c>
      <c r="G493" s="3">
        <v>0.69791666666666663</v>
      </c>
      <c r="H493" s="3">
        <v>0.69652777777777775</v>
      </c>
      <c r="I493" s="1">
        <v>-2</v>
      </c>
      <c r="J493" s="1">
        <v>0</v>
      </c>
      <c r="K493" s="1" t="s">
        <v>18</v>
      </c>
      <c r="L493" s="1" t="s">
        <v>19</v>
      </c>
      <c r="M493" s="1">
        <v>1584</v>
      </c>
    </row>
    <row r="494" spans="1:13" x14ac:dyDescent="0.35">
      <c r="A494" s="1" t="s">
        <v>947</v>
      </c>
      <c r="B494" s="2">
        <v>46073</v>
      </c>
      <c r="C494" s="1" t="s">
        <v>935</v>
      </c>
      <c r="D494" s="1" t="s">
        <v>84</v>
      </c>
      <c r="E494" s="1" t="s">
        <v>50</v>
      </c>
      <c r="F494" s="1" t="s">
        <v>28</v>
      </c>
      <c r="G494" s="3">
        <v>0.89236111111111116</v>
      </c>
      <c r="H494" s="3">
        <v>0.90833333333333333</v>
      </c>
      <c r="I494" s="1">
        <v>23</v>
      </c>
      <c r="J494" s="1">
        <v>28</v>
      </c>
      <c r="K494" s="1" t="s">
        <v>319</v>
      </c>
      <c r="L494" s="1" t="s">
        <v>19</v>
      </c>
      <c r="M494" s="1">
        <v>2178</v>
      </c>
    </row>
    <row r="495" spans="1:13" x14ac:dyDescent="0.35">
      <c r="A495" s="1" t="s">
        <v>948</v>
      </c>
      <c r="B495" s="2">
        <v>46074</v>
      </c>
      <c r="C495" s="1" t="s">
        <v>330</v>
      </c>
      <c r="D495" s="1" t="s">
        <v>50</v>
      </c>
      <c r="E495" s="1" t="s">
        <v>27</v>
      </c>
      <c r="F495" s="1" t="s">
        <v>17</v>
      </c>
      <c r="G495" s="3">
        <v>0.54166666666666663</v>
      </c>
      <c r="H495" s="3">
        <v>0.53888888888888886</v>
      </c>
      <c r="I495" s="1">
        <v>-4</v>
      </c>
      <c r="J495" s="1">
        <v>-11</v>
      </c>
      <c r="K495" s="1" t="s">
        <v>18</v>
      </c>
      <c r="L495" s="1" t="s">
        <v>19</v>
      </c>
      <c r="M495" s="1">
        <v>730</v>
      </c>
    </row>
    <row r="496" spans="1:13" x14ac:dyDescent="0.35">
      <c r="A496" s="1" t="s">
        <v>949</v>
      </c>
      <c r="B496" s="2">
        <v>46075</v>
      </c>
      <c r="C496" s="1" t="s">
        <v>950</v>
      </c>
      <c r="D496" s="1" t="s">
        <v>44</v>
      </c>
      <c r="E496" s="1" t="s">
        <v>27</v>
      </c>
      <c r="F496" s="1" t="s">
        <v>24</v>
      </c>
      <c r="G496" s="3">
        <v>0.49305555555555558</v>
      </c>
      <c r="H496" s="3">
        <v>0.51111111111111107</v>
      </c>
      <c r="I496" s="1">
        <v>26</v>
      </c>
      <c r="J496" s="1">
        <v>32</v>
      </c>
      <c r="K496" s="1" t="s">
        <v>276</v>
      </c>
      <c r="L496" s="1" t="s">
        <v>19</v>
      </c>
      <c r="M496" s="1">
        <v>1559</v>
      </c>
    </row>
    <row r="497" spans="1:13" x14ac:dyDescent="0.35">
      <c r="A497" s="1" t="s">
        <v>951</v>
      </c>
      <c r="B497" s="2">
        <v>46075</v>
      </c>
      <c r="C497" s="1" t="s">
        <v>874</v>
      </c>
      <c r="D497" s="1" t="s">
        <v>16</v>
      </c>
      <c r="E497" s="1" t="s">
        <v>44</v>
      </c>
      <c r="F497" s="1" t="s">
        <v>28</v>
      </c>
      <c r="G497" s="3">
        <v>0.63541666666666663</v>
      </c>
      <c r="H497" s="3">
        <v>0.6381944444444444</v>
      </c>
      <c r="I497" s="1">
        <v>4</v>
      </c>
      <c r="J497" s="1">
        <v>-2</v>
      </c>
      <c r="K497" s="1" t="s">
        <v>18</v>
      </c>
      <c r="L497" s="1" t="s">
        <v>19</v>
      </c>
      <c r="M497" s="1">
        <v>864</v>
      </c>
    </row>
    <row r="498" spans="1:13" x14ac:dyDescent="0.35">
      <c r="A498" s="1" t="s">
        <v>952</v>
      </c>
      <c r="B498" s="2">
        <v>46076</v>
      </c>
      <c r="C498" s="1" t="s">
        <v>748</v>
      </c>
      <c r="D498" s="1" t="s">
        <v>44</v>
      </c>
      <c r="E498" s="1" t="s">
        <v>50</v>
      </c>
      <c r="F498" s="1" t="s">
        <v>17</v>
      </c>
      <c r="G498" s="3">
        <v>0.34722222222222221</v>
      </c>
      <c r="H498" s="3">
        <v>0.3611111111111111</v>
      </c>
      <c r="I498" s="1">
        <v>20</v>
      </c>
      <c r="J498" s="1"/>
      <c r="K498" s="1" t="s">
        <v>303</v>
      </c>
      <c r="L498" s="1" t="s">
        <v>19</v>
      </c>
      <c r="M498" s="1">
        <v>945</v>
      </c>
    </row>
    <row r="499" spans="1:13" x14ac:dyDescent="0.35">
      <c r="A499" s="1" t="s">
        <v>953</v>
      </c>
      <c r="B499" s="2">
        <v>46076</v>
      </c>
      <c r="C499" s="1" t="s">
        <v>821</v>
      </c>
      <c r="D499" s="1" t="s">
        <v>31</v>
      </c>
      <c r="E499" s="1" t="s">
        <v>78</v>
      </c>
      <c r="F499" s="1" t="s">
        <v>17</v>
      </c>
      <c r="G499" s="3">
        <v>0.35416666666666669</v>
      </c>
      <c r="H499" s="3">
        <v>0.35555555555555562</v>
      </c>
      <c r="I499" s="1">
        <v>2</v>
      </c>
      <c r="J499" s="1">
        <v>-9</v>
      </c>
      <c r="K499" s="1" t="s">
        <v>18</v>
      </c>
      <c r="L499" s="1" t="s">
        <v>19</v>
      </c>
      <c r="M499" s="1">
        <v>256</v>
      </c>
    </row>
    <row r="500" spans="1:13" x14ac:dyDescent="0.35">
      <c r="A500" s="1" t="s">
        <v>954</v>
      </c>
      <c r="B500" s="2">
        <v>46076</v>
      </c>
      <c r="C500" s="1" t="s">
        <v>955</v>
      </c>
      <c r="D500" s="1" t="s">
        <v>23</v>
      </c>
      <c r="E500" s="1" t="s">
        <v>50</v>
      </c>
      <c r="F500" s="1" t="s">
        <v>38</v>
      </c>
      <c r="G500" s="3">
        <v>0.69444444444444442</v>
      </c>
      <c r="H500" s="3">
        <v>0.70138888888888884</v>
      </c>
      <c r="I500" s="1">
        <v>10</v>
      </c>
      <c r="J500" s="1">
        <v>4</v>
      </c>
      <c r="K500" s="1"/>
      <c r="L500" s="1" t="s">
        <v>19</v>
      </c>
      <c r="M500" s="1">
        <v>1197</v>
      </c>
    </row>
    <row r="501" spans="1:13" x14ac:dyDescent="0.35">
      <c r="A501" s="1" t="s">
        <v>956</v>
      </c>
      <c r="B501" s="2">
        <v>46076</v>
      </c>
      <c r="C501" s="1" t="s">
        <v>649</v>
      </c>
      <c r="D501" s="1" t="s">
        <v>22</v>
      </c>
      <c r="E501" s="1" t="s">
        <v>50</v>
      </c>
      <c r="F501" s="1" t="s">
        <v>38</v>
      </c>
      <c r="G501" s="3">
        <v>0.90625</v>
      </c>
      <c r="H501" s="3">
        <v>0.90347222222222223</v>
      </c>
      <c r="I501" s="1">
        <v>-4</v>
      </c>
      <c r="J501" s="1">
        <v>6</v>
      </c>
      <c r="K501" s="1"/>
      <c r="L501" s="1" t="s">
        <v>19</v>
      </c>
      <c r="M501" s="1">
        <v>759</v>
      </c>
    </row>
    <row r="502" spans="1:13" x14ac:dyDescent="0.35">
      <c r="A502" s="1" t="s">
        <v>957</v>
      </c>
      <c r="B502" s="2">
        <v>46077</v>
      </c>
      <c r="C502" s="1" t="s">
        <v>958</v>
      </c>
      <c r="D502" s="1" t="s">
        <v>41</v>
      </c>
      <c r="E502" s="1" t="s">
        <v>16</v>
      </c>
      <c r="F502" s="1" t="s">
        <v>38</v>
      </c>
      <c r="G502" s="3">
        <v>0.29166666666666669</v>
      </c>
      <c r="H502" s="3">
        <v>0.28680555555555548</v>
      </c>
      <c r="I502" s="1">
        <v>-7</v>
      </c>
      <c r="J502" s="1">
        <v>-12</v>
      </c>
      <c r="K502" s="1" t="s">
        <v>18</v>
      </c>
      <c r="L502" s="1" t="s">
        <v>19</v>
      </c>
      <c r="M502" s="1">
        <v>1199</v>
      </c>
    </row>
    <row r="503" spans="1:13" x14ac:dyDescent="0.35">
      <c r="A503" s="1" t="s">
        <v>959</v>
      </c>
      <c r="B503" s="2">
        <v>46077</v>
      </c>
      <c r="C503" s="1" t="s">
        <v>960</v>
      </c>
      <c r="D503" s="1" t="s">
        <v>16</v>
      </c>
      <c r="E503" s="1" t="s">
        <v>44</v>
      </c>
      <c r="F503" s="1" t="s">
        <v>17</v>
      </c>
      <c r="G503" s="3">
        <v>0.44791666666666669</v>
      </c>
      <c r="H503" s="3">
        <v>0.4465277777777778</v>
      </c>
      <c r="I503" s="1">
        <v>-2</v>
      </c>
      <c r="J503" s="1">
        <v>1</v>
      </c>
      <c r="K503" s="1" t="s">
        <v>18</v>
      </c>
      <c r="L503" s="1" t="s">
        <v>19</v>
      </c>
      <c r="M503" s="1">
        <v>864</v>
      </c>
    </row>
    <row r="504" spans="1:13" x14ac:dyDescent="0.35">
      <c r="A504" s="1" t="s">
        <v>961</v>
      </c>
      <c r="B504" s="2">
        <v>46077</v>
      </c>
      <c r="C504" s="1" t="s">
        <v>962</v>
      </c>
      <c r="D504" s="1" t="s">
        <v>16</v>
      </c>
      <c r="E504" s="1" t="s">
        <v>27</v>
      </c>
      <c r="F504" s="1" t="s">
        <v>24</v>
      </c>
      <c r="G504" s="3">
        <v>0.63541666666666663</v>
      </c>
      <c r="H504" s="3">
        <v>0.64236111111111116</v>
      </c>
      <c r="I504" s="1">
        <v>10</v>
      </c>
      <c r="J504" s="1">
        <v>-1</v>
      </c>
      <c r="K504" s="1" t="s">
        <v>18</v>
      </c>
      <c r="L504" s="1" t="s">
        <v>19</v>
      </c>
      <c r="M504" s="1">
        <v>802</v>
      </c>
    </row>
    <row r="505" spans="1:13" x14ac:dyDescent="0.35">
      <c r="A505" s="1" t="s">
        <v>963</v>
      </c>
      <c r="B505" s="2">
        <v>46077</v>
      </c>
      <c r="C505" s="1" t="s">
        <v>251</v>
      </c>
      <c r="D505" s="1" t="s">
        <v>50</v>
      </c>
      <c r="E505" s="1" t="s">
        <v>16</v>
      </c>
      <c r="F505" s="1" t="s">
        <v>17</v>
      </c>
      <c r="G505" s="3">
        <v>0.67013888888888884</v>
      </c>
      <c r="H505" s="3">
        <v>0.66597222222222219</v>
      </c>
      <c r="I505" s="1">
        <v>-6</v>
      </c>
      <c r="J505" s="1">
        <v>-11</v>
      </c>
      <c r="K505" s="1" t="s">
        <v>18</v>
      </c>
      <c r="L505" s="1" t="s">
        <v>19</v>
      </c>
      <c r="M505" s="1">
        <v>606</v>
      </c>
    </row>
    <row r="506" spans="1:13" x14ac:dyDescent="0.35">
      <c r="A506" s="1" t="s">
        <v>964</v>
      </c>
      <c r="B506" s="2">
        <v>46077</v>
      </c>
      <c r="C506" s="1" t="s">
        <v>965</v>
      </c>
      <c r="D506" s="1" t="s">
        <v>15</v>
      </c>
      <c r="E506" s="1" t="s">
        <v>44</v>
      </c>
      <c r="F506" s="1" t="s">
        <v>17</v>
      </c>
      <c r="G506" s="3">
        <v>0.76041666666666663</v>
      </c>
      <c r="H506" s="3">
        <v>0.80208333333333337</v>
      </c>
      <c r="I506" s="1">
        <v>60</v>
      </c>
      <c r="J506" s="1">
        <v>48</v>
      </c>
      <c r="K506" s="1" t="s">
        <v>98</v>
      </c>
      <c r="L506" s="1" t="s">
        <v>19</v>
      </c>
      <c r="M506" s="1">
        <v>2606</v>
      </c>
    </row>
    <row r="507" spans="1:13" x14ac:dyDescent="0.35">
      <c r="A507" s="1" t="s">
        <v>966</v>
      </c>
      <c r="B507" s="2">
        <v>46077</v>
      </c>
      <c r="C507" s="1" t="s">
        <v>967</v>
      </c>
      <c r="D507" s="1" t="s">
        <v>41</v>
      </c>
      <c r="E507" s="1" t="s">
        <v>50</v>
      </c>
      <c r="F507" s="1" t="s">
        <v>28</v>
      </c>
      <c r="G507" s="3">
        <v>0.82638888888888884</v>
      </c>
      <c r="H507" s="3">
        <v>0.82847222222222228</v>
      </c>
      <c r="I507" s="1">
        <v>3</v>
      </c>
      <c r="J507" s="1">
        <v>6</v>
      </c>
      <c r="K507" s="1" t="s">
        <v>18</v>
      </c>
      <c r="L507" s="1" t="s">
        <v>19</v>
      </c>
      <c r="M507" s="1">
        <v>596</v>
      </c>
    </row>
    <row r="508" spans="1:13" x14ac:dyDescent="0.35">
      <c r="A508" s="1" t="s">
        <v>968</v>
      </c>
      <c r="B508" s="2">
        <v>46078</v>
      </c>
      <c r="C508" s="1" t="s">
        <v>969</v>
      </c>
      <c r="D508" s="1" t="s">
        <v>22</v>
      </c>
      <c r="E508" s="1" t="s">
        <v>41</v>
      </c>
      <c r="F508" s="1" t="s">
        <v>24</v>
      </c>
      <c r="G508" s="3">
        <v>0.38541666666666669</v>
      </c>
      <c r="H508" s="3">
        <v>0.38333333333333341</v>
      </c>
      <c r="I508" s="1">
        <v>-3</v>
      </c>
      <c r="J508" s="1">
        <v>-13</v>
      </c>
      <c r="K508" s="1" t="s">
        <v>18</v>
      </c>
      <c r="L508" s="1" t="s">
        <v>19</v>
      </c>
      <c r="M508" s="1">
        <v>1092</v>
      </c>
    </row>
    <row r="509" spans="1:13" x14ac:dyDescent="0.35">
      <c r="A509" s="1" t="s">
        <v>970</v>
      </c>
      <c r="B509" s="2">
        <v>46078</v>
      </c>
      <c r="C509" s="1" t="s">
        <v>971</v>
      </c>
      <c r="D509" s="1" t="s">
        <v>15</v>
      </c>
      <c r="E509" s="1" t="s">
        <v>51</v>
      </c>
      <c r="F509" s="1" t="s">
        <v>24</v>
      </c>
      <c r="G509" s="3">
        <v>0.70486111111111116</v>
      </c>
      <c r="H509" s="3">
        <v>0.70972222222222225</v>
      </c>
      <c r="I509" s="1">
        <v>7</v>
      </c>
      <c r="J509" s="1">
        <v>15</v>
      </c>
      <c r="K509" s="1"/>
      <c r="L509" s="1" t="s">
        <v>19</v>
      </c>
      <c r="M509" s="1">
        <v>1232</v>
      </c>
    </row>
    <row r="510" spans="1:13" x14ac:dyDescent="0.35">
      <c r="A510" s="1" t="s">
        <v>972</v>
      </c>
      <c r="B510" s="2">
        <v>46078</v>
      </c>
      <c r="C510" s="1" t="s">
        <v>973</v>
      </c>
      <c r="D510" s="1" t="s">
        <v>31</v>
      </c>
      <c r="E510" s="1" t="s">
        <v>44</v>
      </c>
      <c r="F510" s="1" t="s">
        <v>17</v>
      </c>
      <c r="G510" s="3">
        <v>0.76736111111111116</v>
      </c>
      <c r="H510" s="3">
        <v>0.77361111111111114</v>
      </c>
      <c r="I510" s="1">
        <v>9</v>
      </c>
      <c r="J510" s="1">
        <v>-2</v>
      </c>
      <c r="K510" s="1" t="s">
        <v>18</v>
      </c>
      <c r="L510" s="1" t="s">
        <v>19</v>
      </c>
      <c r="M510" s="1">
        <v>2375</v>
      </c>
    </row>
    <row r="511" spans="1:13" x14ac:dyDescent="0.35">
      <c r="A511" s="1" t="s">
        <v>974</v>
      </c>
      <c r="B511" s="2">
        <v>46078</v>
      </c>
      <c r="C511" s="1" t="s">
        <v>975</v>
      </c>
      <c r="D511" s="1" t="s">
        <v>23</v>
      </c>
      <c r="E511" s="1" t="s">
        <v>22</v>
      </c>
      <c r="F511" s="1" t="s">
        <v>28</v>
      </c>
      <c r="G511" s="3">
        <v>0.78125</v>
      </c>
      <c r="H511" s="3">
        <v>0.80138888888888893</v>
      </c>
      <c r="I511" s="1">
        <v>29</v>
      </c>
      <c r="J511" s="1">
        <v>28</v>
      </c>
      <c r="K511" s="1" t="s">
        <v>129</v>
      </c>
      <c r="L511" s="1" t="s">
        <v>19</v>
      </c>
      <c r="M511" s="1">
        <v>1622</v>
      </c>
    </row>
    <row r="512" spans="1:13" x14ac:dyDescent="0.35">
      <c r="A512" s="1" t="s">
        <v>976</v>
      </c>
      <c r="B512" s="2">
        <v>46080</v>
      </c>
      <c r="C512" s="1" t="s">
        <v>125</v>
      </c>
      <c r="D512" s="1" t="s">
        <v>50</v>
      </c>
      <c r="E512" s="1" t="s">
        <v>15</v>
      </c>
      <c r="F512" s="1" t="s">
        <v>38</v>
      </c>
      <c r="G512" s="3">
        <v>0.3263888888888889</v>
      </c>
      <c r="H512" s="3">
        <v>0.35486111111111113</v>
      </c>
      <c r="I512" s="1">
        <v>41</v>
      </c>
      <c r="J512" s="1">
        <v>39</v>
      </c>
      <c r="K512" s="1" t="s">
        <v>98</v>
      </c>
      <c r="L512" s="1" t="s">
        <v>19</v>
      </c>
      <c r="M512" s="1">
        <v>1942</v>
      </c>
    </row>
    <row r="513" spans="1:13" x14ac:dyDescent="0.35">
      <c r="A513" s="1" t="s">
        <v>977</v>
      </c>
      <c r="B513" s="2">
        <v>46080</v>
      </c>
      <c r="C513" s="1" t="s">
        <v>978</v>
      </c>
      <c r="D513" s="1" t="s">
        <v>15</v>
      </c>
      <c r="E513" s="1" t="s">
        <v>50</v>
      </c>
      <c r="F513" s="1" t="s">
        <v>38</v>
      </c>
      <c r="G513" s="3">
        <v>0.47569444444444442</v>
      </c>
      <c r="H513" s="1"/>
      <c r="I513" s="1"/>
      <c r="J513" s="1"/>
      <c r="K513" s="1" t="s">
        <v>149</v>
      </c>
      <c r="L513" s="1" t="s">
        <v>254</v>
      </c>
      <c r="M513" s="1">
        <v>1942</v>
      </c>
    </row>
    <row r="514" spans="1:13" x14ac:dyDescent="0.35">
      <c r="A514" s="1" t="s">
        <v>979</v>
      </c>
      <c r="B514" s="2">
        <v>46080</v>
      </c>
      <c r="C514" s="1" t="s">
        <v>424</v>
      </c>
      <c r="D514" s="1" t="s">
        <v>23</v>
      </c>
      <c r="E514" s="1" t="s">
        <v>16</v>
      </c>
      <c r="F514" s="1" t="s">
        <v>17</v>
      </c>
      <c r="G514" s="3">
        <v>0.72569444444444442</v>
      </c>
      <c r="H514" s="3">
        <v>0.72916666666666663</v>
      </c>
      <c r="I514" s="1">
        <v>5</v>
      </c>
      <c r="J514" s="1">
        <v>10</v>
      </c>
      <c r="K514" s="1" t="s">
        <v>18</v>
      </c>
      <c r="L514" s="1" t="s">
        <v>19</v>
      </c>
      <c r="M514" s="1">
        <v>886</v>
      </c>
    </row>
    <row r="515" spans="1:13" x14ac:dyDescent="0.35">
      <c r="A515" s="1" t="s">
        <v>980</v>
      </c>
      <c r="B515" s="2">
        <v>46080</v>
      </c>
      <c r="C515" s="1" t="s">
        <v>981</v>
      </c>
      <c r="D515" s="1" t="s">
        <v>41</v>
      </c>
      <c r="E515" s="1" t="s">
        <v>16</v>
      </c>
      <c r="F515" s="1" t="s">
        <v>28</v>
      </c>
      <c r="G515" s="3">
        <v>0.74305555555555558</v>
      </c>
      <c r="H515" s="3">
        <v>0.78055555555555556</v>
      </c>
      <c r="I515" s="1">
        <v>54</v>
      </c>
      <c r="J515" s="1">
        <v>48</v>
      </c>
      <c r="K515" s="1" t="s">
        <v>54</v>
      </c>
      <c r="L515" s="1" t="s">
        <v>19</v>
      </c>
      <c r="M515" s="1">
        <v>1199</v>
      </c>
    </row>
    <row r="516" spans="1:13" x14ac:dyDescent="0.35">
      <c r="A516" s="1" t="s">
        <v>982</v>
      </c>
      <c r="B516" s="2">
        <v>46081</v>
      </c>
      <c r="C516" s="1" t="s">
        <v>983</v>
      </c>
      <c r="D516" s="1" t="s">
        <v>78</v>
      </c>
      <c r="E516" s="1" t="s">
        <v>27</v>
      </c>
      <c r="F516" s="1" t="s">
        <v>38</v>
      </c>
      <c r="G516" s="3">
        <v>0.53125</v>
      </c>
      <c r="H516" s="3">
        <v>0.53680555555555554</v>
      </c>
      <c r="I516" s="1">
        <v>8</v>
      </c>
      <c r="J516" s="1">
        <v>4</v>
      </c>
      <c r="K516" s="1" t="s">
        <v>18</v>
      </c>
      <c r="L516" s="1" t="s">
        <v>19</v>
      </c>
      <c r="M516" s="1">
        <v>866</v>
      </c>
    </row>
    <row r="517" spans="1:13" x14ac:dyDescent="0.35">
      <c r="A517" s="1" t="s">
        <v>984</v>
      </c>
      <c r="B517" s="2">
        <v>46081</v>
      </c>
      <c r="C517" s="1" t="s">
        <v>583</v>
      </c>
      <c r="D517" s="1" t="s">
        <v>41</v>
      </c>
      <c r="E517" s="1" t="s">
        <v>47</v>
      </c>
      <c r="F517" s="1" t="s">
        <v>24</v>
      </c>
      <c r="G517" s="3">
        <v>0.71875</v>
      </c>
      <c r="H517" s="1"/>
      <c r="I517" s="1"/>
      <c r="J517" s="1"/>
      <c r="K517" s="1" t="s">
        <v>129</v>
      </c>
      <c r="L517" s="1" t="s">
        <v>254</v>
      </c>
      <c r="M517" s="1">
        <v>2582</v>
      </c>
    </row>
    <row r="518" spans="1:13" x14ac:dyDescent="0.35">
      <c r="A518" s="1" t="s">
        <v>985</v>
      </c>
      <c r="B518" s="2">
        <v>46081</v>
      </c>
      <c r="C518" s="1" t="s">
        <v>986</v>
      </c>
      <c r="D518" s="1" t="s">
        <v>15</v>
      </c>
      <c r="E518" s="1" t="s">
        <v>78</v>
      </c>
      <c r="F518" s="1" t="s">
        <v>38</v>
      </c>
      <c r="G518" s="3">
        <v>0.74305555555555558</v>
      </c>
      <c r="H518" s="3">
        <v>0.76458333333333328</v>
      </c>
      <c r="I518" s="1">
        <v>31</v>
      </c>
      <c r="J518" s="1">
        <v>31</v>
      </c>
      <c r="K518" s="1" t="s">
        <v>60</v>
      </c>
      <c r="L518" s="1" t="s">
        <v>19</v>
      </c>
      <c r="M518" s="1">
        <v>370</v>
      </c>
    </row>
    <row r="519" spans="1:13" x14ac:dyDescent="0.35">
      <c r="A519" s="1" t="s">
        <v>987</v>
      </c>
      <c r="B519" s="2">
        <v>46082</v>
      </c>
      <c r="C519" s="1" t="s">
        <v>988</v>
      </c>
      <c r="D519" s="1" t="s">
        <v>27</v>
      </c>
      <c r="E519" s="1" t="s">
        <v>23</v>
      </c>
      <c r="F519" s="1" t="s">
        <v>17</v>
      </c>
      <c r="G519" s="3">
        <v>0.27430555555555558</v>
      </c>
      <c r="H519" s="3">
        <v>0.27638888888888891</v>
      </c>
      <c r="I519" s="1">
        <v>3</v>
      </c>
      <c r="J519" s="1">
        <v>-5</v>
      </c>
      <c r="K519" s="1" t="s">
        <v>18</v>
      </c>
      <c r="L519" s="1" t="s">
        <v>19</v>
      </c>
      <c r="M519" s="1">
        <v>641</v>
      </c>
    </row>
    <row r="520" spans="1:13" x14ac:dyDescent="0.35">
      <c r="A520" s="1" t="s">
        <v>989</v>
      </c>
      <c r="B520" s="2">
        <v>46082</v>
      </c>
      <c r="C520" s="1" t="s">
        <v>139</v>
      </c>
      <c r="D520" s="1" t="s">
        <v>16</v>
      </c>
      <c r="E520" s="1" t="s">
        <v>47</v>
      </c>
      <c r="F520" s="1" t="s">
        <v>24</v>
      </c>
      <c r="G520" s="3">
        <v>0.3923611111111111</v>
      </c>
      <c r="H520" s="3">
        <v>0.39444444444444438</v>
      </c>
      <c r="I520" s="1">
        <v>3</v>
      </c>
      <c r="J520" s="1">
        <v>-9</v>
      </c>
      <c r="K520" s="1"/>
      <c r="L520" s="1" t="s">
        <v>19</v>
      </c>
      <c r="M520" s="1">
        <v>1842</v>
      </c>
    </row>
    <row r="521" spans="1:13" x14ac:dyDescent="0.35">
      <c r="A521" s="1" t="s">
        <v>990</v>
      </c>
      <c r="B521" s="2">
        <v>46082</v>
      </c>
      <c r="C521" s="1" t="s">
        <v>991</v>
      </c>
      <c r="D521" s="1" t="s">
        <v>37</v>
      </c>
      <c r="E521" s="1" t="s">
        <v>16</v>
      </c>
      <c r="F521" s="1" t="s">
        <v>17</v>
      </c>
      <c r="G521" s="3">
        <v>0.41666666666666669</v>
      </c>
      <c r="H521" s="3">
        <v>0.41597222222222219</v>
      </c>
      <c r="I521" s="1">
        <v>-1</v>
      </c>
      <c r="J521" s="1">
        <v>-10</v>
      </c>
      <c r="K521" s="1" t="s">
        <v>18</v>
      </c>
      <c r="L521" s="1" t="s">
        <v>19</v>
      </c>
      <c r="M521" s="1">
        <v>1717</v>
      </c>
    </row>
    <row r="522" spans="1:13" x14ac:dyDescent="0.35">
      <c r="A522" s="1" t="s">
        <v>992</v>
      </c>
      <c r="B522" s="2">
        <v>46082</v>
      </c>
      <c r="C522" s="1" t="s">
        <v>605</v>
      </c>
      <c r="D522" s="1" t="s">
        <v>806</v>
      </c>
      <c r="E522" s="1" t="s">
        <v>16</v>
      </c>
      <c r="F522" s="1" t="s">
        <v>28</v>
      </c>
      <c r="G522" s="3">
        <v>0.71875</v>
      </c>
      <c r="H522" s="3">
        <v>0.73611111111111116</v>
      </c>
      <c r="I522" s="1">
        <v>25</v>
      </c>
      <c r="J522" s="1">
        <v>16</v>
      </c>
      <c r="K522" s="1" t="s">
        <v>98</v>
      </c>
      <c r="L522" s="1" t="s">
        <v>19</v>
      </c>
      <c r="M522" s="1">
        <v>1742</v>
      </c>
    </row>
    <row r="523" spans="1:13" x14ac:dyDescent="0.35">
      <c r="A523" s="1" t="s">
        <v>993</v>
      </c>
      <c r="B523" s="2">
        <v>46083</v>
      </c>
      <c r="C523" s="1" t="s">
        <v>994</v>
      </c>
      <c r="D523" s="1" t="s">
        <v>78</v>
      </c>
      <c r="E523" s="1" t="s">
        <v>37</v>
      </c>
      <c r="F523" s="1" t="s">
        <v>38</v>
      </c>
      <c r="G523" s="3">
        <v>0.30902777777777779</v>
      </c>
      <c r="H523" s="3">
        <v>0.3125</v>
      </c>
      <c r="I523" s="1">
        <v>5</v>
      </c>
      <c r="J523" s="1">
        <v>2</v>
      </c>
      <c r="K523" s="1" t="s">
        <v>18</v>
      </c>
      <c r="L523" s="1" t="s">
        <v>19</v>
      </c>
      <c r="M523" s="1">
        <v>1108</v>
      </c>
    </row>
    <row r="524" spans="1:13" x14ac:dyDescent="0.35">
      <c r="A524" s="1" t="s">
        <v>995</v>
      </c>
      <c r="B524" s="2">
        <v>46083</v>
      </c>
      <c r="C524" s="1" t="s">
        <v>996</v>
      </c>
      <c r="D524" s="1" t="s">
        <v>50</v>
      </c>
      <c r="E524" s="1" t="s">
        <v>27</v>
      </c>
      <c r="F524" s="1" t="s">
        <v>17</v>
      </c>
      <c r="G524" s="3">
        <v>0.46875</v>
      </c>
      <c r="H524" s="3">
        <v>0.47152777777777782</v>
      </c>
      <c r="I524" s="1">
        <v>4</v>
      </c>
      <c r="J524" s="1">
        <v>9</v>
      </c>
      <c r="K524" s="1" t="s">
        <v>18</v>
      </c>
      <c r="L524" s="1" t="s">
        <v>19</v>
      </c>
      <c r="M524" s="1">
        <v>730</v>
      </c>
    </row>
    <row r="525" spans="1:13" x14ac:dyDescent="0.35">
      <c r="A525" s="1" t="s">
        <v>997</v>
      </c>
      <c r="B525" s="2">
        <v>46083</v>
      </c>
      <c r="C525" s="1" t="s">
        <v>998</v>
      </c>
      <c r="D525" s="1" t="s">
        <v>15</v>
      </c>
      <c r="E525" s="1" t="s">
        <v>50</v>
      </c>
      <c r="F525" s="1" t="s">
        <v>24</v>
      </c>
      <c r="G525" s="3">
        <v>0.71180555555555558</v>
      </c>
      <c r="H525" s="3">
        <v>0.70833333333333337</v>
      </c>
      <c r="I525" s="1">
        <v>-5</v>
      </c>
      <c r="J525" s="1">
        <v>4</v>
      </c>
      <c r="K525" s="1" t="s">
        <v>18</v>
      </c>
      <c r="L525" s="1" t="s">
        <v>19</v>
      </c>
      <c r="M525" s="1">
        <v>1942</v>
      </c>
    </row>
    <row r="526" spans="1:13" x14ac:dyDescent="0.35">
      <c r="A526" s="1" t="s">
        <v>999</v>
      </c>
      <c r="B526" s="2">
        <v>46083</v>
      </c>
      <c r="C526" s="1" t="s">
        <v>1000</v>
      </c>
      <c r="D526" s="1" t="s">
        <v>23</v>
      </c>
      <c r="E526" s="1" t="s">
        <v>50</v>
      </c>
      <c r="F526" s="1" t="s">
        <v>38</v>
      </c>
      <c r="G526" s="3">
        <v>0.73611111111111116</v>
      </c>
      <c r="H526" s="3">
        <v>0.82361111111111107</v>
      </c>
      <c r="I526" s="1">
        <v>126</v>
      </c>
      <c r="J526" s="1">
        <v>127</v>
      </c>
      <c r="K526" s="1" t="s">
        <v>54</v>
      </c>
      <c r="L526" s="1" t="s">
        <v>19</v>
      </c>
      <c r="M526" s="1">
        <v>1197</v>
      </c>
    </row>
    <row r="527" spans="1:13" x14ac:dyDescent="0.35">
      <c r="A527" s="1" t="s">
        <v>1001</v>
      </c>
      <c r="B527" s="2">
        <v>46083</v>
      </c>
      <c r="C527" s="1" t="s">
        <v>381</v>
      </c>
      <c r="D527" s="1" t="s">
        <v>27</v>
      </c>
      <c r="E527" s="1" t="s">
        <v>50</v>
      </c>
      <c r="F527" s="1" t="s">
        <v>17</v>
      </c>
      <c r="G527" s="3">
        <v>0.74305555555555558</v>
      </c>
      <c r="H527" s="3">
        <v>0.74375000000000002</v>
      </c>
      <c r="I527" s="1">
        <v>1</v>
      </c>
      <c r="J527" s="1">
        <v>4</v>
      </c>
      <c r="K527" s="1"/>
      <c r="L527" s="1" t="s">
        <v>19</v>
      </c>
      <c r="M527" s="1">
        <v>730</v>
      </c>
    </row>
    <row r="528" spans="1:13" x14ac:dyDescent="0.35">
      <c r="A528" s="1" t="s">
        <v>1002</v>
      </c>
      <c r="B528" s="2">
        <v>46084</v>
      </c>
      <c r="C528" s="1" t="s">
        <v>1003</v>
      </c>
      <c r="D528" s="1" t="s">
        <v>555</v>
      </c>
      <c r="E528" s="1" t="s">
        <v>15</v>
      </c>
      <c r="F528" s="1" t="s">
        <v>24</v>
      </c>
      <c r="G528" s="3">
        <v>0.32291666666666669</v>
      </c>
      <c r="H528" s="3">
        <v>0.31944444444444442</v>
      </c>
      <c r="I528" s="1">
        <v>-5</v>
      </c>
      <c r="J528" s="1">
        <v>-6</v>
      </c>
      <c r="K528" s="1" t="s">
        <v>18</v>
      </c>
      <c r="L528" s="1" t="s">
        <v>19</v>
      </c>
      <c r="M528" s="1">
        <v>1742</v>
      </c>
    </row>
    <row r="529" spans="1:13" x14ac:dyDescent="0.35">
      <c r="A529" s="1" t="s">
        <v>1004</v>
      </c>
      <c r="B529" s="2">
        <v>46084</v>
      </c>
      <c r="C529" s="1" t="s">
        <v>1005</v>
      </c>
      <c r="D529" s="1" t="s">
        <v>27</v>
      </c>
      <c r="E529" s="1" t="s">
        <v>50</v>
      </c>
      <c r="F529" s="1" t="s">
        <v>17</v>
      </c>
      <c r="G529" s="3">
        <v>0.51736111111111116</v>
      </c>
      <c r="H529" s="3">
        <v>0.54305555555555551</v>
      </c>
      <c r="I529" s="1">
        <v>37</v>
      </c>
      <c r="J529" s="1">
        <v>32</v>
      </c>
      <c r="K529" s="1" t="s">
        <v>129</v>
      </c>
      <c r="L529" s="1" t="s">
        <v>19</v>
      </c>
      <c r="M529" s="1">
        <v>730</v>
      </c>
    </row>
    <row r="530" spans="1:13" x14ac:dyDescent="0.35">
      <c r="A530" s="1" t="s">
        <v>1006</v>
      </c>
      <c r="B530" s="2">
        <v>46085</v>
      </c>
      <c r="C530" s="1" t="s">
        <v>994</v>
      </c>
      <c r="D530" s="1" t="s">
        <v>23</v>
      </c>
      <c r="E530" s="1" t="s">
        <v>22</v>
      </c>
      <c r="F530" s="1" t="s">
        <v>38</v>
      </c>
      <c r="G530" s="3">
        <v>0.35416666666666669</v>
      </c>
      <c r="H530" s="3">
        <v>0.35138888888888892</v>
      </c>
      <c r="I530" s="1">
        <v>-4</v>
      </c>
      <c r="J530" s="1">
        <v>-11</v>
      </c>
      <c r="K530" s="1" t="s">
        <v>18</v>
      </c>
      <c r="L530" s="1" t="s">
        <v>19</v>
      </c>
      <c r="M530" s="1">
        <v>1622</v>
      </c>
    </row>
    <row r="531" spans="1:13" x14ac:dyDescent="0.35">
      <c r="A531" s="1" t="s">
        <v>1007</v>
      </c>
      <c r="B531" s="2">
        <v>46085</v>
      </c>
      <c r="C531" s="1" t="s">
        <v>770</v>
      </c>
      <c r="D531" s="1" t="s">
        <v>226</v>
      </c>
      <c r="E531" s="1" t="s">
        <v>15</v>
      </c>
      <c r="F531" s="1" t="s">
        <v>17</v>
      </c>
      <c r="G531" s="3">
        <v>0.4826388888888889</v>
      </c>
      <c r="H531" s="3">
        <v>0.47986111111111113</v>
      </c>
      <c r="I531" s="1">
        <v>-4</v>
      </c>
      <c r="J531" s="1">
        <v>-1</v>
      </c>
      <c r="K531" s="1" t="s">
        <v>18</v>
      </c>
      <c r="L531" s="1" t="s">
        <v>19</v>
      </c>
      <c r="M531" s="1">
        <v>861</v>
      </c>
    </row>
    <row r="532" spans="1:13" x14ac:dyDescent="0.35">
      <c r="A532" s="1" t="s">
        <v>1007</v>
      </c>
      <c r="B532" s="2">
        <v>46085</v>
      </c>
      <c r="C532" s="1" t="s">
        <v>770</v>
      </c>
      <c r="D532" s="1" t="s">
        <v>226</v>
      </c>
      <c r="E532" s="1" t="s">
        <v>15</v>
      </c>
      <c r="F532" s="1" t="s">
        <v>17</v>
      </c>
      <c r="G532" s="3">
        <v>0.4826388888888889</v>
      </c>
      <c r="H532" s="3">
        <v>0.47986111111111113</v>
      </c>
      <c r="I532" s="1">
        <v>-4</v>
      </c>
      <c r="J532" s="1">
        <v>-1</v>
      </c>
      <c r="K532" s="1" t="s">
        <v>18</v>
      </c>
      <c r="L532" s="1" t="s">
        <v>19</v>
      </c>
      <c r="M532" s="1">
        <v>861</v>
      </c>
    </row>
    <row r="533" spans="1:13" x14ac:dyDescent="0.35">
      <c r="A533" s="1" t="s">
        <v>1008</v>
      </c>
      <c r="B533" s="2">
        <v>46085</v>
      </c>
      <c r="C533" s="1" t="s">
        <v>30</v>
      </c>
      <c r="D533" s="1" t="s">
        <v>27</v>
      </c>
      <c r="E533" s="1" t="s">
        <v>50</v>
      </c>
      <c r="F533" s="1" t="s">
        <v>17</v>
      </c>
      <c r="G533" s="3">
        <v>0.71875</v>
      </c>
      <c r="H533" s="3">
        <v>0.71527777777777779</v>
      </c>
      <c r="I533" s="1">
        <v>-5</v>
      </c>
      <c r="J533" s="1">
        <v>-9</v>
      </c>
      <c r="K533" s="1"/>
      <c r="L533" s="1" t="s">
        <v>19</v>
      </c>
      <c r="M533" s="1">
        <v>730</v>
      </c>
    </row>
    <row r="534" spans="1:13" x14ac:dyDescent="0.35">
      <c r="A534" s="1" t="s">
        <v>1009</v>
      </c>
      <c r="B534" s="2">
        <v>46085</v>
      </c>
      <c r="C534" s="1" t="s">
        <v>1010</v>
      </c>
      <c r="D534" s="1" t="s">
        <v>15</v>
      </c>
      <c r="E534" s="1" t="s">
        <v>41</v>
      </c>
      <c r="F534" s="1" t="s">
        <v>17</v>
      </c>
      <c r="G534" s="3">
        <v>0.92708333333333337</v>
      </c>
      <c r="H534" s="3">
        <v>0.9291666666666667</v>
      </c>
      <c r="I534" s="1">
        <v>3</v>
      </c>
      <c r="J534" s="1">
        <v>9</v>
      </c>
      <c r="K534" s="1" t="s">
        <v>18</v>
      </c>
      <c r="L534" s="1" t="s">
        <v>19</v>
      </c>
      <c r="M534" s="1">
        <v>2338</v>
      </c>
    </row>
    <row r="535" spans="1:13" x14ac:dyDescent="0.35">
      <c r="A535" s="1" t="s">
        <v>1011</v>
      </c>
      <c r="B535" s="2">
        <v>46087</v>
      </c>
      <c r="C535" s="1" t="s">
        <v>1012</v>
      </c>
      <c r="D535" s="1" t="s">
        <v>23</v>
      </c>
      <c r="E535" s="1" t="s">
        <v>50</v>
      </c>
      <c r="F535" s="1" t="s">
        <v>24</v>
      </c>
      <c r="G535" s="3">
        <v>0.51041666666666663</v>
      </c>
      <c r="H535" s="3">
        <v>0.5131944444444444</v>
      </c>
      <c r="I535" s="1">
        <v>4</v>
      </c>
      <c r="J535" s="1">
        <v>8</v>
      </c>
      <c r="K535" s="1" t="s">
        <v>18</v>
      </c>
      <c r="L535" s="1" t="s">
        <v>19</v>
      </c>
      <c r="M535" s="1">
        <v>1197</v>
      </c>
    </row>
    <row r="536" spans="1:13" x14ac:dyDescent="0.35">
      <c r="A536" s="1" t="s">
        <v>1013</v>
      </c>
      <c r="B536" s="2">
        <v>46088</v>
      </c>
      <c r="C536" s="1" t="s">
        <v>1014</v>
      </c>
      <c r="D536" s="1" t="s">
        <v>37</v>
      </c>
      <c r="E536" s="1" t="s">
        <v>15</v>
      </c>
      <c r="F536" s="1" t="s">
        <v>17</v>
      </c>
      <c r="G536" s="3">
        <v>0.31944444444444442</v>
      </c>
      <c r="H536" s="3">
        <v>0.3215277777777778</v>
      </c>
      <c r="I536" s="1">
        <v>3</v>
      </c>
      <c r="J536" s="1">
        <v>-8</v>
      </c>
      <c r="K536" s="1" t="s">
        <v>18</v>
      </c>
      <c r="L536" s="1" t="s">
        <v>19</v>
      </c>
      <c r="M536" s="1">
        <v>955</v>
      </c>
    </row>
    <row r="537" spans="1:13" x14ac:dyDescent="0.35">
      <c r="A537" s="1" t="s">
        <v>1015</v>
      </c>
      <c r="B537" s="2">
        <v>46088</v>
      </c>
      <c r="C537" s="1" t="s">
        <v>188</v>
      </c>
      <c r="D537" s="1" t="s">
        <v>50</v>
      </c>
      <c r="E537" s="1" t="s">
        <v>78</v>
      </c>
      <c r="F537" s="1" t="s">
        <v>38</v>
      </c>
      <c r="G537" s="3">
        <v>0.4861111111111111</v>
      </c>
      <c r="H537" s="3">
        <v>0.49791666666666667</v>
      </c>
      <c r="I537" s="1">
        <v>17</v>
      </c>
      <c r="J537" s="1">
        <v>2</v>
      </c>
      <c r="K537" s="1" t="s">
        <v>98</v>
      </c>
      <c r="L537" s="1" t="s">
        <v>19</v>
      </c>
      <c r="M537" s="1">
        <v>1584</v>
      </c>
    </row>
    <row r="538" spans="1:13" x14ac:dyDescent="0.35">
      <c r="A538" s="1" t="s">
        <v>1016</v>
      </c>
      <c r="B538" s="2">
        <v>46089</v>
      </c>
      <c r="C538" s="1" t="s">
        <v>1017</v>
      </c>
      <c r="D538" s="1" t="s">
        <v>15</v>
      </c>
      <c r="E538" s="1" t="s">
        <v>27</v>
      </c>
      <c r="F538" s="1" t="s">
        <v>24</v>
      </c>
      <c r="G538" s="3">
        <v>0.47916666666666669</v>
      </c>
      <c r="H538" s="3">
        <v>0.47986111111111113</v>
      </c>
      <c r="I538" s="1">
        <v>1</v>
      </c>
      <c r="J538" s="1">
        <v>4</v>
      </c>
      <c r="K538" s="1" t="s">
        <v>18</v>
      </c>
      <c r="L538" s="1" t="s">
        <v>19</v>
      </c>
      <c r="M538" s="1">
        <v>1232</v>
      </c>
    </row>
    <row r="539" spans="1:13" x14ac:dyDescent="0.35">
      <c r="A539" s="1" t="s">
        <v>1018</v>
      </c>
      <c r="B539" s="2">
        <v>46090</v>
      </c>
      <c r="C539" s="1" t="s">
        <v>1019</v>
      </c>
      <c r="D539" s="1" t="s">
        <v>41</v>
      </c>
      <c r="E539" s="1" t="s">
        <v>78</v>
      </c>
      <c r="F539" s="1" t="s">
        <v>17</v>
      </c>
      <c r="G539" s="3">
        <v>0.77083333333333337</v>
      </c>
      <c r="H539" s="3">
        <v>0.84236111111111112</v>
      </c>
      <c r="I539" s="1">
        <v>103</v>
      </c>
      <c r="J539" s="1">
        <v>100</v>
      </c>
      <c r="K539" s="1" t="s">
        <v>1020</v>
      </c>
      <c r="L539" s="1" t="s">
        <v>19</v>
      </c>
      <c r="M539" s="1">
        <v>1969</v>
      </c>
    </row>
    <row r="540" spans="1:13" x14ac:dyDescent="0.35">
      <c r="A540" s="1" t="s">
        <v>1021</v>
      </c>
      <c r="B540" s="2">
        <v>46091</v>
      </c>
      <c r="C540" s="1" t="s">
        <v>596</v>
      </c>
      <c r="D540" s="1" t="s">
        <v>22</v>
      </c>
      <c r="E540" s="1" t="s">
        <v>23</v>
      </c>
      <c r="F540" s="1" t="s">
        <v>24</v>
      </c>
      <c r="G540" s="3">
        <v>0.59027777777777779</v>
      </c>
      <c r="H540" s="3">
        <v>0.59861111111111109</v>
      </c>
      <c r="I540" s="1">
        <v>12</v>
      </c>
      <c r="J540" s="1">
        <v>13</v>
      </c>
      <c r="K540" s="1" t="s">
        <v>18</v>
      </c>
      <c r="L540" s="1" t="s">
        <v>19</v>
      </c>
      <c r="M540" s="1">
        <v>1622</v>
      </c>
    </row>
    <row r="541" spans="1:13" x14ac:dyDescent="0.35">
      <c r="A541" s="1" t="s">
        <v>1022</v>
      </c>
      <c r="B541" s="2">
        <v>46091</v>
      </c>
      <c r="C541" s="1" t="s">
        <v>494</v>
      </c>
      <c r="D541" s="1" t="s">
        <v>27</v>
      </c>
      <c r="E541" s="1" t="s">
        <v>47</v>
      </c>
      <c r="F541" s="1" t="s">
        <v>17</v>
      </c>
      <c r="G541" s="3">
        <v>0.79513888888888884</v>
      </c>
      <c r="H541" s="3">
        <v>0.7993055555555556</v>
      </c>
      <c r="I541" s="1">
        <v>6</v>
      </c>
      <c r="J541" s="1">
        <v>8</v>
      </c>
      <c r="K541" s="1"/>
      <c r="L541" s="1" t="s">
        <v>19</v>
      </c>
      <c r="M541" s="1">
        <v>1462</v>
      </c>
    </row>
    <row r="542" spans="1:13" x14ac:dyDescent="0.35">
      <c r="A542" s="1" t="s">
        <v>1023</v>
      </c>
      <c r="B542" s="2">
        <v>46092</v>
      </c>
      <c r="C542" s="1" t="s">
        <v>1024</v>
      </c>
      <c r="D542" s="1" t="s">
        <v>79</v>
      </c>
      <c r="E542" s="1" t="s">
        <v>588</v>
      </c>
      <c r="F542" s="1" t="s">
        <v>17</v>
      </c>
      <c r="G542" s="3">
        <v>0.39930555555555558</v>
      </c>
      <c r="H542" s="3">
        <v>0.39583333333333331</v>
      </c>
      <c r="I542" s="1">
        <v>-5</v>
      </c>
      <c r="J542" s="1">
        <v>-3</v>
      </c>
      <c r="K542" s="1"/>
      <c r="L542" s="1" t="s">
        <v>19</v>
      </c>
      <c r="M542" s="1">
        <v>730</v>
      </c>
    </row>
    <row r="543" spans="1:13" x14ac:dyDescent="0.35">
      <c r="A543" s="1" t="s">
        <v>1025</v>
      </c>
      <c r="B543" s="2">
        <v>46092</v>
      </c>
      <c r="C543" s="1" t="s">
        <v>539</v>
      </c>
      <c r="D543" s="1" t="s">
        <v>22</v>
      </c>
      <c r="E543" s="1" t="s">
        <v>15</v>
      </c>
      <c r="F543" s="1" t="s">
        <v>17</v>
      </c>
      <c r="G543" s="3">
        <v>0.49305555555555558</v>
      </c>
      <c r="H543" s="3">
        <v>0.49166666666666659</v>
      </c>
      <c r="I543" s="1">
        <v>-2</v>
      </c>
      <c r="J543" s="1">
        <v>0</v>
      </c>
      <c r="K543" s="1" t="s">
        <v>18</v>
      </c>
      <c r="L543" s="1" t="s">
        <v>19</v>
      </c>
      <c r="M543" s="1">
        <v>2470</v>
      </c>
    </row>
    <row r="544" spans="1:13" x14ac:dyDescent="0.35">
      <c r="A544" s="1" t="s">
        <v>1026</v>
      </c>
      <c r="B544" s="2">
        <v>46093</v>
      </c>
      <c r="C544" s="1" t="s">
        <v>1027</v>
      </c>
      <c r="D544" s="1" t="s">
        <v>93</v>
      </c>
      <c r="E544" s="1" t="s">
        <v>27</v>
      </c>
      <c r="F544" s="1" t="s">
        <v>24</v>
      </c>
      <c r="G544" s="3">
        <v>0.72569444444444442</v>
      </c>
      <c r="H544" s="3">
        <v>0.72847222222222219</v>
      </c>
      <c r="I544" s="1">
        <v>4</v>
      </c>
      <c r="J544" s="1">
        <v>3</v>
      </c>
      <c r="K544" s="1"/>
      <c r="L544" s="1" t="s">
        <v>19</v>
      </c>
      <c r="M544" s="1">
        <v>802</v>
      </c>
    </row>
    <row r="545" spans="1:13" x14ac:dyDescent="0.35">
      <c r="A545" s="1" t="s">
        <v>1028</v>
      </c>
      <c r="B545" s="2">
        <v>46093</v>
      </c>
      <c r="C545" s="1" t="s">
        <v>122</v>
      </c>
      <c r="D545" s="1" t="s">
        <v>16</v>
      </c>
      <c r="E545" s="1" t="s">
        <v>50</v>
      </c>
      <c r="F545" s="1" t="s">
        <v>24</v>
      </c>
      <c r="G545" s="3">
        <v>0.77083333333333337</v>
      </c>
      <c r="H545" s="3">
        <v>0.77500000000000002</v>
      </c>
      <c r="I545" s="1">
        <v>6</v>
      </c>
      <c r="J545" s="1">
        <v>4</v>
      </c>
      <c r="K545" s="1" t="s">
        <v>18</v>
      </c>
      <c r="L545" s="1" t="s">
        <v>19</v>
      </c>
      <c r="M545" s="1">
        <v>606</v>
      </c>
    </row>
    <row r="546" spans="1:13" x14ac:dyDescent="0.35">
      <c r="A546" s="1" t="s">
        <v>1029</v>
      </c>
      <c r="B546" s="2">
        <v>46095</v>
      </c>
      <c r="C546" s="1" t="s">
        <v>645</v>
      </c>
      <c r="D546" s="1" t="s">
        <v>16</v>
      </c>
      <c r="E546" s="1" t="s">
        <v>37</v>
      </c>
      <c r="F546" s="1" t="s">
        <v>24</v>
      </c>
      <c r="G546" s="3">
        <v>0.31944444444444442</v>
      </c>
      <c r="H546" s="3">
        <v>0.33750000000000002</v>
      </c>
      <c r="I546" s="1">
        <v>26</v>
      </c>
      <c r="J546" s="1">
        <v>26</v>
      </c>
      <c r="K546" s="1" t="s">
        <v>129</v>
      </c>
      <c r="L546" s="1" t="s">
        <v>19</v>
      </c>
      <c r="M546" s="1">
        <v>1717</v>
      </c>
    </row>
    <row r="547" spans="1:13" x14ac:dyDescent="0.35">
      <c r="A547" s="1" t="s">
        <v>1030</v>
      </c>
      <c r="B547" s="2">
        <v>46095</v>
      </c>
      <c r="C547" s="1" t="s">
        <v>1031</v>
      </c>
      <c r="D547" s="1" t="s">
        <v>221</v>
      </c>
      <c r="E547" s="1" t="s">
        <v>78</v>
      </c>
      <c r="F547" s="1" t="s">
        <v>38</v>
      </c>
      <c r="G547" s="3">
        <v>0.63888888888888884</v>
      </c>
      <c r="H547" s="3">
        <v>0.63402777777777775</v>
      </c>
      <c r="I547" s="1">
        <v>-7</v>
      </c>
      <c r="J547" s="1">
        <v>-16</v>
      </c>
      <c r="K547" s="1" t="s">
        <v>18</v>
      </c>
      <c r="L547" s="1" t="s">
        <v>19</v>
      </c>
      <c r="M547" s="1">
        <v>370</v>
      </c>
    </row>
    <row r="548" spans="1:13" x14ac:dyDescent="0.35">
      <c r="A548" s="1" t="s">
        <v>1032</v>
      </c>
      <c r="B548" s="2">
        <v>46095</v>
      </c>
      <c r="C548" s="1" t="s">
        <v>1033</v>
      </c>
      <c r="D548" s="1" t="s">
        <v>15</v>
      </c>
      <c r="E548" s="1" t="s">
        <v>50</v>
      </c>
      <c r="F548" s="1" t="s">
        <v>28</v>
      </c>
      <c r="G548" s="3">
        <v>0.80208333333333337</v>
      </c>
      <c r="H548" s="3">
        <v>0.80486111111111114</v>
      </c>
      <c r="I548" s="1">
        <v>4</v>
      </c>
      <c r="J548" s="1">
        <v>-5</v>
      </c>
      <c r="K548" s="1" t="s">
        <v>18</v>
      </c>
      <c r="L548" s="1" t="s">
        <v>19</v>
      </c>
      <c r="M548" s="1">
        <v>1942</v>
      </c>
    </row>
    <row r="549" spans="1:13" x14ac:dyDescent="0.35">
      <c r="A549" s="1" t="s">
        <v>1034</v>
      </c>
      <c r="B549" s="2">
        <v>46096</v>
      </c>
      <c r="C549" s="1" t="s">
        <v>1035</v>
      </c>
      <c r="D549" s="1" t="s">
        <v>16</v>
      </c>
      <c r="E549" s="1" t="s">
        <v>59</v>
      </c>
      <c r="F549" s="1" t="s">
        <v>17</v>
      </c>
      <c r="G549" s="3">
        <v>0.57291666666666663</v>
      </c>
      <c r="H549" s="3">
        <v>0.59861111111111109</v>
      </c>
      <c r="I549" s="1">
        <v>37</v>
      </c>
      <c r="J549" s="1">
        <v>35</v>
      </c>
      <c r="K549" s="1" t="s">
        <v>60</v>
      </c>
      <c r="L549" s="1" t="s">
        <v>19</v>
      </c>
      <c r="M549" s="1">
        <v>606</v>
      </c>
    </row>
    <row r="550" spans="1:13" x14ac:dyDescent="0.35">
      <c r="A550" s="1" t="s">
        <v>1036</v>
      </c>
      <c r="B550" s="2">
        <v>46096</v>
      </c>
      <c r="C550" s="1" t="s">
        <v>1037</v>
      </c>
      <c r="D550" s="1" t="s">
        <v>50</v>
      </c>
      <c r="E550" s="1" t="s">
        <v>226</v>
      </c>
      <c r="F550" s="1" t="s">
        <v>28</v>
      </c>
      <c r="G550" s="3">
        <v>0.58680555555555558</v>
      </c>
      <c r="H550" s="1"/>
      <c r="I550" s="1"/>
      <c r="J550" s="1"/>
      <c r="K550" s="1" t="s">
        <v>60</v>
      </c>
      <c r="L550" s="1" t="s">
        <v>254</v>
      </c>
      <c r="M550" s="1">
        <v>1197</v>
      </c>
    </row>
    <row r="551" spans="1:13" x14ac:dyDescent="0.35">
      <c r="A551" s="1" t="s">
        <v>1038</v>
      </c>
      <c r="B551" s="2">
        <v>46097</v>
      </c>
      <c r="C551" s="1" t="s">
        <v>773</v>
      </c>
      <c r="D551" s="1" t="s">
        <v>22</v>
      </c>
      <c r="E551" s="1" t="s">
        <v>221</v>
      </c>
      <c r="F551" s="1" t="s">
        <v>28</v>
      </c>
      <c r="G551" s="3">
        <v>0.25</v>
      </c>
      <c r="H551" s="3">
        <v>0.32430555555555562</v>
      </c>
      <c r="I551" s="1">
        <v>107</v>
      </c>
      <c r="J551" s="1">
        <v>95</v>
      </c>
      <c r="K551" s="1" t="s">
        <v>60</v>
      </c>
      <c r="L551" s="1" t="s">
        <v>19</v>
      </c>
      <c r="M551" s="1">
        <v>2470</v>
      </c>
    </row>
    <row r="552" spans="1:13" x14ac:dyDescent="0.35">
      <c r="A552" s="1" t="s">
        <v>1039</v>
      </c>
      <c r="B552" s="2">
        <v>46097</v>
      </c>
      <c r="C552" s="1" t="s">
        <v>1040</v>
      </c>
      <c r="D552" s="1" t="s">
        <v>591</v>
      </c>
      <c r="E552" s="1" t="s">
        <v>16</v>
      </c>
      <c r="F552" s="1" t="s">
        <v>38</v>
      </c>
      <c r="G552" s="3">
        <v>0.78819444444444442</v>
      </c>
      <c r="H552" s="3">
        <v>0.80277777777777781</v>
      </c>
      <c r="I552" s="1">
        <v>21</v>
      </c>
      <c r="J552" s="1">
        <v>19</v>
      </c>
      <c r="K552" s="1" t="s">
        <v>263</v>
      </c>
      <c r="L552" s="1" t="s">
        <v>19</v>
      </c>
      <c r="M552" s="1">
        <v>802</v>
      </c>
    </row>
    <row r="553" spans="1:13" x14ac:dyDescent="0.35">
      <c r="A553" s="1" t="s">
        <v>1041</v>
      </c>
      <c r="B553" s="2">
        <v>46098</v>
      </c>
      <c r="C553" s="1" t="s">
        <v>1042</v>
      </c>
      <c r="D553" s="1" t="s">
        <v>16</v>
      </c>
      <c r="E553" s="1" t="s">
        <v>47</v>
      </c>
      <c r="F553" s="1" t="s">
        <v>28</v>
      </c>
      <c r="G553" s="3">
        <v>0.5625</v>
      </c>
      <c r="H553" s="3">
        <v>0.56944444444444442</v>
      </c>
      <c r="I553" s="1">
        <v>10</v>
      </c>
      <c r="J553" s="1">
        <v>17</v>
      </c>
      <c r="K553" s="1"/>
      <c r="L553" s="1" t="s">
        <v>19</v>
      </c>
      <c r="M553" s="1">
        <v>1842</v>
      </c>
    </row>
    <row r="554" spans="1:13" x14ac:dyDescent="0.35">
      <c r="A554" s="1" t="s">
        <v>1043</v>
      </c>
      <c r="B554" s="2">
        <v>46098</v>
      </c>
      <c r="C554" s="1" t="s">
        <v>1044</v>
      </c>
      <c r="D554" s="1" t="s">
        <v>44</v>
      </c>
      <c r="E554" s="1" t="s">
        <v>16</v>
      </c>
      <c r="F554" s="1" t="s">
        <v>24</v>
      </c>
      <c r="G554" s="3">
        <v>0.66319444444444442</v>
      </c>
      <c r="H554" s="3">
        <v>0.66041666666666665</v>
      </c>
      <c r="I554" s="1">
        <v>-4</v>
      </c>
      <c r="J554" s="1">
        <v>-4</v>
      </c>
      <c r="K554" s="1"/>
      <c r="L554" s="1" t="s">
        <v>19</v>
      </c>
      <c r="M554" s="1">
        <v>864</v>
      </c>
    </row>
    <row r="555" spans="1:13" x14ac:dyDescent="0.35">
      <c r="A555" s="1" t="s">
        <v>1045</v>
      </c>
      <c r="B555" s="2">
        <v>46098</v>
      </c>
      <c r="C555" s="1" t="s">
        <v>1046</v>
      </c>
      <c r="D555" s="1" t="s">
        <v>16</v>
      </c>
      <c r="E555" s="1" t="s">
        <v>27</v>
      </c>
      <c r="F555" s="1" t="s">
        <v>24</v>
      </c>
      <c r="G555" s="3">
        <v>0.78125</v>
      </c>
      <c r="H555" s="3">
        <v>0.78472222222222221</v>
      </c>
      <c r="I555" s="1">
        <v>5</v>
      </c>
      <c r="J555" s="1">
        <v>-2</v>
      </c>
      <c r="K555" s="1" t="s">
        <v>18</v>
      </c>
      <c r="L555" s="1" t="s">
        <v>19</v>
      </c>
      <c r="M555" s="1">
        <v>802</v>
      </c>
    </row>
    <row r="556" spans="1:13" x14ac:dyDescent="0.35">
      <c r="A556" s="1" t="s">
        <v>1047</v>
      </c>
      <c r="B556" s="2">
        <v>46099</v>
      </c>
      <c r="C556" s="1" t="s">
        <v>716</v>
      </c>
      <c r="D556" s="1" t="s">
        <v>16</v>
      </c>
      <c r="E556" s="1" t="s">
        <v>22</v>
      </c>
      <c r="F556" s="1" t="s">
        <v>28</v>
      </c>
      <c r="G556" s="3">
        <v>0.2638888888888889</v>
      </c>
      <c r="H556" s="3">
        <v>0.2951388888888889</v>
      </c>
      <c r="I556" s="1">
        <v>45</v>
      </c>
      <c r="J556" s="1">
        <v>50</v>
      </c>
      <c r="K556" s="1" t="s">
        <v>60</v>
      </c>
      <c r="L556" s="1" t="s">
        <v>19</v>
      </c>
      <c r="M556" s="1">
        <v>738</v>
      </c>
    </row>
    <row r="557" spans="1:13" x14ac:dyDescent="0.35">
      <c r="A557" s="1" t="s">
        <v>1048</v>
      </c>
      <c r="B557" s="2">
        <v>46099</v>
      </c>
      <c r="C557" s="1" t="s">
        <v>1049</v>
      </c>
      <c r="D557" s="1" t="s">
        <v>23</v>
      </c>
      <c r="E557" s="1" t="s">
        <v>47</v>
      </c>
      <c r="F557" s="1" t="s">
        <v>28</v>
      </c>
      <c r="G557" s="3">
        <v>0.46875</v>
      </c>
      <c r="H557" s="3">
        <v>0.46666666666666667</v>
      </c>
      <c r="I557" s="1">
        <v>-3</v>
      </c>
      <c r="J557" s="1">
        <v>-7</v>
      </c>
      <c r="K557" s="1" t="s">
        <v>18</v>
      </c>
      <c r="L557" s="1" t="s">
        <v>19</v>
      </c>
      <c r="M557" s="1">
        <v>965</v>
      </c>
    </row>
    <row r="558" spans="1:13" x14ac:dyDescent="0.35">
      <c r="A558" s="1" t="s">
        <v>1050</v>
      </c>
      <c r="B558" s="2">
        <v>46099</v>
      </c>
      <c r="C558" s="1" t="s">
        <v>543</v>
      </c>
      <c r="D558" s="1" t="s">
        <v>50</v>
      </c>
      <c r="E558" s="1" t="s">
        <v>44</v>
      </c>
      <c r="F558" s="1" t="s">
        <v>28</v>
      </c>
      <c r="G558" s="3">
        <v>0.59722222222222221</v>
      </c>
      <c r="H558" s="3">
        <v>0.70416666666666672</v>
      </c>
      <c r="I558" s="1">
        <v>154</v>
      </c>
      <c r="J558" s="1">
        <v>153</v>
      </c>
      <c r="K558" s="1" t="s">
        <v>54</v>
      </c>
      <c r="L558" s="1" t="s">
        <v>19</v>
      </c>
      <c r="M558" s="1">
        <v>945</v>
      </c>
    </row>
    <row r="559" spans="1:13" x14ac:dyDescent="0.35">
      <c r="A559" s="1" t="s">
        <v>1051</v>
      </c>
      <c r="B559" s="2">
        <v>46099</v>
      </c>
      <c r="C559" s="1" t="s">
        <v>1052</v>
      </c>
      <c r="D559" s="1" t="s">
        <v>50</v>
      </c>
      <c r="E559" s="1" t="s">
        <v>16</v>
      </c>
      <c r="F559" s="1" t="s">
        <v>28</v>
      </c>
      <c r="G559" s="3">
        <v>0.60069444444444442</v>
      </c>
      <c r="H559" s="3">
        <v>0.60555555555555551</v>
      </c>
      <c r="I559" s="1">
        <v>7</v>
      </c>
      <c r="J559" s="1">
        <v>-1</v>
      </c>
      <c r="K559" s="1" t="s">
        <v>18</v>
      </c>
      <c r="L559" s="1" t="s">
        <v>19</v>
      </c>
      <c r="M559" s="1">
        <v>606</v>
      </c>
    </row>
    <row r="560" spans="1:13" x14ac:dyDescent="0.35">
      <c r="A560" s="1" t="s">
        <v>1053</v>
      </c>
      <c r="B560" s="2">
        <v>46100</v>
      </c>
      <c r="C560" s="1" t="s">
        <v>535</v>
      </c>
      <c r="D560" s="1" t="s">
        <v>41</v>
      </c>
      <c r="E560" s="1" t="s">
        <v>71</v>
      </c>
      <c r="F560" s="1" t="s">
        <v>24</v>
      </c>
      <c r="G560" s="3">
        <v>0.4826388888888889</v>
      </c>
      <c r="H560" s="3">
        <v>0.48194444444444451</v>
      </c>
      <c r="I560" s="1">
        <v>-1</v>
      </c>
      <c r="J560" s="1">
        <v>-3</v>
      </c>
      <c r="K560" s="1" t="s">
        <v>18</v>
      </c>
      <c r="L560" s="1" t="s">
        <v>19</v>
      </c>
      <c r="M560" s="1">
        <v>1199</v>
      </c>
    </row>
    <row r="561" spans="1:13" x14ac:dyDescent="0.35">
      <c r="A561" s="1" t="s">
        <v>1054</v>
      </c>
      <c r="B561" s="2">
        <v>46100</v>
      </c>
      <c r="C561" s="1" t="s">
        <v>34</v>
      </c>
      <c r="D561" s="1" t="s">
        <v>50</v>
      </c>
      <c r="E561" s="1" t="s">
        <v>22</v>
      </c>
      <c r="F561" s="1" t="s">
        <v>17</v>
      </c>
      <c r="G561" s="3">
        <v>0.64930555555555558</v>
      </c>
      <c r="H561" s="3">
        <v>0.64652777777777781</v>
      </c>
      <c r="I561" s="1">
        <v>-4</v>
      </c>
      <c r="J561" s="1">
        <v>-1</v>
      </c>
      <c r="K561" s="1" t="s">
        <v>18</v>
      </c>
      <c r="L561" s="1" t="s">
        <v>19</v>
      </c>
      <c r="M561" s="1">
        <v>759</v>
      </c>
    </row>
    <row r="562" spans="1:13" x14ac:dyDescent="0.35">
      <c r="A562" s="1" t="s">
        <v>1055</v>
      </c>
      <c r="B562" s="2">
        <v>46100</v>
      </c>
      <c r="C562" s="1" t="s">
        <v>43</v>
      </c>
      <c r="D562" s="1" t="s">
        <v>16</v>
      </c>
      <c r="E562" s="1" t="s">
        <v>123</v>
      </c>
      <c r="F562" s="1" t="s">
        <v>28</v>
      </c>
      <c r="G562" s="3">
        <v>0.76736111111111116</v>
      </c>
      <c r="H562" s="3">
        <v>0.76458333333333328</v>
      </c>
      <c r="I562" s="1">
        <v>-4</v>
      </c>
      <c r="J562" s="1">
        <v>-9</v>
      </c>
      <c r="K562" s="1"/>
      <c r="L562" s="1" t="s">
        <v>19</v>
      </c>
      <c r="M562" s="1">
        <v>606</v>
      </c>
    </row>
    <row r="563" spans="1:13" x14ac:dyDescent="0.35">
      <c r="A563" s="1" t="s">
        <v>1056</v>
      </c>
      <c r="B563" s="2">
        <v>46101</v>
      </c>
      <c r="C563" s="1" t="s">
        <v>796</v>
      </c>
      <c r="D563" s="1" t="s">
        <v>591</v>
      </c>
      <c r="E563" s="1" t="s">
        <v>16</v>
      </c>
      <c r="F563" s="1" t="s">
        <v>28</v>
      </c>
      <c r="G563" s="3">
        <v>0.47569444444444442</v>
      </c>
      <c r="H563" s="3">
        <v>0.4826388888888889</v>
      </c>
      <c r="I563" s="1">
        <v>10</v>
      </c>
      <c r="J563" s="1">
        <v>6</v>
      </c>
      <c r="K563" s="1" t="s">
        <v>18</v>
      </c>
      <c r="L563" s="1" t="s">
        <v>19</v>
      </c>
      <c r="M563" s="1">
        <v>802</v>
      </c>
    </row>
    <row r="564" spans="1:13" x14ac:dyDescent="0.35">
      <c r="A564" s="1" t="s">
        <v>1057</v>
      </c>
      <c r="B564" s="2">
        <v>46101</v>
      </c>
      <c r="C564" s="1" t="s">
        <v>1058</v>
      </c>
      <c r="D564" s="1" t="s">
        <v>23</v>
      </c>
      <c r="E564" s="1" t="s">
        <v>22</v>
      </c>
      <c r="F564" s="1" t="s">
        <v>17</v>
      </c>
      <c r="G564" s="3">
        <v>0.65277777777777779</v>
      </c>
      <c r="H564" s="3">
        <v>0.65</v>
      </c>
      <c r="I564" s="1">
        <v>-4</v>
      </c>
      <c r="J564" s="1">
        <v>-14</v>
      </c>
      <c r="K564" s="1" t="s">
        <v>18</v>
      </c>
      <c r="L564" s="1" t="s">
        <v>19</v>
      </c>
      <c r="M564" s="1">
        <v>1622</v>
      </c>
    </row>
    <row r="565" spans="1:13" x14ac:dyDescent="0.35">
      <c r="A565" s="1" t="s">
        <v>1059</v>
      </c>
      <c r="B565" s="2">
        <v>46102</v>
      </c>
      <c r="C565" s="1" t="s">
        <v>1060</v>
      </c>
      <c r="D565" s="1" t="s">
        <v>44</v>
      </c>
      <c r="E565" s="1" t="s">
        <v>50</v>
      </c>
      <c r="F565" s="1" t="s">
        <v>24</v>
      </c>
      <c r="G565" s="3">
        <v>0.34722222222222221</v>
      </c>
      <c r="H565" s="3">
        <v>0.35347222222222219</v>
      </c>
      <c r="I565" s="1">
        <v>9</v>
      </c>
      <c r="J565" s="1">
        <v>-2</v>
      </c>
      <c r="K565" s="1" t="s">
        <v>18</v>
      </c>
      <c r="L565" s="1" t="s">
        <v>19</v>
      </c>
      <c r="M565" s="1">
        <v>945</v>
      </c>
    </row>
    <row r="566" spans="1:13" x14ac:dyDescent="0.35">
      <c r="A566" s="1" t="s">
        <v>1061</v>
      </c>
      <c r="B566" s="2">
        <v>46102</v>
      </c>
      <c r="C566" s="1" t="s">
        <v>1062</v>
      </c>
      <c r="D566" s="1" t="s">
        <v>23</v>
      </c>
      <c r="E566" s="1" t="s">
        <v>16</v>
      </c>
      <c r="F566" s="1" t="s">
        <v>24</v>
      </c>
      <c r="G566" s="3">
        <v>0.74305555555555558</v>
      </c>
      <c r="H566" s="3">
        <v>0.73819444444444449</v>
      </c>
      <c r="I566" s="1">
        <v>-7</v>
      </c>
      <c r="J566" s="1">
        <v>-16</v>
      </c>
      <c r="K566" s="1" t="s">
        <v>18</v>
      </c>
      <c r="L566" s="1" t="s">
        <v>19</v>
      </c>
      <c r="M566" s="1">
        <v>886</v>
      </c>
    </row>
    <row r="567" spans="1:13" x14ac:dyDescent="0.35">
      <c r="A567" s="1" t="s">
        <v>1063</v>
      </c>
      <c r="B567" s="2">
        <v>46103</v>
      </c>
      <c r="C567" s="1" t="s">
        <v>1064</v>
      </c>
      <c r="D567" s="1" t="s">
        <v>50</v>
      </c>
      <c r="E567" s="1" t="s">
        <v>22</v>
      </c>
      <c r="F567" s="1" t="s">
        <v>28</v>
      </c>
      <c r="G567" s="3">
        <v>0.30208333333333331</v>
      </c>
      <c r="H567" s="3">
        <v>0.31041666666666667</v>
      </c>
      <c r="I567" s="1">
        <v>12</v>
      </c>
      <c r="J567" s="1">
        <v>17</v>
      </c>
      <c r="K567" s="1" t="s">
        <v>18</v>
      </c>
      <c r="L567" s="1" t="s">
        <v>19</v>
      </c>
      <c r="M567" s="1">
        <v>759</v>
      </c>
    </row>
    <row r="568" spans="1:13" x14ac:dyDescent="0.35">
      <c r="A568" s="1" t="s">
        <v>1063</v>
      </c>
      <c r="B568" s="2">
        <v>46103</v>
      </c>
      <c r="C568" s="1" t="s">
        <v>1064</v>
      </c>
      <c r="D568" s="1" t="s">
        <v>50</v>
      </c>
      <c r="E568" s="1" t="s">
        <v>22</v>
      </c>
      <c r="F568" s="1" t="s">
        <v>28</v>
      </c>
      <c r="G568" s="3">
        <v>0.30208333333333331</v>
      </c>
      <c r="H568" s="3">
        <v>0.31041666666666667</v>
      </c>
      <c r="I568" s="1">
        <v>12</v>
      </c>
      <c r="J568" s="1">
        <v>17</v>
      </c>
      <c r="K568" s="1" t="s">
        <v>18</v>
      </c>
      <c r="L568" s="1" t="s">
        <v>19</v>
      </c>
      <c r="M568" s="1">
        <v>759</v>
      </c>
    </row>
    <row r="569" spans="1:13" x14ac:dyDescent="0.35">
      <c r="A569" s="1" t="s">
        <v>1065</v>
      </c>
      <c r="B569" s="2">
        <v>46103</v>
      </c>
      <c r="C569" s="1" t="s">
        <v>1005</v>
      </c>
      <c r="D569" s="1" t="s">
        <v>50</v>
      </c>
      <c r="E569" s="1" t="s">
        <v>16</v>
      </c>
      <c r="F569" s="1" t="s">
        <v>28</v>
      </c>
      <c r="G569" s="3">
        <v>0.46180555555555558</v>
      </c>
      <c r="H569" s="3">
        <v>0.46944444444444439</v>
      </c>
      <c r="I569" s="1">
        <v>11</v>
      </c>
      <c r="J569" s="1">
        <v>18</v>
      </c>
      <c r="K569" s="1" t="s">
        <v>18</v>
      </c>
      <c r="L569" s="1" t="s">
        <v>19</v>
      </c>
      <c r="M569" s="1">
        <v>606</v>
      </c>
    </row>
    <row r="570" spans="1:13" x14ac:dyDescent="0.35">
      <c r="A570" s="1" t="s">
        <v>1066</v>
      </c>
      <c r="B570" s="2">
        <v>46103</v>
      </c>
      <c r="C570" s="1" t="s">
        <v>962</v>
      </c>
      <c r="D570" s="1" t="s">
        <v>15</v>
      </c>
      <c r="E570" s="1" t="s">
        <v>78</v>
      </c>
      <c r="F570" s="1" t="s">
        <v>24</v>
      </c>
      <c r="G570" s="3">
        <v>0.67708333333333337</v>
      </c>
      <c r="H570" s="3">
        <v>0.68263888888888891</v>
      </c>
      <c r="I570" s="1">
        <v>8</v>
      </c>
      <c r="J570" s="1">
        <v>9</v>
      </c>
      <c r="K570" s="1"/>
      <c r="L570" s="1" t="s">
        <v>19</v>
      </c>
      <c r="M570" s="1">
        <v>370</v>
      </c>
    </row>
    <row r="571" spans="1:13" x14ac:dyDescent="0.35">
      <c r="A571" s="1" t="s">
        <v>1067</v>
      </c>
      <c r="B571" s="2">
        <v>46103</v>
      </c>
      <c r="C571" s="1" t="s">
        <v>1044</v>
      </c>
      <c r="D571" s="1" t="s">
        <v>27</v>
      </c>
      <c r="E571" s="1" t="s">
        <v>50</v>
      </c>
      <c r="F571" s="1" t="s">
        <v>17</v>
      </c>
      <c r="G571" s="3">
        <v>0.76041666666666663</v>
      </c>
      <c r="H571" s="3">
        <v>0.77777777777777779</v>
      </c>
      <c r="I571" s="1">
        <v>25</v>
      </c>
      <c r="J571" s="1">
        <v>10</v>
      </c>
      <c r="K571" s="1" t="s">
        <v>60</v>
      </c>
      <c r="L571" s="1" t="s">
        <v>19</v>
      </c>
      <c r="M571" s="1">
        <v>730</v>
      </c>
    </row>
    <row r="572" spans="1:13" x14ac:dyDescent="0.35">
      <c r="A572" s="1" t="s">
        <v>1068</v>
      </c>
      <c r="B572" s="2">
        <v>46103</v>
      </c>
      <c r="C572" s="1" t="s">
        <v>1062</v>
      </c>
      <c r="D572" s="1" t="s">
        <v>78</v>
      </c>
      <c r="E572" s="1" t="s">
        <v>588</v>
      </c>
      <c r="F572" s="1" t="s">
        <v>24</v>
      </c>
      <c r="G572" s="3">
        <v>0.77083333333333337</v>
      </c>
      <c r="H572" s="3">
        <v>0.81805555555555554</v>
      </c>
      <c r="I572" s="1">
        <v>68</v>
      </c>
      <c r="J572" s="1">
        <v>59</v>
      </c>
      <c r="K572" s="1" t="s">
        <v>60</v>
      </c>
      <c r="L572" s="1" t="s">
        <v>19</v>
      </c>
      <c r="M572" s="1">
        <v>866</v>
      </c>
    </row>
    <row r="573" spans="1:13" x14ac:dyDescent="0.35">
      <c r="A573" s="1" t="s">
        <v>1069</v>
      </c>
      <c r="B573" s="2">
        <v>46103</v>
      </c>
      <c r="C573" s="1" t="s">
        <v>864</v>
      </c>
      <c r="D573" s="1" t="s">
        <v>27</v>
      </c>
      <c r="E573" s="1" t="s">
        <v>629</v>
      </c>
      <c r="F573" s="1" t="s">
        <v>28</v>
      </c>
      <c r="G573" s="3">
        <v>0.90972222222222221</v>
      </c>
      <c r="H573" s="3">
        <v>0.91527777777777775</v>
      </c>
      <c r="I573" s="1">
        <v>8</v>
      </c>
      <c r="J573" s="1">
        <v>14</v>
      </c>
      <c r="K573" s="1" t="s">
        <v>18</v>
      </c>
      <c r="L573" s="1" t="s">
        <v>19</v>
      </c>
      <c r="M573" s="1">
        <v>866</v>
      </c>
    </row>
    <row r="574" spans="1:13" x14ac:dyDescent="0.35">
      <c r="A574" s="1" t="s">
        <v>1070</v>
      </c>
      <c r="B574" s="2">
        <v>46103</v>
      </c>
      <c r="C574" s="1" t="s">
        <v>823</v>
      </c>
      <c r="D574" s="1" t="s">
        <v>37</v>
      </c>
      <c r="E574" s="1" t="s">
        <v>78</v>
      </c>
      <c r="F574" s="1" t="s">
        <v>28</v>
      </c>
      <c r="G574" s="3">
        <v>0.95138888888888884</v>
      </c>
      <c r="H574" s="3">
        <v>0.99583333333333335</v>
      </c>
      <c r="I574" s="1">
        <v>64</v>
      </c>
      <c r="J574" s="1">
        <v>62</v>
      </c>
      <c r="K574" s="1" t="s">
        <v>60</v>
      </c>
      <c r="L574" s="1" t="s">
        <v>19</v>
      </c>
      <c r="M574" s="1">
        <v>1108</v>
      </c>
    </row>
    <row r="575" spans="1:13" x14ac:dyDescent="0.35">
      <c r="A575" s="1" t="s">
        <v>1071</v>
      </c>
      <c r="B575" s="2">
        <v>46104</v>
      </c>
      <c r="C575" s="1" t="s">
        <v>110</v>
      </c>
      <c r="D575" s="1" t="s">
        <v>226</v>
      </c>
      <c r="E575" s="1" t="s">
        <v>27</v>
      </c>
      <c r="F575" s="1" t="s">
        <v>28</v>
      </c>
      <c r="G575" s="3">
        <v>0.35416666666666669</v>
      </c>
      <c r="H575" s="3">
        <v>0.44861111111111113</v>
      </c>
      <c r="I575" s="1">
        <v>136</v>
      </c>
      <c r="J575" s="1">
        <v>140</v>
      </c>
      <c r="K575" s="1" t="s">
        <v>54</v>
      </c>
      <c r="L575" s="1" t="s">
        <v>19</v>
      </c>
      <c r="M575" s="1">
        <v>641</v>
      </c>
    </row>
    <row r="576" spans="1:13" x14ac:dyDescent="0.35">
      <c r="A576" s="1" t="s">
        <v>1072</v>
      </c>
      <c r="B576" s="2">
        <v>46105</v>
      </c>
      <c r="C576" s="1" t="s">
        <v>1073</v>
      </c>
      <c r="D576" s="1" t="s">
        <v>79</v>
      </c>
      <c r="E576" s="1" t="s">
        <v>23</v>
      </c>
      <c r="F576" s="1" t="s">
        <v>28</v>
      </c>
      <c r="G576" s="3">
        <v>0.65277777777777779</v>
      </c>
      <c r="H576" s="1"/>
      <c r="I576" s="1"/>
      <c r="J576" s="1"/>
      <c r="K576" s="1" t="s">
        <v>129</v>
      </c>
      <c r="L576" s="1" t="s">
        <v>254</v>
      </c>
      <c r="M576" s="1">
        <v>1197</v>
      </c>
    </row>
    <row r="577" spans="1:13" x14ac:dyDescent="0.35">
      <c r="A577" s="1" t="s">
        <v>1074</v>
      </c>
      <c r="B577" s="2">
        <v>46106</v>
      </c>
      <c r="C577" s="1" t="s">
        <v>1075</v>
      </c>
      <c r="D577" s="1" t="s">
        <v>44</v>
      </c>
      <c r="E577" s="1" t="s">
        <v>37</v>
      </c>
      <c r="F577" s="1" t="s">
        <v>24</v>
      </c>
      <c r="G577" s="3">
        <v>0.2986111111111111</v>
      </c>
      <c r="H577" s="3">
        <v>0.30625000000000002</v>
      </c>
      <c r="I577" s="1">
        <v>11</v>
      </c>
      <c r="J577" s="1">
        <v>8</v>
      </c>
      <c r="K577" s="1" t="s">
        <v>18</v>
      </c>
      <c r="L577" s="1" t="s">
        <v>19</v>
      </c>
      <c r="M577" s="1">
        <v>2489</v>
      </c>
    </row>
    <row r="578" spans="1:13" x14ac:dyDescent="0.35">
      <c r="A578" s="1" t="s">
        <v>1076</v>
      </c>
      <c r="B578" s="2">
        <v>46106</v>
      </c>
      <c r="C578" s="1" t="s">
        <v>1077</v>
      </c>
      <c r="D578" s="1" t="s">
        <v>15</v>
      </c>
      <c r="E578" s="1" t="s">
        <v>22</v>
      </c>
      <c r="F578" s="1" t="s">
        <v>24</v>
      </c>
      <c r="G578" s="3">
        <v>0.39583333333333331</v>
      </c>
      <c r="H578" s="3">
        <v>0.3972222222222222</v>
      </c>
      <c r="I578" s="1">
        <v>2</v>
      </c>
      <c r="J578" s="1">
        <v>12</v>
      </c>
      <c r="K578" s="1" t="s">
        <v>18</v>
      </c>
      <c r="L578" s="1" t="s">
        <v>19</v>
      </c>
      <c r="M578" s="1">
        <v>2470</v>
      </c>
    </row>
    <row r="579" spans="1:13" x14ac:dyDescent="0.35">
      <c r="A579" s="1" t="s">
        <v>1078</v>
      </c>
      <c r="B579" s="2">
        <v>46107</v>
      </c>
      <c r="C579" s="1" t="s">
        <v>1079</v>
      </c>
      <c r="D579" s="1" t="s">
        <v>27</v>
      </c>
      <c r="E579" s="1" t="s">
        <v>16</v>
      </c>
      <c r="F579" s="1" t="s">
        <v>17</v>
      </c>
      <c r="G579" s="3">
        <v>0.64930555555555558</v>
      </c>
      <c r="H579" s="3">
        <v>0.65416666666666667</v>
      </c>
      <c r="I579" s="1">
        <v>7</v>
      </c>
      <c r="J579" s="1">
        <v>3</v>
      </c>
      <c r="K579" s="1" t="s">
        <v>18</v>
      </c>
      <c r="L579" s="1" t="s">
        <v>19</v>
      </c>
      <c r="M579" s="1">
        <v>802</v>
      </c>
    </row>
    <row r="580" spans="1:13" x14ac:dyDescent="0.35">
      <c r="A580" s="1" t="s">
        <v>1080</v>
      </c>
      <c r="B580" s="2">
        <v>46107</v>
      </c>
      <c r="C580" s="1" t="s">
        <v>1081</v>
      </c>
      <c r="D580" s="1" t="s">
        <v>16</v>
      </c>
      <c r="E580" s="1" t="s">
        <v>22</v>
      </c>
      <c r="F580" s="1" t="s">
        <v>24</v>
      </c>
      <c r="G580" s="3">
        <v>0.86458333333333337</v>
      </c>
      <c r="H580" s="3">
        <v>0.88541666666666663</v>
      </c>
      <c r="I580" s="1">
        <v>30</v>
      </c>
      <c r="J580" s="1">
        <v>17</v>
      </c>
      <c r="K580" s="1" t="s">
        <v>174</v>
      </c>
      <c r="L580" s="1" t="s">
        <v>19</v>
      </c>
      <c r="M580" s="1">
        <v>738</v>
      </c>
    </row>
    <row r="581" spans="1:13" x14ac:dyDescent="0.35">
      <c r="A581" s="1" t="s">
        <v>1082</v>
      </c>
      <c r="B581" s="2">
        <v>46108</v>
      </c>
      <c r="C581" s="1" t="s">
        <v>883</v>
      </c>
      <c r="D581" s="1" t="s">
        <v>16</v>
      </c>
      <c r="E581" s="1" t="s">
        <v>50</v>
      </c>
      <c r="F581" s="1" t="s">
        <v>17</v>
      </c>
      <c r="G581" s="3">
        <v>0.55902777777777779</v>
      </c>
      <c r="H581" s="3">
        <v>0.56180555555555556</v>
      </c>
      <c r="I581" s="1">
        <v>4</v>
      </c>
      <c r="J581" s="1">
        <v>3</v>
      </c>
      <c r="K581" s="1" t="s">
        <v>18</v>
      </c>
      <c r="L581" s="1" t="s">
        <v>19</v>
      </c>
      <c r="M581" s="1">
        <v>606</v>
      </c>
    </row>
    <row r="582" spans="1:13" x14ac:dyDescent="0.35">
      <c r="A582" s="1" t="s">
        <v>1083</v>
      </c>
      <c r="B582" s="2">
        <v>46108</v>
      </c>
      <c r="C582" s="1" t="s">
        <v>716</v>
      </c>
      <c r="D582" s="1" t="s">
        <v>32</v>
      </c>
      <c r="E582" s="1" t="s">
        <v>37</v>
      </c>
      <c r="F582" s="1" t="s">
        <v>28</v>
      </c>
      <c r="G582" s="3">
        <v>0.60069444444444442</v>
      </c>
      <c r="H582" s="3">
        <v>0.63888888888888884</v>
      </c>
      <c r="I582" s="1">
        <v>-300</v>
      </c>
      <c r="J582" s="1">
        <v>51</v>
      </c>
      <c r="K582" s="1" t="s">
        <v>60</v>
      </c>
      <c r="L582" s="1" t="s">
        <v>19</v>
      </c>
      <c r="M582" s="1">
        <v>2415</v>
      </c>
    </row>
    <row r="583" spans="1:13" x14ac:dyDescent="0.35">
      <c r="A583" s="1" t="s">
        <v>1084</v>
      </c>
      <c r="B583" s="2">
        <v>46108</v>
      </c>
      <c r="C583" s="1" t="s">
        <v>1049</v>
      </c>
      <c r="D583" s="1" t="s">
        <v>16</v>
      </c>
      <c r="E583" s="1" t="s">
        <v>44</v>
      </c>
      <c r="F583" s="1" t="s">
        <v>28</v>
      </c>
      <c r="G583" s="3">
        <v>0.72916666666666663</v>
      </c>
      <c r="H583" s="3">
        <v>0.73402777777777772</v>
      </c>
      <c r="I583" s="1">
        <v>7</v>
      </c>
      <c r="J583" s="1">
        <v>-1</v>
      </c>
      <c r="K583" s="1"/>
      <c r="L583" s="1" t="s">
        <v>19</v>
      </c>
      <c r="M583" s="1">
        <v>864</v>
      </c>
    </row>
    <row r="584" spans="1:13" x14ac:dyDescent="0.35">
      <c r="A584" s="1" t="s">
        <v>1085</v>
      </c>
      <c r="B584" s="2">
        <v>46109</v>
      </c>
      <c r="C584" s="1" t="s">
        <v>144</v>
      </c>
      <c r="D584" s="1" t="s">
        <v>31</v>
      </c>
      <c r="E584" s="1" t="s">
        <v>50</v>
      </c>
      <c r="F584" s="1" t="s">
        <v>38</v>
      </c>
      <c r="G584" s="3">
        <v>0.2673611111111111</v>
      </c>
      <c r="H584" s="3">
        <v>0.27986111111111112</v>
      </c>
      <c r="I584" s="1">
        <v>18</v>
      </c>
      <c r="J584" s="1">
        <v>13</v>
      </c>
      <c r="K584" s="1" t="s">
        <v>54</v>
      </c>
      <c r="L584" s="1" t="s">
        <v>19</v>
      </c>
      <c r="M584" s="1">
        <v>1743</v>
      </c>
    </row>
    <row r="585" spans="1:13" x14ac:dyDescent="0.35">
      <c r="A585" s="1" t="s">
        <v>1086</v>
      </c>
      <c r="B585" s="2">
        <v>46109</v>
      </c>
      <c r="C585" s="1" t="s">
        <v>986</v>
      </c>
      <c r="D585" s="1" t="s">
        <v>41</v>
      </c>
      <c r="E585" s="1" t="s">
        <v>15</v>
      </c>
      <c r="F585" s="1" t="s">
        <v>17</v>
      </c>
      <c r="G585" s="3">
        <v>0.33333333333333331</v>
      </c>
      <c r="H585" s="3">
        <v>0.33124999999999999</v>
      </c>
      <c r="I585" s="1">
        <v>-3</v>
      </c>
      <c r="J585" s="1">
        <v>-4</v>
      </c>
      <c r="K585" s="1"/>
      <c r="L585" s="1" t="s">
        <v>19</v>
      </c>
      <c r="M585" s="1">
        <v>2338</v>
      </c>
    </row>
    <row r="586" spans="1:13" x14ac:dyDescent="0.35">
      <c r="A586" s="1" t="s">
        <v>1087</v>
      </c>
      <c r="B586" s="2">
        <v>46109</v>
      </c>
      <c r="C586" s="1" t="s">
        <v>1037</v>
      </c>
      <c r="D586" s="1" t="s">
        <v>15</v>
      </c>
      <c r="E586" s="1" t="s">
        <v>16</v>
      </c>
      <c r="F586" s="1" t="s">
        <v>28</v>
      </c>
      <c r="G586" s="3">
        <v>0.41666666666666669</v>
      </c>
      <c r="H586" s="3">
        <v>0.43055555555555558</v>
      </c>
      <c r="I586" s="1">
        <v>20</v>
      </c>
      <c r="J586" s="1">
        <v>7</v>
      </c>
      <c r="K586" s="1" t="s">
        <v>60</v>
      </c>
      <c r="L586" s="1" t="s">
        <v>19</v>
      </c>
      <c r="M586" s="1">
        <v>1742</v>
      </c>
    </row>
    <row r="587" spans="1:13" x14ac:dyDescent="0.35">
      <c r="A587" s="1" t="s">
        <v>1088</v>
      </c>
      <c r="B587" s="2">
        <v>46109</v>
      </c>
      <c r="C587" s="1" t="s">
        <v>1089</v>
      </c>
      <c r="D587" s="1" t="s">
        <v>32</v>
      </c>
      <c r="E587" s="1" t="s">
        <v>44</v>
      </c>
      <c r="F587" s="1" t="s">
        <v>38</v>
      </c>
      <c r="G587" s="3">
        <v>0.62152777777777779</v>
      </c>
      <c r="H587" s="3">
        <v>0.62222222222222223</v>
      </c>
      <c r="I587" s="1">
        <v>1</v>
      </c>
      <c r="J587" s="1">
        <v>-8</v>
      </c>
      <c r="K587" s="1" t="s">
        <v>18</v>
      </c>
      <c r="L587" s="1" t="s">
        <v>19</v>
      </c>
      <c r="M587" s="1">
        <v>186</v>
      </c>
    </row>
    <row r="588" spans="1:13" x14ac:dyDescent="0.35">
      <c r="A588" s="1" t="s">
        <v>1090</v>
      </c>
      <c r="B588" s="2">
        <v>46110</v>
      </c>
      <c r="C588" s="1" t="s">
        <v>1091</v>
      </c>
      <c r="D588" s="1" t="s">
        <v>695</v>
      </c>
      <c r="E588" s="1" t="s">
        <v>16</v>
      </c>
      <c r="F588" s="1" t="s">
        <v>17</v>
      </c>
      <c r="G588" s="3">
        <v>0.30902777777777779</v>
      </c>
      <c r="H588" s="3">
        <v>0.3347222222222222</v>
      </c>
      <c r="I588" s="1">
        <v>37</v>
      </c>
      <c r="J588" s="1">
        <v>33</v>
      </c>
      <c r="K588" s="1" t="s">
        <v>303</v>
      </c>
      <c r="L588" s="1" t="s">
        <v>19</v>
      </c>
      <c r="M588" s="1">
        <v>1717</v>
      </c>
    </row>
    <row r="589" spans="1:13" x14ac:dyDescent="0.35">
      <c r="A589" s="1" t="s">
        <v>1092</v>
      </c>
      <c r="B589" s="2">
        <v>46110</v>
      </c>
      <c r="C589" s="1" t="s">
        <v>1093</v>
      </c>
      <c r="D589" s="1" t="s">
        <v>22</v>
      </c>
      <c r="E589" s="1" t="s">
        <v>16</v>
      </c>
      <c r="F589" s="1" t="s">
        <v>24</v>
      </c>
      <c r="G589" s="3">
        <v>0.34722222222222221</v>
      </c>
      <c r="H589" s="3">
        <v>0.34236111111111112</v>
      </c>
      <c r="I589" s="1">
        <v>-7</v>
      </c>
      <c r="J589" s="1">
        <v>-12</v>
      </c>
      <c r="K589" s="1" t="s">
        <v>18</v>
      </c>
      <c r="L589" s="1" t="s">
        <v>19</v>
      </c>
      <c r="M589" s="1">
        <v>738</v>
      </c>
    </row>
    <row r="590" spans="1:13" x14ac:dyDescent="0.35">
      <c r="A590" s="1" t="s">
        <v>1094</v>
      </c>
      <c r="B590" s="2">
        <v>46110</v>
      </c>
      <c r="C590" s="1" t="s">
        <v>1095</v>
      </c>
      <c r="D590" s="1" t="s">
        <v>44</v>
      </c>
      <c r="E590" s="1" t="s">
        <v>47</v>
      </c>
      <c r="F590" s="1" t="s">
        <v>38</v>
      </c>
      <c r="G590" s="3">
        <v>0.53125</v>
      </c>
      <c r="H590" s="3">
        <v>0.53541666666666665</v>
      </c>
      <c r="I590" s="1">
        <v>6</v>
      </c>
      <c r="J590" s="1">
        <v>14</v>
      </c>
      <c r="K590" s="1"/>
      <c r="L590" s="1" t="s">
        <v>19</v>
      </c>
      <c r="M590" s="1">
        <v>2698</v>
      </c>
    </row>
    <row r="591" spans="1:13" x14ac:dyDescent="0.35">
      <c r="A591" s="1" t="s">
        <v>1096</v>
      </c>
      <c r="B591" s="2">
        <v>46111</v>
      </c>
      <c r="C591" s="1" t="s">
        <v>692</v>
      </c>
      <c r="D591" s="1" t="s">
        <v>31</v>
      </c>
      <c r="E591" s="1" t="s">
        <v>44</v>
      </c>
      <c r="F591" s="1" t="s">
        <v>24</v>
      </c>
      <c r="G591" s="3">
        <v>0.27083333333333331</v>
      </c>
      <c r="H591" s="3">
        <v>0.26805555555555549</v>
      </c>
      <c r="I591" s="1">
        <v>-4</v>
      </c>
      <c r="J591" s="1">
        <v>-8</v>
      </c>
      <c r="K591" s="1"/>
      <c r="L591" s="1" t="s">
        <v>19</v>
      </c>
      <c r="M591" s="1">
        <v>2375</v>
      </c>
    </row>
    <row r="592" spans="1:13" x14ac:dyDescent="0.35">
      <c r="A592" s="1" t="s">
        <v>1097</v>
      </c>
      <c r="B592" s="2">
        <v>46111</v>
      </c>
      <c r="C592" s="1" t="s">
        <v>1098</v>
      </c>
      <c r="D592" s="1" t="s">
        <v>591</v>
      </c>
      <c r="E592" s="1" t="s">
        <v>37</v>
      </c>
      <c r="F592" s="1" t="s">
        <v>17</v>
      </c>
      <c r="G592" s="3">
        <v>0.58333333333333337</v>
      </c>
      <c r="H592" s="3">
        <v>0.59097222222222223</v>
      </c>
      <c r="I592" s="1">
        <v>11</v>
      </c>
      <c r="J592" s="1">
        <v>3</v>
      </c>
      <c r="K592" s="1" t="s">
        <v>18</v>
      </c>
      <c r="L592" s="1" t="s">
        <v>19</v>
      </c>
      <c r="M592" s="1">
        <v>1658</v>
      </c>
    </row>
    <row r="593" spans="1:13" x14ac:dyDescent="0.35">
      <c r="A593" s="1" t="s">
        <v>1099</v>
      </c>
      <c r="B593" s="2">
        <v>46112</v>
      </c>
      <c r="C593" s="1" t="s">
        <v>770</v>
      </c>
      <c r="D593" s="1" t="s">
        <v>50</v>
      </c>
      <c r="E593" s="1" t="s">
        <v>16</v>
      </c>
      <c r="F593" s="1" t="s">
        <v>24</v>
      </c>
      <c r="G593" s="3">
        <v>0.46180555555555558</v>
      </c>
      <c r="H593" s="3">
        <v>0.46597222222222218</v>
      </c>
      <c r="I593" s="1">
        <v>6</v>
      </c>
      <c r="J593" s="1">
        <v>-1</v>
      </c>
      <c r="K593" s="1" t="s">
        <v>18</v>
      </c>
      <c r="L593" s="1" t="s">
        <v>19</v>
      </c>
      <c r="M593" s="1">
        <v>606</v>
      </c>
    </row>
    <row r="594" spans="1:13" x14ac:dyDescent="0.35">
      <c r="A594" s="1" t="s">
        <v>1100</v>
      </c>
      <c r="B594" s="2">
        <v>46112</v>
      </c>
      <c r="C594" s="1" t="s">
        <v>1101</v>
      </c>
      <c r="D594" s="1" t="s">
        <v>22</v>
      </c>
      <c r="E594" s="1" t="s">
        <v>47</v>
      </c>
      <c r="F594" s="1" t="s">
        <v>38</v>
      </c>
      <c r="G594" s="3">
        <v>0.70833333333333337</v>
      </c>
      <c r="H594" s="3">
        <v>0.7055555555555556</v>
      </c>
      <c r="I594" s="1">
        <v>-4</v>
      </c>
      <c r="J594" s="1">
        <v>-14</v>
      </c>
      <c r="K594" s="1" t="s">
        <v>18</v>
      </c>
      <c r="L594" s="1" t="s">
        <v>19</v>
      </c>
      <c r="M594" s="1">
        <v>2580</v>
      </c>
    </row>
    <row r="595" spans="1:13" x14ac:dyDescent="0.35">
      <c r="A595" s="1" t="s">
        <v>1102</v>
      </c>
      <c r="B595" s="2">
        <v>46113</v>
      </c>
      <c r="C595" s="1" t="s">
        <v>1101</v>
      </c>
      <c r="D595" s="1" t="s">
        <v>50</v>
      </c>
      <c r="E595" s="1" t="s">
        <v>37</v>
      </c>
      <c r="F595" s="1" t="s">
        <v>24</v>
      </c>
      <c r="G595" s="3">
        <v>0.40277777777777779</v>
      </c>
      <c r="H595" s="3">
        <v>0.4</v>
      </c>
      <c r="I595" s="1">
        <v>-4</v>
      </c>
      <c r="J595" s="1">
        <v>2</v>
      </c>
      <c r="K595" s="1" t="s">
        <v>18</v>
      </c>
      <c r="L595" s="1" t="s">
        <v>19</v>
      </c>
      <c r="M595" s="1">
        <v>2178</v>
      </c>
    </row>
    <row r="596" spans="1:13" x14ac:dyDescent="0.35">
      <c r="A596" s="1" t="s">
        <v>1103</v>
      </c>
      <c r="B596" s="2">
        <v>46113</v>
      </c>
      <c r="C596" s="1" t="s">
        <v>236</v>
      </c>
      <c r="D596" s="1" t="s">
        <v>16</v>
      </c>
      <c r="E596" s="1" t="s">
        <v>27</v>
      </c>
      <c r="F596" s="1" t="s">
        <v>28</v>
      </c>
      <c r="G596" s="3">
        <v>0.46527777777777779</v>
      </c>
      <c r="H596" s="3">
        <v>0.46666666666666667</v>
      </c>
      <c r="I596" s="1">
        <v>2</v>
      </c>
      <c r="J596" s="1">
        <v>2</v>
      </c>
      <c r="K596" s="1"/>
      <c r="L596" s="1" t="s">
        <v>19</v>
      </c>
      <c r="M596" s="1">
        <v>802</v>
      </c>
    </row>
    <row r="597" spans="1:13" x14ac:dyDescent="0.35">
      <c r="A597" s="1" t="s">
        <v>1104</v>
      </c>
      <c r="B597" s="2">
        <v>46113</v>
      </c>
      <c r="C597" s="1" t="s">
        <v>1105</v>
      </c>
      <c r="D597" s="1" t="s">
        <v>50</v>
      </c>
      <c r="E597" s="1" t="s">
        <v>22</v>
      </c>
      <c r="F597" s="1" t="s">
        <v>17</v>
      </c>
      <c r="G597" s="3">
        <v>0.53819444444444442</v>
      </c>
      <c r="H597" s="3">
        <v>0.54305555555555551</v>
      </c>
      <c r="I597" s="1">
        <v>7</v>
      </c>
      <c r="J597" s="1">
        <v>5</v>
      </c>
      <c r="K597" s="1"/>
      <c r="L597" s="1" t="s">
        <v>19</v>
      </c>
      <c r="M597" s="1">
        <v>759</v>
      </c>
    </row>
    <row r="598" spans="1:13" x14ac:dyDescent="0.35">
      <c r="A598" s="1" t="s">
        <v>1106</v>
      </c>
      <c r="B598" s="2">
        <v>46113</v>
      </c>
      <c r="C598" s="1" t="s">
        <v>218</v>
      </c>
      <c r="D598" s="1" t="s">
        <v>27</v>
      </c>
      <c r="E598" s="1" t="s">
        <v>47</v>
      </c>
      <c r="F598" s="1" t="s">
        <v>38</v>
      </c>
      <c r="G598" s="3">
        <v>0.65625</v>
      </c>
      <c r="H598" s="3">
        <v>0.65486111111111112</v>
      </c>
      <c r="I598" s="1">
        <v>-2</v>
      </c>
      <c r="J598" s="1">
        <v>-6</v>
      </c>
      <c r="K598" s="1" t="s">
        <v>18</v>
      </c>
      <c r="L598" s="1" t="s">
        <v>19</v>
      </c>
      <c r="M598" s="1">
        <v>1462</v>
      </c>
    </row>
    <row r="599" spans="1:13" x14ac:dyDescent="0.35">
      <c r="A599" s="1" t="s">
        <v>1107</v>
      </c>
      <c r="B599" s="2">
        <v>46113</v>
      </c>
      <c r="C599" s="1" t="s">
        <v>278</v>
      </c>
      <c r="D599" s="1" t="s">
        <v>44</v>
      </c>
      <c r="E599" s="1" t="s">
        <v>78</v>
      </c>
      <c r="F599" s="1" t="s">
        <v>24</v>
      </c>
      <c r="G599" s="3">
        <v>0.87847222222222221</v>
      </c>
      <c r="H599" s="3">
        <v>0.89444444444444449</v>
      </c>
      <c r="I599" s="1">
        <v>23</v>
      </c>
      <c r="J599" s="1">
        <v>11</v>
      </c>
      <c r="K599" s="1" t="s">
        <v>617</v>
      </c>
      <c r="L599" s="1" t="s">
        <v>19</v>
      </c>
      <c r="M599" s="1">
        <v>2295</v>
      </c>
    </row>
    <row r="600" spans="1:13" x14ac:dyDescent="0.35">
      <c r="A600" s="1" t="s">
        <v>1108</v>
      </c>
      <c r="B600" s="2">
        <v>46114</v>
      </c>
      <c r="C600" s="1" t="s">
        <v>26</v>
      </c>
      <c r="D600" s="1" t="s">
        <v>47</v>
      </c>
      <c r="E600" s="1" t="s">
        <v>50</v>
      </c>
      <c r="F600" s="1" t="s">
        <v>28</v>
      </c>
      <c r="G600" s="3">
        <v>0.46180555555555558</v>
      </c>
      <c r="H600" s="3">
        <v>0.50555555555555554</v>
      </c>
      <c r="I600" s="1">
        <v>63</v>
      </c>
      <c r="J600" s="1">
        <v>67</v>
      </c>
      <c r="K600" s="1" t="s">
        <v>98</v>
      </c>
      <c r="L600" s="1" t="s">
        <v>19</v>
      </c>
      <c r="M600" s="1">
        <v>2134</v>
      </c>
    </row>
    <row r="601" spans="1:13" x14ac:dyDescent="0.35">
      <c r="A601" s="1" t="s">
        <v>1109</v>
      </c>
      <c r="B601" s="2">
        <v>46115</v>
      </c>
      <c r="C601" s="1" t="s">
        <v>1110</v>
      </c>
      <c r="D601" s="1" t="s">
        <v>50</v>
      </c>
      <c r="E601" s="1" t="s">
        <v>78</v>
      </c>
      <c r="F601" s="1" t="s">
        <v>28</v>
      </c>
      <c r="G601" s="3">
        <v>0.3611111111111111</v>
      </c>
      <c r="H601" s="3">
        <v>0.3611111111111111</v>
      </c>
      <c r="I601" s="1">
        <v>0</v>
      </c>
      <c r="J601" s="1">
        <v>-12</v>
      </c>
      <c r="K601" s="1" t="s">
        <v>18</v>
      </c>
      <c r="L601" s="1" t="s">
        <v>19</v>
      </c>
      <c r="M601" s="1">
        <v>1584</v>
      </c>
    </row>
    <row r="602" spans="1:13" x14ac:dyDescent="0.35">
      <c r="A602" s="1" t="s">
        <v>1111</v>
      </c>
      <c r="B602" s="2">
        <v>46115</v>
      </c>
      <c r="C602" s="1" t="s">
        <v>994</v>
      </c>
      <c r="D602" s="1" t="s">
        <v>50</v>
      </c>
      <c r="E602" s="1" t="s">
        <v>16</v>
      </c>
      <c r="F602" s="1" t="s">
        <v>17</v>
      </c>
      <c r="G602" s="3">
        <v>0.86111111111111116</v>
      </c>
      <c r="H602" s="3">
        <v>0.91388888888888886</v>
      </c>
      <c r="I602" s="1">
        <v>76</v>
      </c>
      <c r="J602" s="1">
        <v>65</v>
      </c>
      <c r="K602" s="1" t="s">
        <v>477</v>
      </c>
      <c r="L602" s="1" t="s">
        <v>19</v>
      </c>
      <c r="M602" s="1">
        <v>606</v>
      </c>
    </row>
    <row r="603" spans="1:13" x14ac:dyDescent="0.35">
      <c r="A603" s="1" t="s">
        <v>1112</v>
      </c>
      <c r="B603" s="2">
        <v>46116</v>
      </c>
      <c r="C603" s="1" t="s">
        <v>1113</v>
      </c>
      <c r="D603" s="1" t="s">
        <v>23</v>
      </c>
      <c r="E603" s="1" t="s">
        <v>47</v>
      </c>
      <c r="F603" s="1" t="s">
        <v>17</v>
      </c>
      <c r="G603" s="3">
        <v>0.31597222222222221</v>
      </c>
      <c r="H603" s="3">
        <v>0.33055555555555549</v>
      </c>
      <c r="I603" s="1">
        <v>21</v>
      </c>
      <c r="J603" s="1">
        <v>13</v>
      </c>
      <c r="K603" s="1" t="s">
        <v>477</v>
      </c>
      <c r="L603" s="1" t="s">
        <v>19</v>
      </c>
      <c r="M603" s="1">
        <v>965</v>
      </c>
    </row>
    <row r="604" spans="1:13" x14ac:dyDescent="0.35">
      <c r="A604" s="1" t="s">
        <v>1114</v>
      </c>
      <c r="B604" s="2">
        <v>46116</v>
      </c>
      <c r="C604" s="1" t="s">
        <v>1115</v>
      </c>
      <c r="D604" s="1" t="s">
        <v>37</v>
      </c>
      <c r="E604" s="1" t="s">
        <v>47</v>
      </c>
      <c r="F604" s="1" t="s">
        <v>24</v>
      </c>
      <c r="G604" s="3">
        <v>0.87152777777777779</v>
      </c>
      <c r="H604" s="3">
        <v>0.87291666666666667</v>
      </c>
      <c r="I604" s="1">
        <v>2</v>
      </c>
      <c r="J604" s="1">
        <v>7</v>
      </c>
      <c r="K604" s="1" t="s">
        <v>18</v>
      </c>
      <c r="L604" s="1" t="s">
        <v>19</v>
      </c>
      <c r="M604" s="1">
        <v>679</v>
      </c>
    </row>
    <row r="605" spans="1:13" x14ac:dyDescent="0.35">
      <c r="A605" s="1" t="s">
        <v>1116</v>
      </c>
      <c r="B605" s="2">
        <v>46117</v>
      </c>
      <c r="C605" s="1" t="s">
        <v>978</v>
      </c>
      <c r="D605" s="1" t="s">
        <v>15</v>
      </c>
      <c r="E605" s="1" t="s">
        <v>37</v>
      </c>
      <c r="F605" s="1" t="s">
        <v>17</v>
      </c>
      <c r="G605" s="3">
        <v>0.4548611111111111</v>
      </c>
      <c r="H605" s="3">
        <v>0.53541666666666665</v>
      </c>
      <c r="I605" s="1">
        <v>116</v>
      </c>
      <c r="J605" s="1">
        <v>112</v>
      </c>
      <c r="K605" s="1" t="s">
        <v>276</v>
      </c>
      <c r="L605" s="1" t="s">
        <v>19</v>
      </c>
      <c r="M605" s="1">
        <v>955</v>
      </c>
    </row>
    <row r="606" spans="1:13" x14ac:dyDescent="0.35">
      <c r="A606" s="1" t="s">
        <v>1117</v>
      </c>
      <c r="B606" s="2">
        <v>46117</v>
      </c>
      <c r="C606" s="1" t="s">
        <v>1118</v>
      </c>
      <c r="D606" s="1" t="s">
        <v>37</v>
      </c>
      <c r="E606" s="1" t="s">
        <v>44</v>
      </c>
      <c r="F606" s="1" t="s">
        <v>17</v>
      </c>
      <c r="G606" s="3">
        <v>0.69444444444444442</v>
      </c>
      <c r="H606" s="3">
        <v>0.70902777777777781</v>
      </c>
      <c r="I606" s="1">
        <v>21</v>
      </c>
      <c r="J606" s="1">
        <v>18</v>
      </c>
      <c r="K606" s="1" t="s">
        <v>60</v>
      </c>
      <c r="L606" s="1" t="s">
        <v>19</v>
      </c>
      <c r="M606" s="1">
        <v>2489</v>
      </c>
    </row>
    <row r="607" spans="1:13" x14ac:dyDescent="0.35">
      <c r="A607" s="1" t="s">
        <v>1119</v>
      </c>
      <c r="B607" s="2">
        <v>46118</v>
      </c>
      <c r="C607" s="1" t="s">
        <v>1120</v>
      </c>
      <c r="D607" s="1" t="s">
        <v>23</v>
      </c>
      <c r="E607" s="1" t="s">
        <v>50</v>
      </c>
      <c r="F607" s="1" t="s">
        <v>17</v>
      </c>
      <c r="G607" s="3">
        <v>0.45833333333333331</v>
      </c>
      <c r="H607" s="3">
        <v>0.49236111111111108</v>
      </c>
      <c r="I607" s="1">
        <v>49</v>
      </c>
      <c r="J607" s="1">
        <v>41</v>
      </c>
      <c r="K607" s="1" t="s">
        <v>276</v>
      </c>
      <c r="L607" s="1" t="s">
        <v>19</v>
      </c>
      <c r="M607" s="1">
        <v>1197</v>
      </c>
    </row>
    <row r="608" spans="1:13" x14ac:dyDescent="0.35">
      <c r="A608" s="1" t="s">
        <v>1121</v>
      </c>
      <c r="B608" s="2">
        <v>46118</v>
      </c>
      <c r="C608" s="1" t="s">
        <v>125</v>
      </c>
      <c r="D608" s="1" t="s">
        <v>78</v>
      </c>
      <c r="E608" s="1" t="s">
        <v>23</v>
      </c>
      <c r="F608" s="1" t="s">
        <v>38</v>
      </c>
      <c r="G608" s="3">
        <v>0.63194444444444442</v>
      </c>
      <c r="H608" s="3">
        <v>0.6333333333333333</v>
      </c>
      <c r="I608" s="1">
        <v>2</v>
      </c>
      <c r="J608" s="1">
        <v>10</v>
      </c>
      <c r="K608" s="1" t="s">
        <v>18</v>
      </c>
      <c r="L608" s="1" t="s">
        <v>19</v>
      </c>
      <c r="M608" s="1">
        <v>602</v>
      </c>
    </row>
    <row r="609" spans="1:13" x14ac:dyDescent="0.35">
      <c r="A609" s="1" t="s">
        <v>1122</v>
      </c>
      <c r="B609" s="2">
        <v>46118</v>
      </c>
      <c r="C609" s="1" t="s">
        <v>1123</v>
      </c>
      <c r="D609" s="1" t="s">
        <v>50</v>
      </c>
      <c r="E609" s="1" t="s">
        <v>23</v>
      </c>
      <c r="F609" s="1" t="s">
        <v>28</v>
      </c>
      <c r="G609" s="3">
        <v>0.66319444444444442</v>
      </c>
      <c r="H609" s="3">
        <v>0.66111111111111109</v>
      </c>
      <c r="I609" s="1">
        <v>-3</v>
      </c>
      <c r="J609" s="1">
        <v>-8</v>
      </c>
      <c r="K609" s="1" t="s">
        <v>18</v>
      </c>
      <c r="L609" s="1" t="s">
        <v>19</v>
      </c>
      <c r="M609" s="1">
        <v>1197</v>
      </c>
    </row>
    <row r="610" spans="1:13" x14ac:dyDescent="0.35">
      <c r="A610" s="1" t="s">
        <v>1124</v>
      </c>
      <c r="B610" s="2">
        <v>46118</v>
      </c>
      <c r="C610" s="1" t="s">
        <v>1125</v>
      </c>
      <c r="D610" s="1" t="s">
        <v>1126</v>
      </c>
      <c r="E610" s="1" t="s">
        <v>22</v>
      </c>
      <c r="F610" s="1" t="s">
        <v>24</v>
      </c>
      <c r="G610" s="3">
        <v>0.73958333333333337</v>
      </c>
      <c r="H610" s="3">
        <v>0.74236111111111114</v>
      </c>
      <c r="I610" s="1">
        <v>4</v>
      </c>
      <c r="J610" s="1">
        <v>9</v>
      </c>
      <c r="K610" s="1" t="s">
        <v>18</v>
      </c>
      <c r="L610" s="1" t="s">
        <v>19</v>
      </c>
      <c r="M610" s="1">
        <v>2149</v>
      </c>
    </row>
    <row r="611" spans="1:13" x14ac:dyDescent="0.35">
      <c r="A611" s="1" t="s">
        <v>1127</v>
      </c>
      <c r="B611" s="2">
        <v>46119</v>
      </c>
      <c r="C611" s="1" t="s">
        <v>282</v>
      </c>
      <c r="D611" s="1" t="s">
        <v>50</v>
      </c>
      <c r="E611" s="1" t="s">
        <v>15</v>
      </c>
      <c r="F611" s="1" t="s">
        <v>24</v>
      </c>
      <c r="G611" s="3">
        <v>0.26041666666666669</v>
      </c>
      <c r="H611" s="3">
        <v>0.25763888888888892</v>
      </c>
      <c r="I611" s="1">
        <v>-4</v>
      </c>
      <c r="J611" s="1">
        <v>-15</v>
      </c>
      <c r="K611" s="1" t="s">
        <v>18</v>
      </c>
      <c r="L611" s="1" t="s">
        <v>19</v>
      </c>
      <c r="M611" s="1">
        <v>1942</v>
      </c>
    </row>
    <row r="612" spans="1:13" x14ac:dyDescent="0.35">
      <c r="A612" s="1" t="s">
        <v>1128</v>
      </c>
      <c r="B612" s="2">
        <v>46119</v>
      </c>
      <c r="C612" s="1" t="s">
        <v>1129</v>
      </c>
      <c r="D612" s="1" t="s">
        <v>23</v>
      </c>
      <c r="E612" s="1" t="s">
        <v>15</v>
      </c>
      <c r="F612" s="1" t="s">
        <v>17</v>
      </c>
      <c r="G612" s="3">
        <v>0.51388888888888884</v>
      </c>
      <c r="H612" s="3">
        <v>0.52083333333333337</v>
      </c>
      <c r="I612" s="1">
        <v>10</v>
      </c>
      <c r="J612" s="1">
        <v>9</v>
      </c>
      <c r="K612" s="1" t="s">
        <v>18</v>
      </c>
      <c r="L612" s="1" t="s">
        <v>19</v>
      </c>
      <c r="M612" s="1">
        <v>861</v>
      </c>
    </row>
    <row r="613" spans="1:13" x14ac:dyDescent="0.35">
      <c r="A613" s="1" t="s">
        <v>1130</v>
      </c>
      <c r="B613" s="2">
        <v>46119</v>
      </c>
      <c r="C613" s="1" t="s">
        <v>1131</v>
      </c>
      <c r="D613" s="1" t="s">
        <v>27</v>
      </c>
      <c r="E613" s="1" t="s">
        <v>44</v>
      </c>
      <c r="F613" s="1" t="s">
        <v>28</v>
      </c>
      <c r="G613" s="3">
        <v>0.51736111111111116</v>
      </c>
      <c r="H613" s="3">
        <v>0.5180555555555556</v>
      </c>
      <c r="I613" s="1">
        <v>1</v>
      </c>
      <c r="J613" s="1">
        <v>4</v>
      </c>
      <c r="K613" s="1" t="s">
        <v>18</v>
      </c>
      <c r="L613" s="1" t="s">
        <v>19</v>
      </c>
      <c r="M613" s="1">
        <v>1559</v>
      </c>
    </row>
    <row r="614" spans="1:13" x14ac:dyDescent="0.35">
      <c r="A614" s="1" t="s">
        <v>1132</v>
      </c>
      <c r="B614" s="2">
        <v>46119</v>
      </c>
      <c r="C614" s="1" t="s">
        <v>1012</v>
      </c>
      <c r="D614" s="1" t="s">
        <v>27</v>
      </c>
      <c r="E614" s="1" t="s">
        <v>16</v>
      </c>
      <c r="F614" s="1" t="s">
        <v>28</v>
      </c>
      <c r="G614" s="3">
        <v>0.58333333333333337</v>
      </c>
      <c r="H614" s="3">
        <v>0.60486111111111107</v>
      </c>
      <c r="I614" s="1">
        <v>31</v>
      </c>
      <c r="J614" s="1">
        <v>21</v>
      </c>
      <c r="K614" s="1" t="s">
        <v>54</v>
      </c>
      <c r="L614" s="1" t="s">
        <v>19</v>
      </c>
      <c r="M614" s="1">
        <v>802</v>
      </c>
    </row>
    <row r="615" spans="1:13" x14ac:dyDescent="0.35">
      <c r="A615" s="1" t="s">
        <v>1133</v>
      </c>
      <c r="B615" s="2">
        <v>46119</v>
      </c>
      <c r="C615" s="1" t="s">
        <v>1012</v>
      </c>
      <c r="D615" s="1" t="s">
        <v>202</v>
      </c>
      <c r="E615" s="1" t="s">
        <v>44</v>
      </c>
      <c r="F615" s="1" t="s">
        <v>24</v>
      </c>
      <c r="G615" s="3">
        <v>0.76041666666666663</v>
      </c>
      <c r="H615" s="3">
        <v>0.75763888888888886</v>
      </c>
      <c r="I615" s="1">
        <v>-4</v>
      </c>
      <c r="J615" s="1">
        <v>4</v>
      </c>
      <c r="K615" s="1"/>
      <c r="L615" s="1" t="s">
        <v>19</v>
      </c>
      <c r="M615" s="1">
        <v>1260</v>
      </c>
    </row>
    <row r="616" spans="1:13" x14ac:dyDescent="0.35">
      <c r="A616" s="1" t="s">
        <v>1134</v>
      </c>
      <c r="B616" s="2">
        <v>46119</v>
      </c>
      <c r="C616" s="1" t="s">
        <v>773</v>
      </c>
      <c r="D616" s="1" t="s">
        <v>15</v>
      </c>
      <c r="E616" s="1" t="s">
        <v>16</v>
      </c>
      <c r="F616" s="1" t="s">
        <v>17</v>
      </c>
      <c r="G616" s="3">
        <v>0.86458333333333337</v>
      </c>
      <c r="H616" s="3">
        <v>0.90694444444444444</v>
      </c>
      <c r="I616" s="1">
        <v>61</v>
      </c>
      <c r="J616" s="1">
        <v>49</v>
      </c>
      <c r="K616" s="1" t="s">
        <v>54</v>
      </c>
      <c r="L616" s="1" t="s">
        <v>19</v>
      </c>
      <c r="M616" s="1">
        <v>1742</v>
      </c>
    </row>
    <row r="617" spans="1:13" x14ac:dyDescent="0.35">
      <c r="A617" s="1" t="s">
        <v>1135</v>
      </c>
      <c r="B617" s="2">
        <v>46120</v>
      </c>
      <c r="C617" s="1" t="s">
        <v>1060</v>
      </c>
      <c r="D617" s="1" t="s">
        <v>15</v>
      </c>
      <c r="E617" s="1" t="s">
        <v>27</v>
      </c>
      <c r="F617" s="1" t="s">
        <v>24</v>
      </c>
      <c r="G617" s="3">
        <v>0.59375</v>
      </c>
      <c r="H617" s="3">
        <v>0.58819444444444446</v>
      </c>
      <c r="I617" s="1">
        <v>-8</v>
      </c>
      <c r="J617" s="1">
        <v>-9</v>
      </c>
      <c r="K617" s="1" t="s">
        <v>18</v>
      </c>
      <c r="L617" s="1" t="s">
        <v>19</v>
      </c>
      <c r="M617" s="1">
        <v>1232</v>
      </c>
    </row>
    <row r="618" spans="1:13" x14ac:dyDescent="0.35">
      <c r="A618" s="1" t="s">
        <v>1136</v>
      </c>
      <c r="B618" s="2">
        <v>46120</v>
      </c>
      <c r="C618" s="1" t="s">
        <v>1137</v>
      </c>
      <c r="D618" s="1" t="s">
        <v>41</v>
      </c>
      <c r="E618" s="1" t="s">
        <v>16</v>
      </c>
      <c r="F618" s="1" t="s">
        <v>28</v>
      </c>
      <c r="G618" s="3">
        <v>0.64236111111111116</v>
      </c>
      <c r="H618" s="3">
        <v>0.64930555555555558</v>
      </c>
      <c r="I618" s="1">
        <v>10</v>
      </c>
      <c r="J618" s="1">
        <v>16</v>
      </c>
      <c r="K618" s="1" t="s">
        <v>18</v>
      </c>
      <c r="L618" s="1" t="s">
        <v>19</v>
      </c>
      <c r="M618" s="1">
        <v>1199</v>
      </c>
    </row>
    <row r="619" spans="1:13" x14ac:dyDescent="0.35">
      <c r="A619" s="1" t="s">
        <v>1138</v>
      </c>
      <c r="B619" s="2">
        <v>46121</v>
      </c>
      <c r="C619" s="1" t="s">
        <v>1017</v>
      </c>
      <c r="D619" s="1" t="s">
        <v>50</v>
      </c>
      <c r="E619" s="1" t="s">
        <v>27</v>
      </c>
      <c r="F619" s="1" t="s">
        <v>38</v>
      </c>
      <c r="G619" s="3">
        <v>0.79513888888888884</v>
      </c>
      <c r="H619" s="3">
        <v>0.7944444444444444</v>
      </c>
      <c r="I619" s="1">
        <v>-300</v>
      </c>
      <c r="J619" s="1">
        <v>-9</v>
      </c>
      <c r="K619" s="1" t="s">
        <v>18</v>
      </c>
      <c r="L619" s="1" t="s">
        <v>19</v>
      </c>
      <c r="M619" s="1">
        <v>730</v>
      </c>
    </row>
    <row r="620" spans="1:13" x14ac:dyDescent="0.35">
      <c r="A620" s="1" t="s">
        <v>1139</v>
      </c>
      <c r="B620" s="2">
        <v>46122</v>
      </c>
      <c r="C620" s="1" t="s">
        <v>768</v>
      </c>
      <c r="D620" s="1" t="s">
        <v>695</v>
      </c>
      <c r="E620" s="1" t="s">
        <v>22</v>
      </c>
      <c r="F620" s="1" t="s">
        <v>38</v>
      </c>
      <c r="G620" s="3">
        <v>0.63888888888888884</v>
      </c>
      <c r="H620" s="3">
        <v>0.65069444444444446</v>
      </c>
      <c r="I620" s="1">
        <v>17</v>
      </c>
      <c r="J620" s="1">
        <v>13</v>
      </c>
      <c r="K620" s="1" t="s">
        <v>617</v>
      </c>
      <c r="L620" s="1" t="s">
        <v>19</v>
      </c>
      <c r="M620" s="1">
        <v>2415</v>
      </c>
    </row>
    <row r="621" spans="1:13" x14ac:dyDescent="0.35">
      <c r="A621" s="1" t="s">
        <v>1140</v>
      </c>
      <c r="B621" s="2">
        <v>46123</v>
      </c>
      <c r="C621" s="1" t="s">
        <v>180</v>
      </c>
      <c r="D621" s="1" t="s">
        <v>47</v>
      </c>
      <c r="E621" s="1" t="s">
        <v>197</v>
      </c>
      <c r="F621" s="1" t="s">
        <v>24</v>
      </c>
      <c r="G621" s="3">
        <v>0.25347222222222221</v>
      </c>
      <c r="H621" s="3">
        <v>0.25347222222222221</v>
      </c>
      <c r="I621" s="1">
        <v>0</v>
      </c>
      <c r="J621" s="1">
        <v>-1</v>
      </c>
      <c r="K621" s="1" t="s">
        <v>18</v>
      </c>
      <c r="L621" s="1" t="s">
        <v>19</v>
      </c>
      <c r="M621" s="1">
        <v>2580</v>
      </c>
    </row>
    <row r="622" spans="1:13" x14ac:dyDescent="0.35">
      <c r="A622" s="1" t="s">
        <v>1141</v>
      </c>
      <c r="B622" s="2">
        <v>46123</v>
      </c>
      <c r="C622" s="1" t="s">
        <v>1142</v>
      </c>
      <c r="D622" s="1" t="s">
        <v>44</v>
      </c>
      <c r="E622" s="1" t="s">
        <v>50</v>
      </c>
      <c r="F622" s="1" t="s">
        <v>38</v>
      </c>
      <c r="G622" s="3">
        <v>0.29166666666666669</v>
      </c>
      <c r="H622" s="3">
        <v>0.28958333333333341</v>
      </c>
      <c r="I622" s="1">
        <v>-3</v>
      </c>
      <c r="J622" s="1">
        <v>2</v>
      </c>
      <c r="K622" s="1" t="s">
        <v>18</v>
      </c>
      <c r="L622" s="1" t="s">
        <v>19</v>
      </c>
      <c r="M622" s="1">
        <v>945</v>
      </c>
    </row>
    <row r="623" spans="1:13" x14ac:dyDescent="0.35">
      <c r="A623" s="1" t="s">
        <v>1143</v>
      </c>
      <c r="B623" s="2">
        <v>46123</v>
      </c>
      <c r="C623" s="1" t="s">
        <v>1144</v>
      </c>
      <c r="D623" s="1" t="s">
        <v>22</v>
      </c>
      <c r="E623" s="1" t="s">
        <v>16</v>
      </c>
      <c r="F623" s="1" t="s">
        <v>28</v>
      </c>
      <c r="G623" s="3">
        <v>0.30555555555555558</v>
      </c>
      <c r="H623" s="3">
        <v>0.31388888888888888</v>
      </c>
      <c r="I623" s="1">
        <v>12</v>
      </c>
      <c r="J623" s="1">
        <v>18</v>
      </c>
      <c r="K623" s="1" t="s">
        <v>18</v>
      </c>
      <c r="L623" s="1" t="s">
        <v>19</v>
      </c>
      <c r="M623" s="1">
        <v>738</v>
      </c>
    </row>
    <row r="624" spans="1:13" x14ac:dyDescent="0.35">
      <c r="A624" s="1" t="s">
        <v>1145</v>
      </c>
      <c r="B624" s="2">
        <v>46123</v>
      </c>
      <c r="C624" s="1" t="s">
        <v>114</v>
      </c>
      <c r="D624" s="1" t="s">
        <v>23</v>
      </c>
      <c r="E624" s="1" t="s">
        <v>16</v>
      </c>
      <c r="F624" s="1" t="s">
        <v>17</v>
      </c>
      <c r="G624" s="3">
        <v>0.5625</v>
      </c>
      <c r="H624" s="1"/>
      <c r="I624" s="1"/>
      <c r="J624" s="1"/>
      <c r="K624" s="1" t="s">
        <v>617</v>
      </c>
      <c r="L624" s="1" t="s">
        <v>254</v>
      </c>
      <c r="M624" s="1">
        <v>886</v>
      </c>
    </row>
    <row r="625" spans="1:13" x14ac:dyDescent="0.35">
      <c r="A625" s="1" t="s">
        <v>1146</v>
      </c>
      <c r="B625" s="2">
        <v>46123</v>
      </c>
      <c r="C625" s="1" t="s">
        <v>1147</v>
      </c>
      <c r="D625" s="1" t="s">
        <v>226</v>
      </c>
      <c r="E625" s="1" t="s">
        <v>41</v>
      </c>
      <c r="F625" s="1" t="s">
        <v>28</v>
      </c>
      <c r="G625" s="3">
        <v>0.82638888888888884</v>
      </c>
      <c r="H625" s="3">
        <v>0.83125000000000004</v>
      </c>
      <c r="I625" s="1">
        <v>7</v>
      </c>
      <c r="J625" s="1">
        <v>8</v>
      </c>
      <c r="K625" s="1"/>
      <c r="L625" s="1" t="s">
        <v>19</v>
      </c>
      <c r="M625" s="1">
        <v>1708</v>
      </c>
    </row>
    <row r="626" spans="1:13" x14ac:dyDescent="0.35">
      <c r="A626" s="1" t="s">
        <v>1148</v>
      </c>
      <c r="B626" s="2">
        <v>46124</v>
      </c>
      <c r="C626" s="1" t="s">
        <v>692</v>
      </c>
      <c r="D626" s="1" t="s">
        <v>93</v>
      </c>
      <c r="E626" s="1" t="s">
        <v>50</v>
      </c>
      <c r="F626" s="1" t="s">
        <v>24</v>
      </c>
      <c r="G626" s="3">
        <v>0.72916666666666663</v>
      </c>
      <c r="H626" s="3">
        <v>0.73333333333333328</v>
      </c>
      <c r="I626" s="1">
        <v>6</v>
      </c>
      <c r="J626" s="1">
        <v>13</v>
      </c>
      <c r="K626" s="1"/>
      <c r="L626" s="1" t="s">
        <v>19</v>
      </c>
      <c r="M626" s="1">
        <v>606</v>
      </c>
    </row>
    <row r="627" spans="1:13" x14ac:dyDescent="0.35">
      <c r="A627" s="1" t="s">
        <v>1149</v>
      </c>
      <c r="B627" s="2">
        <v>46124</v>
      </c>
      <c r="C627" s="1" t="s">
        <v>1150</v>
      </c>
      <c r="D627" s="1" t="s">
        <v>78</v>
      </c>
      <c r="E627" s="1" t="s">
        <v>27</v>
      </c>
      <c r="F627" s="1" t="s">
        <v>24</v>
      </c>
      <c r="G627" s="3">
        <v>0.94444444444444442</v>
      </c>
      <c r="H627" s="1"/>
      <c r="I627" s="1"/>
      <c r="J627" s="1"/>
      <c r="K627" s="1" t="s">
        <v>60</v>
      </c>
      <c r="L627" s="1" t="s">
        <v>254</v>
      </c>
      <c r="M627" s="1">
        <v>866</v>
      </c>
    </row>
    <row r="628" spans="1:13" x14ac:dyDescent="0.35">
      <c r="A628" s="1" t="s">
        <v>1151</v>
      </c>
      <c r="B628" s="2">
        <v>46125</v>
      </c>
      <c r="C628" s="1" t="s">
        <v>1152</v>
      </c>
      <c r="D628" s="1" t="s">
        <v>23</v>
      </c>
      <c r="E628" s="1" t="s">
        <v>413</v>
      </c>
      <c r="F628" s="1" t="s">
        <v>17</v>
      </c>
      <c r="G628" s="3">
        <v>0.4236111111111111</v>
      </c>
      <c r="H628" s="3">
        <v>0.42152777777777778</v>
      </c>
      <c r="I628" s="1">
        <v>-3</v>
      </c>
      <c r="J628" s="1">
        <v>0</v>
      </c>
      <c r="K628" s="1" t="s">
        <v>18</v>
      </c>
      <c r="L628" s="1" t="s">
        <v>19</v>
      </c>
      <c r="M628" s="1">
        <v>861</v>
      </c>
    </row>
    <row r="629" spans="1:13" x14ac:dyDescent="0.35">
      <c r="A629" s="1" t="s">
        <v>1153</v>
      </c>
      <c r="B629" s="2">
        <v>46125</v>
      </c>
      <c r="C629" s="1" t="s">
        <v>694</v>
      </c>
      <c r="D629" s="1" t="s">
        <v>50</v>
      </c>
      <c r="E629" s="1" t="s">
        <v>27</v>
      </c>
      <c r="F629" s="1" t="s">
        <v>38</v>
      </c>
      <c r="G629" s="3">
        <v>0.87847222222222221</v>
      </c>
      <c r="H629" s="3">
        <v>0.90555555555555556</v>
      </c>
      <c r="I629" s="1">
        <v>39</v>
      </c>
      <c r="J629" s="1">
        <v>33</v>
      </c>
      <c r="K629" s="1" t="s">
        <v>54</v>
      </c>
      <c r="L629" s="1" t="s">
        <v>19</v>
      </c>
      <c r="M629" s="1">
        <v>730</v>
      </c>
    </row>
    <row r="630" spans="1:13" x14ac:dyDescent="0.35">
      <c r="A630" s="1" t="s">
        <v>1154</v>
      </c>
      <c r="B630" s="2">
        <v>46125</v>
      </c>
      <c r="C630" s="1" t="s">
        <v>971</v>
      </c>
      <c r="D630" s="1" t="s">
        <v>16</v>
      </c>
      <c r="E630" s="1" t="s">
        <v>41</v>
      </c>
      <c r="F630" s="1" t="s">
        <v>28</v>
      </c>
      <c r="G630" s="3">
        <v>0.87847222222222221</v>
      </c>
      <c r="H630" s="3">
        <v>0.87777777777777777</v>
      </c>
      <c r="I630" s="1">
        <v>-1</v>
      </c>
      <c r="J630" s="1">
        <v>-5</v>
      </c>
      <c r="K630" s="1" t="s">
        <v>18</v>
      </c>
      <c r="L630" s="1" t="s">
        <v>19</v>
      </c>
      <c r="M630" s="1">
        <v>1199</v>
      </c>
    </row>
    <row r="631" spans="1:13" x14ac:dyDescent="0.35">
      <c r="A631" s="1" t="s">
        <v>1155</v>
      </c>
      <c r="B631" s="2">
        <v>46126</v>
      </c>
      <c r="C631" s="1" t="s">
        <v>118</v>
      </c>
      <c r="D631" s="1" t="s">
        <v>44</v>
      </c>
      <c r="E631" s="1" t="s">
        <v>15</v>
      </c>
      <c r="F631" s="1" t="s">
        <v>28</v>
      </c>
      <c r="G631" s="3">
        <v>0.625</v>
      </c>
      <c r="H631" s="3">
        <v>0.63263888888888886</v>
      </c>
      <c r="I631" s="1">
        <v>11</v>
      </c>
      <c r="J631" s="1">
        <v>8</v>
      </c>
      <c r="K631" s="1" t="s">
        <v>18</v>
      </c>
      <c r="L631" s="1" t="s">
        <v>19</v>
      </c>
      <c r="M631" s="1">
        <v>2606</v>
      </c>
    </row>
    <row r="632" spans="1:13" x14ac:dyDescent="0.35">
      <c r="A632" s="1" t="s">
        <v>1156</v>
      </c>
      <c r="B632" s="2">
        <v>46126</v>
      </c>
      <c r="C632" s="1" t="s">
        <v>1157</v>
      </c>
      <c r="D632" s="1" t="s">
        <v>23</v>
      </c>
      <c r="E632" s="1" t="s">
        <v>31</v>
      </c>
      <c r="F632" s="1" t="s">
        <v>38</v>
      </c>
      <c r="G632" s="3">
        <v>0.75</v>
      </c>
      <c r="H632" s="3">
        <v>0.81736111111111109</v>
      </c>
      <c r="I632" s="1">
        <v>97</v>
      </c>
      <c r="J632" s="1">
        <v>105</v>
      </c>
      <c r="K632" s="1" t="s">
        <v>54</v>
      </c>
      <c r="L632" s="1" t="s">
        <v>19</v>
      </c>
      <c r="M632" s="1">
        <v>627</v>
      </c>
    </row>
    <row r="633" spans="1:13" x14ac:dyDescent="0.35">
      <c r="A633" s="1" t="s">
        <v>1158</v>
      </c>
      <c r="B633" s="2">
        <v>46126</v>
      </c>
      <c r="C633" s="1" t="s">
        <v>603</v>
      </c>
      <c r="D633" s="1" t="s">
        <v>123</v>
      </c>
      <c r="E633" s="1" t="s">
        <v>23</v>
      </c>
      <c r="F633" s="1" t="s">
        <v>17</v>
      </c>
      <c r="G633" s="3">
        <v>0.83333333333333337</v>
      </c>
      <c r="H633" s="3">
        <v>0.82777777777777772</v>
      </c>
      <c r="I633" s="1">
        <v>-8</v>
      </c>
      <c r="J633" s="1">
        <v>-2</v>
      </c>
      <c r="K633" s="1" t="s">
        <v>18</v>
      </c>
      <c r="L633" s="1" t="s">
        <v>19</v>
      </c>
      <c r="M633" s="1">
        <v>1197</v>
      </c>
    </row>
    <row r="634" spans="1:13" x14ac:dyDescent="0.35">
      <c r="A634" s="1" t="s">
        <v>1159</v>
      </c>
      <c r="B634" s="2">
        <v>46127</v>
      </c>
      <c r="C634" s="1" t="s">
        <v>754</v>
      </c>
      <c r="D634" s="1" t="s">
        <v>41</v>
      </c>
      <c r="E634" s="1" t="s">
        <v>16</v>
      </c>
      <c r="F634" s="1" t="s">
        <v>17</v>
      </c>
      <c r="G634" s="3">
        <v>0.3611111111111111</v>
      </c>
      <c r="H634" s="3">
        <v>0.36319444444444438</v>
      </c>
      <c r="I634" s="1">
        <v>3</v>
      </c>
      <c r="J634" s="1">
        <v>11</v>
      </c>
      <c r="K634" s="1" t="s">
        <v>18</v>
      </c>
      <c r="L634" s="1" t="s">
        <v>19</v>
      </c>
      <c r="M634" s="1">
        <v>1199</v>
      </c>
    </row>
    <row r="635" spans="1:13" x14ac:dyDescent="0.35">
      <c r="A635" s="1" t="s">
        <v>1160</v>
      </c>
      <c r="B635" s="2">
        <v>46127</v>
      </c>
      <c r="C635" s="1" t="s">
        <v>1161</v>
      </c>
      <c r="D635" s="1" t="s">
        <v>27</v>
      </c>
      <c r="E635" s="1" t="s">
        <v>50</v>
      </c>
      <c r="F635" s="1" t="s">
        <v>17</v>
      </c>
      <c r="G635" s="3">
        <v>0.46180555555555558</v>
      </c>
      <c r="H635" s="3">
        <v>0.45694444444444438</v>
      </c>
      <c r="I635" s="1">
        <v>-7</v>
      </c>
      <c r="J635" s="1">
        <v>-11</v>
      </c>
      <c r="K635" s="1"/>
      <c r="L635" s="1" t="s">
        <v>19</v>
      </c>
      <c r="M635" s="1">
        <v>730</v>
      </c>
    </row>
    <row r="636" spans="1:13" x14ac:dyDescent="0.35">
      <c r="A636" s="1" t="s">
        <v>1162</v>
      </c>
      <c r="B636" s="2">
        <v>46127</v>
      </c>
      <c r="C636" s="1" t="s">
        <v>454</v>
      </c>
      <c r="D636" s="1" t="s">
        <v>23</v>
      </c>
      <c r="E636" s="1" t="s">
        <v>41</v>
      </c>
      <c r="F636" s="1" t="s">
        <v>24</v>
      </c>
      <c r="G636" s="3">
        <v>0.47916666666666669</v>
      </c>
      <c r="H636" s="3">
        <v>0.47986111111111113</v>
      </c>
      <c r="I636" s="1">
        <v>1</v>
      </c>
      <c r="J636" s="1">
        <v>3</v>
      </c>
      <c r="K636" s="1" t="s">
        <v>18</v>
      </c>
      <c r="L636" s="1" t="s">
        <v>19</v>
      </c>
      <c r="M636" s="1">
        <v>1708</v>
      </c>
    </row>
    <row r="637" spans="1:13" x14ac:dyDescent="0.35">
      <c r="A637" s="1" t="s">
        <v>1163</v>
      </c>
      <c r="B637" s="2">
        <v>46127</v>
      </c>
      <c r="C637" s="1" t="s">
        <v>649</v>
      </c>
      <c r="D637" s="1" t="s">
        <v>15</v>
      </c>
      <c r="E637" s="1" t="s">
        <v>23</v>
      </c>
      <c r="F637" s="1" t="s">
        <v>17</v>
      </c>
      <c r="G637" s="3">
        <v>0.69444444444444442</v>
      </c>
      <c r="H637" s="3">
        <v>0.70277777777777772</v>
      </c>
      <c r="I637" s="1">
        <v>12</v>
      </c>
      <c r="J637" s="1">
        <v>1</v>
      </c>
      <c r="K637" s="1" t="s">
        <v>18</v>
      </c>
      <c r="L637" s="1" t="s">
        <v>19</v>
      </c>
      <c r="M637" s="1">
        <v>861</v>
      </c>
    </row>
    <row r="638" spans="1:13" x14ac:dyDescent="0.35">
      <c r="A638" s="1" t="s">
        <v>1164</v>
      </c>
      <c r="B638" s="2">
        <v>46127</v>
      </c>
      <c r="C638" s="1" t="s">
        <v>677</v>
      </c>
      <c r="D638" s="1" t="s">
        <v>78</v>
      </c>
      <c r="E638" s="1" t="s">
        <v>37</v>
      </c>
      <c r="F638" s="1" t="s">
        <v>17</v>
      </c>
      <c r="G638" s="3">
        <v>0.72916666666666663</v>
      </c>
      <c r="H638" s="3">
        <v>0.74097222222222225</v>
      </c>
      <c r="I638" s="1">
        <v>17</v>
      </c>
      <c r="J638" s="1">
        <v>13</v>
      </c>
      <c r="K638" s="1" t="s">
        <v>174</v>
      </c>
      <c r="L638" s="1" t="s">
        <v>19</v>
      </c>
      <c r="M638" s="1">
        <v>1108</v>
      </c>
    </row>
    <row r="639" spans="1:13" x14ac:dyDescent="0.35">
      <c r="A639" s="1" t="s">
        <v>1165</v>
      </c>
      <c r="B639" s="2">
        <v>46128</v>
      </c>
      <c r="C639" s="1" t="s">
        <v>752</v>
      </c>
      <c r="D639" s="1" t="s">
        <v>22</v>
      </c>
      <c r="E639" s="1" t="s">
        <v>44</v>
      </c>
      <c r="F639" s="1" t="s">
        <v>17</v>
      </c>
      <c r="G639" s="3">
        <v>0.33333333333333331</v>
      </c>
      <c r="H639" s="3">
        <v>0.32916666666666672</v>
      </c>
      <c r="I639" s="1">
        <v>-6</v>
      </c>
      <c r="J639" s="1">
        <v>-16</v>
      </c>
      <c r="K639" s="1" t="s">
        <v>18</v>
      </c>
      <c r="L639" s="1" t="s">
        <v>19</v>
      </c>
      <c r="M639" s="1">
        <v>186</v>
      </c>
    </row>
    <row r="640" spans="1:13" x14ac:dyDescent="0.35">
      <c r="A640" s="1" t="s">
        <v>1166</v>
      </c>
      <c r="B640" s="2">
        <v>46128</v>
      </c>
      <c r="C640" s="1" t="s">
        <v>1167</v>
      </c>
      <c r="D640" s="1" t="s">
        <v>50</v>
      </c>
      <c r="E640" s="1" t="s">
        <v>413</v>
      </c>
      <c r="F640" s="1" t="s">
        <v>17</v>
      </c>
      <c r="G640" s="3">
        <v>0.63194444444444442</v>
      </c>
      <c r="H640" s="1"/>
      <c r="I640" s="1"/>
      <c r="J640" s="1"/>
      <c r="K640" s="1" t="s">
        <v>60</v>
      </c>
      <c r="L640" s="1" t="s">
        <v>254</v>
      </c>
      <c r="M640" s="1">
        <v>1942</v>
      </c>
    </row>
    <row r="641" spans="1:13" x14ac:dyDescent="0.35">
      <c r="A641" s="1" t="s">
        <v>1168</v>
      </c>
      <c r="B641" s="2">
        <v>46129</v>
      </c>
      <c r="C641" s="1" t="s">
        <v>919</v>
      </c>
      <c r="D641" s="1" t="s">
        <v>15</v>
      </c>
      <c r="E641" s="1" t="s">
        <v>22</v>
      </c>
      <c r="F641" s="1" t="s">
        <v>24</v>
      </c>
      <c r="G641" s="3">
        <v>0.32291666666666669</v>
      </c>
      <c r="H641" s="3">
        <v>0.31805555555555548</v>
      </c>
      <c r="I641" s="1">
        <v>-7</v>
      </c>
      <c r="J641" s="1">
        <v>-12</v>
      </c>
      <c r="K641" s="1" t="s">
        <v>18</v>
      </c>
      <c r="L641" s="1" t="s">
        <v>19</v>
      </c>
      <c r="M641" s="1">
        <v>2470</v>
      </c>
    </row>
    <row r="642" spans="1:13" x14ac:dyDescent="0.35">
      <c r="A642" s="1" t="s">
        <v>1169</v>
      </c>
      <c r="B642" s="2">
        <v>46129</v>
      </c>
      <c r="C642" s="1" t="s">
        <v>378</v>
      </c>
      <c r="D642" s="1" t="s">
        <v>418</v>
      </c>
      <c r="E642" s="1" t="s">
        <v>15</v>
      </c>
      <c r="F642" s="1" t="s">
        <v>28</v>
      </c>
      <c r="G642" s="3">
        <v>0.67361111111111116</v>
      </c>
      <c r="H642" s="3">
        <v>0.67291666666666672</v>
      </c>
      <c r="I642" s="1">
        <v>-1</v>
      </c>
      <c r="J642" s="1">
        <v>-7</v>
      </c>
      <c r="K642" s="1" t="s">
        <v>18</v>
      </c>
      <c r="L642" s="1" t="s">
        <v>19</v>
      </c>
      <c r="M642" s="1">
        <v>2338</v>
      </c>
    </row>
    <row r="643" spans="1:13" x14ac:dyDescent="0.35">
      <c r="A643" s="1" t="s">
        <v>1170</v>
      </c>
      <c r="B643" s="2">
        <v>46129</v>
      </c>
      <c r="C643" s="1" t="s">
        <v>322</v>
      </c>
      <c r="D643" s="1" t="s">
        <v>1171</v>
      </c>
      <c r="E643" s="1" t="s">
        <v>23</v>
      </c>
      <c r="F643" s="1" t="s">
        <v>28</v>
      </c>
      <c r="G643" s="3">
        <v>0.71180555555555558</v>
      </c>
      <c r="H643" s="3">
        <v>0.71111111111111114</v>
      </c>
      <c r="I643" s="1">
        <v>-1</v>
      </c>
      <c r="J643" s="1">
        <v>-6</v>
      </c>
      <c r="K643" s="1" t="s">
        <v>18</v>
      </c>
      <c r="L643" s="1" t="s">
        <v>19</v>
      </c>
      <c r="M643" s="1">
        <v>602</v>
      </c>
    </row>
    <row r="644" spans="1:13" x14ac:dyDescent="0.35">
      <c r="A644" s="1" t="s">
        <v>1172</v>
      </c>
      <c r="B644" s="2">
        <v>46130</v>
      </c>
      <c r="C644" s="1" t="s">
        <v>1173</v>
      </c>
      <c r="D644" s="1" t="s">
        <v>15</v>
      </c>
      <c r="E644" s="1" t="s">
        <v>22</v>
      </c>
      <c r="F644" s="1" t="s">
        <v>17</v>
      </c>
      <c r="G644" s="3">
        <v>0.51041666666666663</v>
      </c>
      <c r="H644" s="3">
        <v>0.50972222222222219</v>
      </c>
      <c r="I644" s="1">
        <v>-1</v>
      </c>
      <c r="J644" s="1">
        <v>9</v>
      </c>
      <c r="K644" s="1"/>
      <c r="L644" s="1" t="s">
        <v>19</v>
      </c>
      <c r="M644" s="1">
        <v>2470</v>
      </c>
    </row>
    <row r="645" spans="1:13" x14ac:dyDescent="0.35">
      <c r="A645" s="1" t="s">
        <v>1174</v>
      </c>
      <c r="B645" s="2">
        <v>46130</v>
      </c>
      <c r="C645" s="1" t="s">
        <v>1175</v>
      </c>
      <c r="D645" s="1" t="s">
        <v>16</v>
      </c>
      <c r="E645" s="1" t="s">
        <v>15</v>
      </c>
      <c r="F645" s="1" t="s">
        <v>17</v>
      </c>
      <c r="G645" s="3">
        <v>0.63541666666666663</v>
      </c>
      <c r="H645" s="3">
        <v>0.7416666666666667</v>
      </c>
      <c r="I645" s="1">
        <v>153</v>
      </c>
      <c r="J645" s="1">
        <v>148</v>
      </c>
      <c r="K645" s="1" t="s">
        <v>149</v>
      </c>
      <c r="L645" s="1" t="s">
        <v>19</v>
      </c>
      <c r="M645" s="1">
        <v>1742</v>
      </c>
    </row>
    <row r="646" spans="1:13" x14ac:dyDescent="0.35">
      <c r="A646" s="1" t="s">
        <v>1176</v>
      </c>
      <c r="B646" s="2">
        <v>46130</v>
      </c>
      <c r="C646" s="1" t="s">
        <v>1075</v>
      </c>
      <c r="D646" s="1" t="s">
        <v>50</v>
      </c>
      <c r="E646" s="1" t="s">
        <v>44</v>
      </c>
      <c r="F646" s="1" t="s">
        <v>28</v>
      </c>
      <c r="G646" s="3">
        <v>0.74652777777777779</v>
      </c>
      <c r="H646" s="3">
        <v>0.75208333333333333</v>
      </c>
      <c r="I646" s="1">
        <v>8</v>
      </c>
      <c r="J646" s="1">
        <v>11</v>
      </c>
      <c r="K646" s="1"/>
      <c r="L646" s="1" t="s">
        <v>19</v>
      </c>
      <c r="M646" s="1">
        <v>945</v>
      </c>
    </row>
    <row r="647" spans="1:13" x14ac:dyDescent="0.35">
      <c r="A647" s="1" t="s">
        <v>1177</v>
      </c>
      <c r="B647" s="2">
        <v>46131</v>
      </c>
      <c r="C647" s="1" t="s">
        <v>1178</v>
      </c>
      <c r="D647" s="1" t="s">
        <v>78</v>
      </c>
      <c r="E647" s="1" t="s">
        <v>15</v>
      </c>
      <c r="F647" s="1" t="s">
        <v>38</v>
      </c>
      <c r="G647" s="3">
        <v>0.47916666666666669</v>
      </c>
      <c r="H647" s="3">
        <v>0.47361111111111109</v>
      </c>
      <c r="I647" s="1">
        <v>-8</v>
      </c>
      <c r="J647" s="1">
        <v>0</v>
      </c>
      <c r="K647" s="1" t="s">
        <v>18</v>
      </c>
      <c r="L647" s="1" t="s">
        <v>19</v>
      </c>
      <c r="M647" s="1">
        <v>370</v>
      </c>
    </row>
    <row r="648" spans="1:13" x14ac:dyDescent="0.35">
      <c r="A648" s="1" t="s">
        <v>1179</v>
      </c>
      <c r="B648" s="2">
        <v>46131</v>
      </c>
      <c r="C648" s="1" t="s">
        <v>446</v>
      </c>
      <c r="D648" s="1" t="s">
        <v>16</v>
      </c>
      <c r="E648" s="1" t="s">
        <v>50</v>
      </c>
      <c r="F648" s="1" t="s">
        <v>38</v>
      </c>
      <c r="G648" s="3">
        <v>0.50694444444444442</v>
      </c>
      <c r="H648" s="3">
        <v>0.51875000000000004</v>
      </c>
      <c r="I648" s="1">
        <v>17</v>
      </c>
      <c r="J648" s="1">
        <v>2</v>
      </c>
      <c r="K648" s="1" t="s">
        <v>54</v>
      </c>
      <c r="L648" s="1" t="s">
        <v>19</v>
      </c>
      <c r="M648" s="1">
        <v>606</v>
      </c>
    </row>
    <row r="649" spans="1:13" x14ac:dyDescent="0.35">
      <c r="A649" s="1" t="s">
        <v>1180</v>
      </c>
      <c r="B649" s="2">
        <v>46131</v>
      </c>
      <c r="C649" s="1" t="s">
        <v>756</v>
      </c>
      <c r="D649" s="1" t="s">
        <v>50</v>
      </c>
      <c r="E649" s="1" t="s">
        <v>44</v>
      </c>
      <c r="F649" s="1" t="s">
        <v>24</v>
      </c>
      <c r="G649" s="3">
        <v>0.68402777777777779</v>
      </c>
      <c r="H649" s="3">
        <v>0.68402777777777779</v>
      </c>
      <c r="I649" s="1">
        <v>0</v>
      </c>
      <c r="J649" s="1">
        <v>-12</v>
      </c>
      <c r="K649" s="1" t="s">
        <v>18</v>
      </c>
      <c r="L649" s="1" t="s">
        <v>19</v>
      </c>
      <c r="M649" s="1">
        <v>945</v>
      </c>
    </row>
    <row r="650" spans="1:13" x14ac:dyDescent="0.35">
      <c r="A650" s="1" t="s">
        <v>1181</v>
      </c>
      <c r="B650" s="2">
        <v>46131</v>
      </c>
      <c r="C650" s="1" t="s">
        <v>596</v>
      </c>
      <c r="D650" s="1" t="s">
        <v>50</v>
      </c>
      <c r="E650" s="1" t="s">
        <v>47</v>
      </c>
      <c r="F650" s="1" t="s">
        <v>24</v>
      </c>
      <c r="G650" s="3">
        <v>0.72916666666666663</v>
      </c>
      <c r="H650" s="3">
        <v>0.72361111111111109</v>
      </c>
      <c r="I650" s="1">
        <v>-8</v>
      </c>
      <c r="J650" s="1">
        <v>-1</v>
      </c>
      <c r="K650" s="1" t="s">
        <v>18</v>
      </c>
      <c r="L650" s="1" t="s">
        <v>19</v>
      </c>
      <c r="M650" s="1">
        <v>2134</v>
      </c>
    </row>
    <row r="651" spans="1:13" x14ac:dyDescent="0.35">
      <c r="A651" s="1" t="s">
        <v>1181</v>
      </c>
      <c r="B651" s="2">
        <v>46131</v>
      </c>
      <c r="C651" s="1" t="s">
        <v>596</v>
      </c>
      <c r="D651" s="1" t="s">
        <v>50</v>
      </c>
      <c r="E651" s="1" t="s">
        <v>47</v>
      </c>
      <c r="F651" s="1" t="s">
        <v>24</v>
      </c>
      <c r="G651" s="3">
        <v>0.72916666666666663</v>
      </c>
      <c r="H651" s="3">
        <v>0.72361111111111109</v>
      </c>
      <c r="I651" s="1">
        <v>-8</v>
      </c>
      <c r="J651" s="1">
        <v>-1</v>
      </c>
      <c r="K651" s="1" t="s">
        <v>18</v>
      </c>
      <c r="L651" s="1" t="s">
        <v>19</v>
      </c>
      <c r="M651" s="1">
        <v>2134</v>
      </c>
    </row>
    <row r="652" spans="1:13" x14ac:dyDescent="0.35">
      <c r="A652" s="1" t="s">
        <v>1182</v>
      </c>
      <c r="B652" s="2">
        <v>46132</v>
      </c>
      <c r="C652" s="1" t="s">
        <v>1183</v>
      </c>
      <c r="D652" s="1" t="s">
        <v>16</v>
      </c>
      <c r="E652" s="1" t="s">
        <v>22</v>
      </c>
      <c r="F652" s="1" t="s">
        <v>24</v>
      </c>
      <c r="G652" s="3">
        <v>0.22569444444444439</v>
      </c>
      <c r="H652" s="3">
        <v>0.22638888888888889</v>
      </c>
      <c r="I652" s="1">
        <v>1</v>
      </c>
      <c r="J652" s="1">
        <v>0</v>
      </c>
      <c r="K652" s="1" t="s">
        <v>18</v>
      </c>
      <c r="L652" s="1" t="s">
        <v>19</v>
      </c>
      <c r="M652" s="1">
        <v>738</v>
      </c>
    </row>
    <row r="653" spans="1:13" x14ac:dyDescent="0.35">
      <c r="A653" s="1" t="s">
        <v>1184</v>
      </c>
      <c r="B653" s="2">
        <v>46132</v>
      </c>
      <c r="C653" s="1" t="s">
        <v>1185</v>
      </c>
      <c r="D653" s="1" t="s">
        <v>78</v>
      </c>
      <c r="E653" s="1" t="s">
        <v>15</v>
      </c>
      <c r="F653" s="1" t="s">
        <v>17</v>
      </c>
      <c r="G653" s="3">
        <v>0.37847222222222221</v>
      </c>
      <c r="H653" s="3">
        <v>0.37638888888888888</v>
      </c>
      <c r="I653" s="1">
        <v>-3</v>
      </c>
      <c r="J653" s="1">
        <v>2</v>
      </c>
      <c r="K653" s="1" t="s">
        <v>18</v>
      </c>
      <c r="L653" s="1" t="s">
        <v>19</v>
      </c>
      <c r="M653" s="1">
        <v>370</v>
      </c>
    </row>
    <row r="654" spans="1:13" x14ac:dyDescent="0.35">
      <c r="A654" s="1" t="s">
        <v>1186</v>
      </c>
      <c r="B654" s="2">
        <v>46132</v>
      </c>
      <c r="C654" s="1" t="s">
        <v>1115</v>
      </c>
      <c r="D654" s="1" t="s">
        <v>23</v>
      </c>
      <c r="E654" s="1" t="s">
        <v>16</v>
      </c>
      <c r="F654" s="1" t="s">
        <v>28</v>
      </c>
      <c r="G654" s="3">
        <v>0.63888888888888884</v>
      </c>
      <c r="H654" s="3">
        <v>0.64236111111111116</v>
      </c>
      <c r="I654" s="1">
        <v>5</v>
      </c>
      <c r="J654" s="1">
        <v>3</v>
      </c>
      <c r="K654" s="1" t="s">
        <v>18</v>
      </c>
      <c r="L654" s="1" t="s">
        <v>19</v>
      </c>
      <c r="M654" s="1">
        <v>886</v>
      </c>
    </row>
    <row r="655" spans="1:13" x14ac:dyDescent="0.35">
      <c r="A655" s="1" t="s">
        <v>1187</v>
      </c>
      <c r="B655" s="2">
        <v>46132</v>
      </c>
      <c r="C655" s="1" t="s">
        <v>1188</v>
      </c>
      <c r="D655" s="1" t="s">
        <v>16</v>
      </c>
      <c r="E655" s="1" t="s">
        <v>15</v>
      </c>
      <c r="F655" s="1" t="s">
        <v>28</v>
      </c>
      <c r="G655" s="3">
        <v>0.71180555555555558</v>
      </c>
      <c r="H655" s="1"/>
      <c r="I655" s="1">
        <v>2</v>
      </c>
      <c r="J655" s="1">
        <v>-3</v>
      </c>
      <c r="K655" s="1" t="s">
        <v>18</v>
      </c>
      <c r="L655" s="1" t="s">
        <v>19</v>
      </c>
      <c r="M655" s="1">
        <v>1742</v>
      </c>
    </row>
    <row r="656" spans="1:13" x14ac:dyDescent="0.35">
      <c r="A656" s="1" t="s">
        <v>1189</v>
      </c>
      <c r="B656" s="2">
        <v>46133</v>
      </c>
      <c r="C656" s="1" t="s">
        <v>278</v>
      </c>
      <c r="D656" s="1" t="s">
        <v>50</v>
      </c>
      <c r="E656" s="1" t="s">
        <v>16</v>
      </c>
      <c r="F656" s="1" t="s">
        <v>17</v>
      </c>
      <c r="G656" s="3">
        <v>0.60416666666666663</v>
      </c>
      <c r="H656" s="3">
        <v>0.6166666666666667</v>
      </c>
      <c r="I656" s="1">
        <v>18</v>
      </c>
      <c r="J656" s="1">
        <v>7</v>
      </c>
      <c r="K656" s="1" t="s">
        <v>54</v>
      </c>
      <c r="L656" s="1" t="s">
        <v>19</v>
      </c>
      <c r="M656" s="1">
        <v>606</v>
      </c>
    </row>
    <row r="657" spans="1:13" x14ac:dyDescent="0.35">
      <c r="A657" s="1" t="s">
        <v>1190</v>
      </c>
      <c r="B657" s="2">
        <v>46133</v>
      </c>
      <c r="C657" s="1" t="s">
        <v>817</v>
      </c>
      <c r="D657" s="1" t="s">
        <v>27</v>
      </c>
      <c r="E657" s="1" t="s">
        <v>15</v>
      </c>
      <c r="F657" s="1" t="s">
        <v>28</v>
      </c>
      <c r="G657" s="3">
        <v>0.62847222222222221</v>
      </c>
      <c r="H657" s="1"/>
      <c r="I657" s="1"/>
      <c r="J657" s="1"/>
      <c r="K657" s="1" t="s">
        <v>276</v>
      </c>
      <c r="L657" s="1" t="s">
        <v>254</v>
      </c>
      <c r="M657" s="1">
        <v>1232</v>
      </c>
    </row>
    <row r="658" spans="1:13" x14ac:dyDescent="0.35">
      <c r="A658" s="1" t="s">
        <v>1191</v>
      </c>
      <c r="B658" s="2">
        <v>46133</v>
      </c>
      <c r="C658" s="1" t="s">
        <v>294</v>
      </c>
      <c r="D658" s="1" t="s">
        <v>695</v>
      </c>
      <c r="E658" s="1" t="s">
        <v>44</v>
      </c>
      <c r="F658" s="1" t="s">
        <v>17</v>
      </c>
      <c r="G658" s="3">
        <v>0.86458333333333337</v>
      </c>
      <c r="H658" s="3">
        <v>0.85972222222222228</v>
      </c>
      <c r="I658" s="1">
        <v>-7</v>
      </c>
      <c r="J658" s="1">
        <v>-12</v>
      </c>
      <c r="K658" s="1"/>
      <c r="L658" s="1" t="s">
        <v>19</v>
      </c>
      <c r="M658" s="1">
        <v>2489</v>
      </c>
    </row>
    <row r="659" spans="1:13" x14ac:dyDescent="0.35">
      <c r="A659" s="1" t="s">
        <v>1192</v>
      </c>
      <c r="B659" s="2">
        <v>46134</v>
      </c>
      <c r="C659" s="1" t="s">
        <v>1193</v>
      </c>
      <c r="D659" s="1" t="s">
        <v>50</v>
      </c>
      <c r="E659" s="1" t="s">
        <v>41</v>
      </c>
      <c r="F659" s="1" t="s">
        <v>17</v>
      </c>
      <c r="G659" s="3">
        <v>0.31944444444444442</v>
      </c>
      <c r="H659" s="3">
        <v>0.32291666666666669</v>
      </c>
      <c r="I659" s="1">
        <v>5</v>
      </c>
      <c r="J659" s="1">
        <v>-1</v>
      </c>
      <c r="K659" s="1" t="s">
        <v>18</v>
      </c>
      <c r="L659" s="1" t="s">
        <v>19</v>
      </c>
      <c r="M659" s="1">
        <v>596</v>
      </c>
    </row>
    <row r="660" spans="1:13" x14ac:dyDescent="0.35">
      <c r="A660" s="1" t="s">
        <v>1194</v>
      </c>
      <c r="B660" s="2">
        <v>46134</v>
      </c>
      <c r="C660" s="1" t="s">
        <v>1195</v>
      </c>
      <c r="D660" s="1" t="s">
        <v>15</v>
      </c>
      <c r="E660" s="1" t="s">
        <v>16</v>
      </c>
      <c r="F660" s="1" t="s">
        <v>24</v>
      </c>
      <c r="G660" s="3">
        <v>0.53125</v>
      </c>
      <c r="H660" s="3">
        <v>0.53333333333333333</v>
      </c>
      <c r="I660" s="1">
        <v>3</v>
      </c>
      <c r="J660" s="1">
        <v>13</v>
      </c>
      <c r="K660" s="1" t="s">
        <v>18</v>
      </c>
      <c r="L660" s="1" t="s">
        <v>19</v>
      </c>
      <c r="M660" s="1">
        <v>1742</v>
      </c>
    </row>
    <row r="661" spans="1:13" x14ac:dyDescent="0.35">
      <c r="A661" s="1" t="s">
        <v>1196</v>
      </c>
      <c r="B661" s="2">
        <v>46134</v>
      </c>
      <c r="C661" s="1" t="s">
        <v>171</v>
      </c>
      <c r="D661" s="1" t="s">
        <v>31</v>
      </c>
      <c r="E661" s="1" t="s">
        <v>50</v>
      </c>
      <c r="F661" s="1" t="s">
        <v>17</v>
      </c>
      <c r="G661" s="3">
        <v>0.59027777777777779</v>
      </c>
      <c r="H661" s="3">
        <v>0.59652777777777777</v>
      </c>
      <c r="I661" s="1">
        <v>9</v>
      </c>
      <c r="J661" s="1">
        <v>6</v>
      </c>
      <c r="K661" s="1" t="s">
        <v>18</v>
      </c>
      <c r="L661" s="1" t="s">
        <v>19</v>
      </c>
      <c r="M661" s="1">
        <v>1743</v>
      </c>
    </row>
    <row r="662" spans="1:13" x14ac:dyDescent="0.35">
      <c r="A662" s="1" t="s">
        <v>1197</v>
      </c>
      <c r="B662" s="2">
        <v>46135</v>
      </c>
      <c r="C662" s="1" t="s">
        <v>819</v>
      </c>
      <c r="D662" s="1" t="s">
        <v>41</v>
      </c>
      <c r="E662" s="1" t="s">
        <v>37</v>
      </c>
      <c r="F662" s="1" t="s">
        <v>28</v>
      </c>
      <c r="G662" s="3">
        <v>0.46180555555555558</v>
      </c>
      <c r="H662" s="3">
        <v>0.46597222222222218</v>
      </c>
      <c r="I662" s="1">
        <v>6</v>
      </c>
      <c r="J662" s="1">
        <v>1</v>
      </c>
      <c r="K662" s="1" t="s">
        <v>18</v>
      </c>
      <c r="L662" s="1" t="s">
        <v>19</v>
      </c>
      <c r="M662" s="1">
        <v>2722</v>
      </c>
    </row>
    <row r="663" spans="1:13" x14ac:dyDescent="0.35">
      <c r="A663" s="1" t="s">
        <v>1198</v>
      </c>
      <c r="B663" s="2">
        <v>46135</v>
      </c>
      <c r="C663" s="1" t="s">
        <v>1027</v>
      </c>
      <c r="D663" s="1" t="s">
        <v>37</v>
      </c>
      <c r="E663" s="1" t="s">
        <v>27</v>
      </c>
      <c r="F663" s="1" t="s">
        <v>17</v>
      </c>
      <c r="G663" s="3">
        <v>0.625</v>
      </c>
      <c r="H663" s="3">
        <v>0.64652777777777781</v>
      </c>
      <c r="I663" s="1">
        <v>31</v>
      </c>
      <c r="J663" s="1">
        <v>23</v>
      </c>
      <c r="K663" s="1" t="s">
        <v>1020</v>
      </c>
      <c r="L663" s="1" t="s">
        <v>19</v>
      </c>
      <c r="M663" s="1">
        <v>1658</v>
      </c>
    </row>
    <row r="664" spans="1:13" x14ac:dyDescent="0.35">
      <c r="A664" s="1" t="s">
        <v>1199</v>
      </c>
      <c r="B664" s="2">
        <v>46135</v>
      </c>
      <c r="C664" s="1" t="s">
        <v>548</v>
      </c>
      <c r="D664" s="1" t="s">
        <v>22</v>
      </c>
      <c r="E664" s="1" t="s">
        <v>16</v>
      </c>
      <c r="F664" s="1" t="s">
        <v>24</v>
      </c>
      <c r="G664" s="3">
        <v>0.79513888888888884</v>
      </c>
      <c r="H664" s="3">
        <v>0.80277777777777781</v>
      </c>
      <c r="I664" s="1">
        <v>11</v>
      </c>
      <c r="J664" s="1">
        <v>3</v>
      </c>
      <c r="K664" s="1" t="s">
        <v>18</v>
      </c>
      <c r="L664" s="1" t="s">
        <v>19</v>
      </c>
      <c r="M664" s="1">
        <v>738</v>
      </c>
    </row>
    <row r="665" spans="1:13" x14ac:dyDescent="0.35">
      <c r="A665" s="1" t="s">
        <v>1200</v>
      </c>
      <c r="B665" s="2">
        <v>46135</v>
      </c>
      <c r="C665" s="1" t="s">
        <v>1201</v>
      </c>
      <c r="D665" s="1" t="s">
        <v>16</v>
      </c>
      <c r="E665" s="1" t="s">
        <v>78</v>
      </c>
      <c r="F665" s="1" t="s">
        <v>24</v>
      </c>
      <c r="G665" s="3">
        <v>0.81597222222222221</v>
      </c>
      <c r="H665" s="3">
        <v>0.8125</v>
      </c>
      <c r="I665" s="1">
        <v>-5</v>
      </c>
      <c r="J665" s="1">
        <v>-10</v>
      </c>
      <c r="K665" s="1"/>
      <c r="L665" s="1" t="s">
        <v>19</v>
      </c>
      <c r="M665" s="1">
        <v>1438</v>
      </c>
    </row>
    <row r="666" spans="1:13" x14ac:dyDescent="0.35">
      <c r="A666" s="1" t="s">
        <v>1202</v>
      </c>
      <c r="B666" s="2">
        <v>46136</v>
      </c>
      <c r="C666" s="1" t="s">
        <v>207</v>
      </c>
      <c r="D666" s="1" t="s">
        <v>50</v>
      </c>
      <c r="E666" s="1" t="s">
        <v>44</v>
      </c>
      <c r="F666" s="1" t="s">
        <v>28</v>
      </c>
      <c r="G666" s="3">
        <v>0.46527777777777779</v>
      </c>
      <c r="H666" s="3">
        <v>0.46805555555555561</v>
      </c>
      <c r="I666" s="1">
        <v>4</v>
      </c>
      <c r="J666" s="1">
        <v>14</v>
      </c>
      <c r="K666" s="1"/>
      <c r="L666" s="1" t="s">
        <v>19</v>
      </c>
      <c r="M666" s="1">
        <v>945</v>
      </c>
    </row>
    <row r="667" spans="1:13" x14ac:dyDescent="0.35">
      <c r="A667" s="1" t="s">
        <v>1203</v>
      </c>
      <c r="B667" s="2">
        <v>46136</v>
      </c>
      <c r="C667" s="1" t="s">
        <v>770</v>
      </c>
      <c r="D667" s="1" t="s">
        <v>16</v>
      </c>
      <c r="E667" s="1" t="s">
        <v>31</v>
      </c>
      <c r="F667" s="1" t="s">
        <v>28</v>
      </c>
      <c r="G667" s="3">
        <v>0.53819444444444442</v>
      </c>
      <c r="H667" s="3">
        <v>0.56111111111111112</v>
      </c>
      <c r="I667" s="1">
        <v>33</v>
      </c>
      <c r="J667" s="1">
        <v>25</v>
      </c>
      <c r="K667" s="1" t="s">
        <v>263</v>
      </c>
      <c r="L667" s="1" t="s">
        <v>19</v>
      </c>
      <c r="M667" s="1">
        <v>1511</v>
      </c>
    </row>
    <row r="668" spans="1:13" x14ac:dyDescent="0.35">
      <c r="A668" s="1" t="s">
        <v>1204</v>
      </c>
      <c r="B668" s="2">
        <v>46136</v>
      </c>
      <c r="C668" s="1" t="s">
        <v>146</v>
      </c>
      <c r="D668" s="1" t="s">
        <v>27</v>
      </c>
      <c r="E668" s="1" t="s">
        <v>16</v>
      </c>
      <c r="F668" s="1" t="s">
        <v>38</v>
      </c>
      <c r="G668" s="3">
        <v>0.73611111111111116</v>
      </c>
      <c r="H668" s="3">
        <v>0.8208333333333333</v>
      </c>
      <c r="I668" s="1">
        <v>122</v>
      </c>
      <c r="J668" s="1">
        <v>127</v>
      </c>
      <c r="K668" s="1" t="s">
        <v>129</v>
      </c>
      <c r="L668" s="1" t="s">
        <v>19</v>
      </c>
      <c r="M668" s="1">
        <v>802</v>
      </c>
    </row>
    <row r="669" spans="1:13" x14ac:dyDescent="0.35">
      <c r="A669" s="1" t="s">
        <v>1205</v>
      </c>
      <c r="B669" s="2">
        <v>46137</v>
      </c>
      <c r="C669" s="1" t="s">
        <v>167</v>
      </c>
      <c r="D669" s="1" t="s">
        <v>15</v>
      </c>
      <c r="E669" s="1" t="s">
        <v>31</v>
      </c>
      <c r="F669" s="1" t="s">
        <v>28</v>
      </c>
      <c r="G669" s="3">
        <v>0.25347222222222221</v>
      </c>
      <c r="H669" s="3">
        <v>0.25069444444444439</v>
      </c>
      <c r="I669" s="1">
        <v>-4</v>
      </c>
      <c r="J669" s="1">
        <v>6</v>
      </c>
      <c r="K669" s="1"/>
      <c r="L669" s="1" t="s">
        <v>19</v>
      </c>
      <c r="M669" s="1">
        <v>236</v>
      </c>
    </row>
    <row r="670" spans="1:13" x14ac:dyDescent="0.35">
      <c r="A670" s="1" t="s">
        <v>1206</v>
      </c>
      <c r="B670" s="2">
        <v>46137</v>
      </c>
      <c r="C670" s="1" t="s">
        <v>1207</v>
      </c>
      <c r="D670" s="1" t="s">
        <v>16</v>
      </c>
      <c r="E670" s="1" t="s">
        <v>123</v>
      </c>
      <c r="F670" s="1" t="s">
        <v>17</v>
      </c>
      <c r="G670" s="3">
        <v>0.57638888888888884</v>
      </c>
      <c r="H670" s="3">
        <v>0.58263888888888893</v>
      </c>
      <c r="I670" s="1">
        <v>9</v>
      </c>
      <c r="J670" s="1">
        <v>0</v>
      </c>
      <c r="K670" s="1" t="s">
        <v>18</v>
      </c>
      <c r="L670" s="1" t="s">
        <v>19</v>
      </c>
      <c r="M670" s="1">
        <v>606</v>
      </c>
    </row>
    <row r="671" spans="1:13" x14ac:dyDescent="0.35">
      <c r="A671" s="1" t="s">
        <v>1208</v>
      </c>
      <c r="B671" s="2">
        <v>46137</v>
      </c>
      <c r="C671" s="1" t="s">
        <v>748</v>
      </c>
      <c r="D671" s="1" t="s">
        <v>15</v>
      </c>
      <c r="E671" s="1" t="s">
        <v>23</v>
      </c>
      <c r="F671" s="1" t="s">
        <v>24</v>
      </c>
      <c r="G671" s="3">
        <v>0.68055555555555558</v>
      </c>
      <c r="H671" s="3">
        <v>0.69791666666666663</v>
      </c>
      <c r="I671" s="1">
        <v>25</v>
      </c>
      <c r="J671" s="1">
        <v>20</v>
      </c>
      <c r="K671" s="1" t="s">
        <v>60</v>
      </c>
      <c r="L671" s="1" t="s">
        <v>19</v>
      </c>
      <c r="M671" s="1">
        <v>861</v>
      </c>
    </row>
    <row r="672" spans="1:13" x14ac:dyDescent="0.35">
      <c r="A672" s="1" t="s">
        <v>1209</v>
      </c>
      <c r="B672" s="2">
        <v>46138</v>
      </c>
      <c r="C672" s="1" t="s">
        <v>1210</v>
      </c>
      <c r="D672" s="1" t="s">
        <v>16</v>
      </c>
      <c r="E672" s="1" t="s">
        <v>27</v>
      </c>
      <c r="F672" s="1" t="s">
        <v>28</v>
      </c>
      <c r="G672" s="3">
        <v>0.64236111111111116</v>
      </c>
      <c r="H672" s="3">
        <v>0.64375000000000004</v>
      </c>
      <c r="I672" s="1">
        <v>2</v>
      </c>
      <c r="J672" s="1">
        <v>9</v>
      </c>
      <c r="K672" s="1" t="s">
        <v>18</v>
      </c>
      <c r="L672" s="1" t="s">
        <v>19</v>
      </c>
      <c r="M672" s="1">
        <v>802</v>
      </c>
    </row>
    <row r="673" spans="1:13" x14ac:dyDescent="0.35">
      <c r="A673" s="1" t="s">
        <v>1211</v>
      </c>
      <c r="B673" s="2">
        <v>46139</v>
      </c>
      <c r="C673" s="1" t="s">
        <v>1212</v>
      </c>
      <c r="D673" s="1" t="s">
        <v>16</v>
      </c>
      <c r="E673" s="1" t="s">
        <v>50</v>
      </c>
      <c r="F673" s="1" t="s">
        <v>24</v>
      </c>
      <c r="G673" s="3">
        <v>0.2673611111111111</v>
      </c>
      <c r="H673" s="3">
        <v>0.26805555555555549</v>
      </c>
      <c r="I673" s="1">
        <v>1</v>
      </c>
      <c r="J673" s="1">
        <v>10</v>
      </c>
      <c r="K673" s="1" t="s">
        <v>18</v>
      </c>
      <c r="L673" s="1" t="s">
        <v>19</v>
      </c>
      <c r="M673" s="1">
        <v>606</v>
      </c>
    </row>
    <row r="674" spans="1:13" x14ac:dyDescent="0.35">
      <c r="A674" s="1" t="s">
        <v>1213</v>
      </c>
      <c r="B674" s="2">
        <v>46139</v>
      </c>
      <c r="C674" s="1" t="s">
        <v>1214</v>
      </c>
      <c r="D674" s="1" t="s">
        <v>591</v>
      </c>
      <c r="E674" s="1" t="s">
        <v>15</v>
      </c>
      <c r="F674" s="1" t="s">
        <v>24</v>
      </c>
      <c r="G674" s="3">
        <v>0.82291666666666663</v>
      </c>
      <c r="H674" s="3">
        <v>0.83125000000000004</v>
      </c>
      <c r="I674" s="1">
        <v>12</v>
      </c>
      <c r="J674" s="1">
        <v>8</v>
      </c>
      <c r="K674" s="1"/>
      <c r="L674" s="1" t="s">
        <v>19</v>
      </c>
      <c r="M674" s="1">
        <v>1232</v>
      </c>
    </row>
    <row r="675" spans="1:13" x14ac:dyDescent="0.35">
      <c r="A675" s="1" t="s">
        <v>1215</v>
      </c>
      <c r="B675" s="2">
        <v>46140</v>
      </c>
      <c r="C675" s="1" t="s">
        <v>823</v>
      </c>
      <c r="D675" s="1" t="s">
        <v>41</v>
      </c>
      <c r="E675" s="1" t="s">
        <v>50</v>
      </c>
      <c r="F675" s="1" t="s">
        <v>17</v>
      </c>
      <c r="G675" s="3">
        <v>0.41666666666666669</v>
      </c>
      <c r="H675" s="3">
        <v>0.42152777777777778</v>
      </c>
      <c r="I675" s="1">
        <v>7</v>
      </c>
      <c r="J675" s="1">
        <v>8</v>
      </c>
      <c r="K675" s="1" t="s">
        <v>18</v>
      </c>
      <c r="L675" s="1" t="s">
        <v>19</v>
      </c>
      <c r="M675" s="1">
        <v>596</v>
      </c>
    </row>
    <row r="676" spans="1:13" x14ac:dyDescent="0.35">
      <c r="A676" s="1" t="s">
        <v>1216</v>
      </c>
      <c r="B676" s="2">
        <v>46140</v>
      </c>
      <c r="C676" s="1" t="s">
        <v>1217</v>
      </c>
      <c r="D676" s="1" t="s">
        <v>22</v>
      </c>
      <c r="E676" s="1" t="s">
        <v>31</v>
      </c>
      <c r="F676" s="1" t="s">
        <v>24</v>
      </c>
      <c r="G676" s="3">
        <v>0.50347222222222221</v>
      </c>
      <c r="H676" s="3">
        <v>0.5083333333333333</v>
      </c>
      <c r="I676" s="1">
        <v>7</v>
      </c>
      <c r="J676" s="1">
        <v>-4</v>
      </c>
      <c r="K676" s="1" t="s">
        <v>18</v>
      </c>
      <c r="L676" s="1" t="s">
        <v>19</v>
      </c>
      <c r="M676" s="1">
        <v>2243</v>
      </c>
    </row>
    <row r="677" spans="1:13" x14ac:dyDescent="0.35">
      <c r="A677" s="1" t="s">
        <v>1218</v>
      </c>
      <c r="B677" s="2">
        <v>46140</v>
      </c>
      <c r="C677" s="1" t="s">
        <v>1219</v>
      </c>
      <c r="D677" s="1" t="s">
        <v>50</v>
      </c>
      <c r="E677" s="1" t="s">
        <v>47</v>
      </c>
      <c r="F677" s="1" t="s">
        <v>17</v>
      </c>
      <c r="G677" s="3">
        <v>0.59375</v>
      </c>
      <c r="H677" s="3">
        <v>0.59097222222222223</v>
      </c>
      <c r="I677" s="1">
        <v>-4</v>
      </c>
      <c r="J677" s="1">
        <v>-5</v>
      </c>
      <c r="K677" s="1" t="s">
        <v>18</v>
      </c>
      <c r="L677" s="1" t="s">
        <v>19</v>
      </c>
      <c r="M677" s="1">
        <v>2134</v>
      </c>
    </row>
    <row r="678" spans="1:13" x14ac:dyDescent="0.35">
      <c r="A678" s="1" t="s">
        <v>1220</v>
      </c>
      <c r="B678" s="2">
        <v>46140</v>
      </c>
      <c r="C678" s="1" t="s">
        <v>819</v>
      </c>
      <c r="D678" s="1" t="s">
        <v>15</v>
      </c>
      <c r="E678" s="1" t="s">
        <v>588</v>
      </c>
      <c r="F678" s="1" t="s">
        <v>24</v>
      </c>
      <c r="G678" s="3">
        <v>0.67708333333333337</v>
      </c>
      <c r="H678" s="3">
        <v>0.67361111111111116</v>
      </c>
      <c r="I678" s="1">
        <v>-5</v>
      </c>
      <c r="J678" s="1">
        <v>-4</v>
      </c>
      <c r="K678" s="1" t="s">
        <v>18</v>
      </c>
      <c r="L678" s="1" t="s">
        <v>19</v>
      </c>
      <c r="M678" s="1">
        <v>1232</v>
      </c>
    </row>
    <row r="679" spans="1:13" x14ac:dyDescent="0.35">
      <c r="A679" s="1" t="s">
        <v>1221</v>
      </c>
      <c r="B679" s="2">
        <v>46140</v>
      </c>
      <c r="C679" s="1" t="s">
        <v>100</v>
      </c>
      <c r="D679" s="1" t="s">
        <v>15</v>
      </c>
      <c r="E679" s="1" t="s">
        <v>37</v>
      </c>
      <c r="F679" s="1" t="s">
        <v>38</v>
      </c>
      <c r="G679" s="3">
        <v>0.80208333333333337</v>
      </c>
      <c r="H679" s="3">
        <v>0.80347222222222225</v>
      </c>
      <c r="I679" s="1">
        <v>2</v>
      </c>
      <c r="J679" s="1">
        <v>-10</v>
      </c>
      <c r="K679" s="1" t="s">
        <v>18</v>
      </c>
      <c r="L679" s="1" t="s">
        <v>19</v>
      </c>
      <c r="M679" s="1">
        <v>955</v>
      </c>
    </row>
    <row r="680" spans="1:13" x14ac:dyDescent="0.35">
      <c r="A680" s="1" t="s">
        <v>1222</v>
      </c>
      <c r="B680" s="2">
        <v>46140</v>
      </c>
      <c r="C680" s="1" t="s">
        <v>1223</v>
      </c>
      <c r="D680" s="1" t="s">
        <v>50</v>
      </c>
      <c r="E680" s="1" t="s">
        <v>78</v>
      </c>
      <c r="F680" s="1" t="s">
        <v>24</v>
      </c>
      <c r="G680" s="3">
        <v>0.82638888888888884</v>
      </c>
      <c r="H680" s="3">
        <v>0.8208333333333333</v>
      </c>
      <c r="I680" s="1">
        <v>-8</v>
      </c>
      <c r="J680" s="1">
        <v>-5</v>
      </c>
      <c r="K680" s="1" t="s">
        <v>18</v>
      </c>
      <c r="L680" s="1" t="s">
        <v>19</v>
      </c>
      <c r="M680" s="1">
        <v>1584</v>
      </c>
    </row>
    <row r="681" spans="1:13" x14ac:dyDescent="0.35">
      <c r="A681" s="1" t="s">
        <v>1224</v>
      </c>
      <c r="B681" s="2">
        <v>46141</v>
      </c>
      <c r="C681" s="1" t="s">
        <v>1225</v>
      </c>
      <c r="D681" s="1" t="s">
        <v>197</v>
      </c>
      <c r="E681" s="1" t="s">
        <v>78</v>
      </c>
      <c r="F681" s="1" t="s">
        <v>24</v>
      </c>
      <c r="G681" s="3">
        <v>0.3888888888888889</v>
      </c>
      <c r="H681" s="3">
        <v>0.38958333333333328</v>
      </c>
      <c r="I681" s="1">
        <v>1</v>
      </c>
      <c r="J681" s="1">
        <v>-9</v>
      </c>
      <c r="K681" s="1" t="s">
        <v>18</v>
      </c>
      <c r="L681" s="1" t="s">
        <v>19</v>
      </c>
      <c r="M681" s="1">
        <v>2149</v>
      </c>
    </row>
    <row r="682" spans="1:13" x14ac:dyDescent="0.35">
      <c r="A682" s="1" t="s">
        <v>1226</v>
      </c>
      <c r="B682" s="2">
        <v>46141</v>
      </c>
      <c r="C682" s="1" t="s">
        <v>760</v>
      </c>
      <c r="D682" s="1" t="s">
        <v>15</v>
      </c>
      <c r="E682" s="1" t="s">
        <v>37</v>
      </c>
      <c r="F682" s="1" t="s">
        <v>28</v>
      </c>
      <c r="G682" s="3">
        <v>0.66666666666666663</v>
      </c>
      <c r="H682" s="3">
        <v>0.67222222222222228</v>
      </c>
      <c r="I682" s="1">
        <v>8</v>
      </c>
      <c r="J682" s="1">
        <v>0</v>
      </c>
      <c r="K682" s="1" t="s">
        <v>18</v>
      </c>
      <c r="L682" s="1" t="s">
        <v>19</v>
      </c>
      <c r="M682" s="1">
        <v>955</v>
      </c>
    </row>
    <row r="683" spans="1:13" x14ac:dyDescent="0.35">
      <c r="A683" s="1" t="s">
        <v>1227</v>
      </c>
      <c r="B683" s="2">
        <v>46141</v>
      </c>
      <c r="C683" s="1" t="s">
        <v>137</v>
      </c>
      <c r="D683" s="1" t="s">
        <v>22</v>
      </c>
      <c r="E683" s="1" t="s">
        <v>37</v>
      </c>
      <c r="F683" s="1" t="s">
        <v>24</v>
      </c>
      <c r="G683" s="3">
        <v>0.73263888888888884</v>
      </c>
      <c r="H683" s="3">
        <v>0.72777777777777775</v>
      </c>
      <c r="I683" s="1">
        <v>-7</v>
      </c>
      <c r="J683" s="1">
        <v>-13</v>
      </c>
      <c r="K683" s="1" t="s">
        <v>18</v>
      </c>
      <c r="L683" s="1" t="s">
        <v>19</v>
      </c>
      <c r="M683" s="1">
        <v>2415</v>
      </c>
    </row>
    <row r="684" spans="1:13" x14ac:dyDescent="0.35">
      <c r="A684" s="1" t="s">
        <v>1228</v>
      </c>
      <c r="B684" s="2">
        <v>46142</v>
      </c>
      <c r="C684" s="1" t="s">
        <v>1229</v>
      </c>
      <c r="D684" s="1" t="s">
        <v>23</v>
      </c>
      <c r="E684" s="1" t="s">
        <v>16</v>
      </c>
      <c r="F684" s="1" t="s">
        <v>17</v>
      </c>
      <c r="G684" s="3">
        <v>0.59722222222222221</v>
      </c>
      <c r="H684" s="3">
        <v>0.6020833333333333</v>
      </c>
      <c r="I684" s="1">
        <v>7</v>
      </c>
      <c r="J684" s="1">
        <v>11</v>
      </c>
      <c r="K684" s="1" t="s">
        <v>18</v>
      </c>
      <c r="L684" s="1" t="s">
        <v>19</v>
      </c>
      <c r="M684" s="1">
        <v>886</v>
      </c>
    </row>
    <row r="685" spans="1:13" x14ac:dyDescent="0.35">
      <c r="A685" s="1" t="s">
        <v>1230</v>
      </c>
      <c r="B685" s="2">
        <v>46142</v>
      </c>
      <c r="C685" s="1" t="s">
        <v>1231</v>
      </c>
      <c r="D685" s="1" t="s">
        <v>71</v>
      </c>
      <c r="E685" s="1" t="s">
        <v>27</v>
      </c>
      <c r="F685" s="1" t="s">
        <v>28</v>
      </c>
      <c r="G685" s="3">
        <v>0.73611111111111116</v>
      </c>
      <c r="H685" s="3">
        <v>0.73958333333333337</v>
      </c>
      <c r="I685" s="1">
        <v>5</v>
      </c>
      <c r="J685" s="1">
        <v>7</v>
      </c>
      <c r="K685" s="1" t="s">
        <v>18</v>
      </c>
      <c r="L685" s="1" t="s">
        <v>19</v>
      </c>
      <c r="M685" s="1">
        <v>802</v>
      </c>
    </row>
    <row r="686" spans="1:13" x14ac:dyDescent="0.35">
      <c r="A686" s="1" t="s">
        <v>1232</v>
      </c>
      <c r="B686" s="2">
        <v>46142</v>
      </c>
      <c r="C686" s="1" t="s">
        <v>1233</v>
      </c>
      <c r="D686" s="1" t="s">
        <v>44</v>
      </c>
      <c r="E686" s="1" t="s">
        <v>23</v>
      </c>
      <c r="F686" s="1" t="s">
        <v>17</v>
      </c>
      <c r="G686" s="3">
        <v>0.82291666666666663</v>
      </c>
      <c r="H686" s="3">
        <v>0.81874999999999998</v>
      </c>
      <c r="I686" s="1">
        <v>-6</v>
      </c>
      <c r="J686" s="1">
        <v>-6</v>
      </c>
      <c r="K686" s="1" t="s">
        <v>18</v>
      </c>
      <c r="L686" s="1" t="s">
        <v>19</v>
      </c>
      <c r="M686" s="1">
        <v>1749</v>
      </c>
    </row>
    <row r="687" spans="1:13" x14ac:dyDescent="0.35">
      <c r="A687" s="1" t="s">
        <v>1234</v>
      </c>
      <c r="B687" s="2">
        <v>46143</v>
      </c>
      <c r="C687" s="1" t="s">
        <v>609</v>
      </c>
      <c r="D687" s="1" t="s">
        <v>50</v>
      </c>
      <c r="E687" s="1" t="s">
        <v>31</v>
      </c>
      <c r="F687" s="1" t="s">
        <v>17</v>
      </c>
      <c r="G687" s="3">
        <v>0.3263888888888889</v>
      </c>
      <c r="H687" s="3">
        <v>0.3347222222222222</v>
      </c>
      <c r="I687" s="1">
        <v>12</v>
      </c>
      <c r="J687" s="1">
        <v>12</v>
      </c>
      <c r="K687" s="1" t="s">
        <v>18</v>
      </c>
      <c r="L687" s="1" t="s">
        <v>19</v>
      </c>
      <c r="M687" s="1">
        <v>1743</v>
      </c>
    </row>
    <row r="688" spans="1:13" x14ac:dyDescent="0.35">
      <c r="A688" s="1" t="s">
        <v>1235</v>
      </c>
      <c r="B688" s="2">
        <v>46143</v>
      </c>
      <c r="C688" s="1" t="s">
        <v>302</v>
      </c>
      <c r="D688" s="1" t="s">
        <v>23</v>
      </c>
      <c r="E688" s="1" t="s">
        <v>27</v>
      </c>
      <c r="F688" s="1" t="s">
        <v>24</v>
      </c>
      <c r="G688" s="3">
        <v>0.47916666666666669</v>
      </c>
      <c r="H688" s="3">
        <v>0.47430555555555548</v>
      </c>
      <c r="I688" s="1">
        <v>-7</v>
      </c>
      <c r="J688" s="1">
        <v>-10</v>
      </c>
      <c r="K688" s="1" t="s">
        <v>18</v>
      </c>
      <c r="L688" s="1" t="s">
        <v>19</v>
      </c>
      <c r="M688" s="1">
        <v>641</v>
      </c>
    </row>
    <row r="689" spans="1:13" x14ac:dyDescent="0.35">
      <c r="A689" s="1" t="s">
        <v>1236</v>
      </c>
      <c r="B689" s="2">
        <v>46143</v>
      </c>
      <c r="C689" s="1" t="s">
        <v>1237</v>
      </c>
      <c r="D689" s="1" t="s">
        <v>23</v>
      </c>
      <c r="E689" s="1" t="s">
        <v>78</v>
      </c>
      <c r="F689" s="1" t="s">
        <v>38</v>
      </c>
      <c r="G689" s="3">
        <v>0.73263888888888884</v>
      </c>
      <c r="H689" s="3">
        <v>0.7270833333333333</v>
      </c>
      <c r="I689" s="1">
        <v>-8</v>
      </c>
      <c r="J689" s="1">
        <v>0</v>
      </c>
      <c r="K689" s="1"/>
      <c r="L689" s="1" t="s">
        <v>19</v>
      </c>
      <c r="M689" s="1">
        <v>602</v>
      </c>
    </row>
    <row r="690" spans="1:13" x14ac:dyDescent="0.35">
      <c r="A690" s="1" t="s">
        <v>1238</v>
      </c>
      <c r="B690" s="2">
        <v>46144</v>
      </c>
      <c r="C690" s="1" t="s">
        <v>1123</v>
      </c>
      <c r="D690" s="1" t="s">
        <v>806</v>
      </c>
      <c r="E690" s="1" t="s">
        <v>78</v>
      </c>
      <c r="F690" s="1" t="s">
        <v>24</v>
      </c>
      <c r="G690" s="3">
        <v>0.40972222222222221</v>
      </c>
      <c r="H690" s="3">
        <v>0.41597222222222219</v>
      </c>
      <c r="I690" s="1">
        <v>9</v>
      </c>
      <c r="J690" s="1">
        <v>19</v>
      </c>
      <c r="K690" s="1" t="s">
        <v>18</v>
      </c>
      <c r="L690" s="1" t="s">
        <v>19</v>
      </c>
      <c r="M690" s="1">
        <v>370</v>
      </c>
    </row>
    <row r="691" spans="1:13" x14ac:dyDescent="0.35">
      <c r="A691" s="1" t="s">
        <v>1239</v>
      </c>
      <c r="B691" s="2">
        <v>46144</v>
      </c>
      <c r="C691" s="1" t="s">
        <v>519</v>
      </c>
      <c r="D691" s="1" t="s">
        <v>15</v>
      </c>
      <c r="E691" s="1" t="s">
        <v>27</v>
      </c>
      <c r="F691" s="1" t="s">
        <v>24</v>
      </c>
      <c r="G691" s="3">
        <v>0.70138888888888884</v>
      </c>
      <c r="H691" s="1"/>
      <c r="I691" s="1"/>
      <c r="J691" s="1"/>
      <c r="K691" s="1" t="s">
        <v>129</v>
      </c>
      <c r="L691" s="1" t="s">
        <v>254</v>
      </c>
      <c r="M691" s="1">
        <v>1232</v>
      </c>
    </row>
    <row r="692" spans="1:13" x14ac:dyDescent="0.35">
      <c r="A692" s="1" t="s">
        <v>1240</v>
      </c>
      <c r="B692" s="2">
        <v>46144</v>
      </c>
      <c r="C692" s="1" t="s">
        <v>791</v>
      </c>
      <c r="D692" s="1" t="s">
        <v>23</v>
      </c>
      <c r="E692" s="1" t="s">
        <v>15</v>
      </c>
      <c r="F692" s="1" t="s">
        <v>28</v>
      </c>
      <c r="G692" s="3">
        <v>0.83680555555555558</v>
      </c>
      <c r="H692" s="3">
        <v>0.83680555555555558</v>
      </c>
      <c r="I692" s="1">
        <v>0</v>
      </c>
      <c r="J692" s="1">
        <v>-9</v>
      </c>
      <c r="K692" s="1" t="s">
        <v>18</v>
      </c>
      <c r="L692" s="1" t="s">
        <v>19</v>
      </c>
      <c r="M692" s="1">
        <v>861</v>
      </c>
    </row>
    <row r="693" spans="1:13" x14ac:dyDescent="0.35">
      <c r="A693" s="1" t="s">
        <v>1241</v>
      </c>
      <c r="B693" s="2">
        <v>46145</v>
      </c>
      <c r="C693" s="1" t="s">
        <v>1242</v>
      </c>
      <c r="D693" s="1" t="s">
        <v>31</v>
      </c>
      <c r="E693" s="1" t="s">
        <v>16</v>
      </c>
      <c r="F693" s="1" t="s">
        <v>38</v>
      </c>
      <c r="G693" s="3">
        <v>0.45833333333333331</v>
      </c>
      <c r="H693" s="3">
        <v>0.50972222222222219</v>
      </c>
      <c r="I693" s="1">
        <v>74</v>
      </c>
      <c r="J693" s="1">
        <v>72</v>
      </c>
      <c r="K693" s="1" t="s">
        <v>149</v>
      </c>
      <c r="L693" s="1" t="s">
        <v>19</v>
      </c>
      <c r="M693" s="1">
        <v>1511</v>
      </c>
    </row>
    <row r="694" spans="1:13" x14ac:dyDescent="0.35">
      <c r="A694" s="1" t="s">
        <v>1241</v>
      </c>
      <c r="B694" s="2">
        <v>46145</v>
      </c>
      <c r="C694" s="1" t="s">
        <v>1242</v>
      </c>
      <c r="D694" s="1" t="s">
        <v>31</v>
      </c>
      <c r="E694" s="1" t="s">
        <v>16</v>
      </c>
      <c r="F694" s="1" t="s">
        <v>38</v>
      </c>
      <c r="G694" s="3">
        <v>0.45833333333333331</v>
      </c>
      <c r="H694" s="3">
        <v>0.50972222222222219</v>
      </c>
      <c r="I694" s="1">
        <v>74</v>
      </c>
      <c r="J694" s="1">
        <v>72</v>
      </c>
      <c r="K694" s="1" t="s">
        <v>149</v>
      </c>
      <c r="L694" s="1" t="s">
        <v>19</v>
      </c>
      <c r="M694" s="1">
        <v>1511</v>
      </c>
    </row>
    <row r="695" spans="1:13" x14ac:dyDescent="0.35">
      <c r="A695" s="1" t="s">
        <v>1243</v>
      </c>
      <c r="B695" s="2">
        <v>46145</v>
      </c>
      <c r="C695" s="1" t="s">
        <v>357</v>
      </c>
      <c r="D695" s="1" t="s">
        <v>50</v>
      </c>
      <c r="E695" s="1" t="s">
        <v>16</v>
      </c>
      <c r="F695" s="1" t="s">
        <v>28</v>
      </c>
      <c r="G695" s="3">
        <v>0.47569444444444442</v>
      </c>
      <c r="H695" s="3">
        <v>0.47708333333333341</v>
      </c>
      <c r="I695" s="1">
        <v>2</v>
      </c>
      <c r="J695" s="1">
        <v>4</v>
      </c>
      <c r="K695" s="1" t="s">
        <v>18</v>
      </c>
      <c r="L695" s="1" t="s">
        <v>19</v>
      </c>
      <c r="M695" s="1">
        <v>606</v>
      </c>
    </row>
    <row r="696" spans="1:13" x14ac:dyDescent="0.35">
      <c r="A696" s="1" t="s">
        <v>1244</v>
      </c>
      <c r="B696" s="2">
        <v>46145</v>
      </c>
      <c r="C696" s="1" t="s">
        <v>746</v>
      </c>
      <c r="D696" s="1" t="s">
        <v>50</v>
      </c>
      <c r="E696" s="1" t="s">
        <v>41</v>
      </c>
      <c r="F696" s="1" t="s">
        <v>17</v>
      </c>
      <c r="G696" s="3">
        <v>0.58333333333333337</v>
      </c>
      <c r="H696" s="3">
        <v>0.63541666666666663</v>
      </c>
      <c r="I696" s="1">
        <v>75</v>
      </c>
      <c r="J696" s="1">
        <v>63</v>
      </c>
      <c r="K696" s="1" t="s">
        <v>54</v>
      </c>
      <c r="L696" s="1" t="s">
        <v>19</v>
      </c>
      <c r="M696" s="1">
        <v>596</v>
      </c>
    </row>
    <row r="697" spans="1:13" x14ac:dyDescent="0.35">
      <c r="A697" s="1" t="s">
        <v>1245</v>
      </c>
      <c r="B697" s="2">
        <v>46145</v>
      </c>
      <c r="C697" s="1" t="s">
        <v>794</v>
      </c>
      <c r="D697" s="1" t="s">
        <v>44</v>
      </c>
      <c r="E697" s="1" t="s">
        <v>50</v>
      </c>
      <c r="F697" s="1" t="s">
        <v>17</v>
      </c>
      <c r="G697" s="3">
        <v>0.69097222222222221</v>
      </c>
      <c r="H697" s="3">
        <v>0.68819444444444444</v>
      </c>
      <c r="I697" s="1">
        <v>-4</v>
      </c>
      <c r="J697" s="1">
        <v>6</v>
      </c>
      <c r="K697" s="1" t="s">
        <v>18</v>
      </c>
      <c r="L697" s="1" t="s">
        <v>19</v>
      </c>
      <c r="M697" s="1">
        <v>945</v>
      </c>
    </row>
    <row r="698" spans="1:13" x14ac:dyDescent="0.35">
      <c r="A698" s="1" t="s">
        <v>1246</v>
      </c>
      <c r="B698" s="2">
        <v>46146</v>
      </c>
      <c r="C698" s="1" t="s">
        <v>773</v>
      </c>
      <c r="D698" s="1" t="s">
        <v>23</v>
      </c>
      <c r="E698" s="1" t="s">
        <v>41</v>
      </c>
      <c r="F698" s="1" t="s">
        <v>24</v>
      </c>
      <c r="G698" s="3">
        <v>0.25347222222222221</v>
      </c>
      <c r="H698" s="3">
        <v>0.25138888888888888</v>
      </c>
      <c r="I698" s="1">
        <v>-3</v>
      </c>
      <c r="J698" s="1">
        <v>7</v>
      </c>
      <c r="K698" s="1" t="s">
        <v>18</v>
      </c>
      <c r="L698" s="1" t="s">
        <v>19</v>
      </c>
      <c r="M698" s="1">
        <v>1708</v>
      </c>
    </row>
    <row r="699" spans="1:13" x14ac:dyDescent="0.35">
      <c r="A699" s="1" t="s">
        <v>1247</v>
      </c>
      <c r="B699" s="2">
        <v>46146</v>
      </c>
      <c r="C699" s="1" t="s">
        <v>282</v>
      </c>
      <c r="D699" s="1" t="s">
        <v>41</v>
      </c>
      <c r="E699" s="1" t="s">
        <v>27</v>
      </c>
      <c r="F699" s="1" t="s">
        <v>24</v>
      </c>
      <c r="G699" s="3">
        <v>0.2951388888888889</v>
      </c>
      <c r="H699" s="3">
        <v>0.29652777777777778</v>
      </c>
      <c r="I699" s="1">
        <v>2</v>
      </c>
      <c r="J699" s="1">
        <v>8</v>
      </c>
      <c r="K699" s="1" t="s">
        <v>18</v>
      </c>
      <c r="L699" s="1" t="s">
        <v>19</v>
      </c>
      <c r="M699" s="1">
        <v>1120</v>
      </c>
    </row>
    <row r="700" spans="1:13" x14ac:dyDescent="0.35">
      <c r="A700" s="1" t="s">
        <v>1248</v>
      </c>
      <c r="B700" s="2">
        <v>46147</v>
      </c>
      <c r="C700" s="1" t="s">
        <v>986</v>
      </c>
      <c r="D700" s="1" t="s">
        <v>23</v>
      </c>
      <c r="E700" s="1" t="s">
        <v>22</v>
      </c>
      <c r="F700" s="1" t="s">
        <v>17</v>
      </c>
      <c r="G700" s="3">
        <v>0.24305555555555561</v>
      </c>
      <c r="H700" s="3">
        <v>0.25138888888888888</v>
      </c>
      <c r="I700" s="1">
        <v>12</v>
      </c>
      <c r="J700" s="1">
        <v>1</v>
      </c>
      <c r="K700" s="1" t="s">
        <v>18</v>
      </c>
      <c r="L700" s="1" t="s">
        <v>19</v>
      </c>
      <c r="M700" s="1">
        <v>1622</v>
      </c>
    </row>
    <row r="701" spans="1:13" x14ac:dyDescent="0.35">
      <c r="A701" s="1" t="s">
        <v>1249</v>
      </c>
      <c r="B701" s="2">
        <v>46147</v>
      </c>
      <c r="C701" s="1" t="s">
        <v>1250</v>
      </c>
      <c r="D701" s="1" t="s">
        <v>50</v>
      </c>
      <c r="E701" s="1" t="s">
        <v>22</v>
      </c>
      <c r="F701" s="1" t="s">
        <v>38</v>
      </c>
      <c r="G701" s="3">
        <v>0.71527777777777779</v>
      </c>
      <c r="H701" s="3">
        <v>0.81180555555555556</v>
      </c>
      <c r="I701" s="1">
        <v>139</v>
      </c>
      <c r="J701" s="1">
        <v>124</v>
      </c>
      <c r="K701" s="1" t="s">
        <v>263</v>
      </c>
      <c r="L701" s="1" t="s">
        <v>19</v>
      </c>
      <c r="M701" s="1">
        <v>759</v>
      </c>
    </row>
    <row r="702" spans="1:13" x14ac:dyDescent="0.35">
      <c r="A702" s="1" t="s">
        <v>1251</v>
      </c>
      <c r="B702" s="2">
        <v>46147</v>
      </c>
      <c r="C702" s="1" t="s">
        <v>1252</v>
      </c>
      <c r="D702" s="1" t="s">
        <v>27</v>
      </c>
      <c r="E702" s="1" t="s">
        <v>22</v>
      </c>
      <c r="F702" s="1" t="s">
        <v>17</v>
      </c>
      <c r="G702" s="3">
        <v>0.78472222222222221</v>
      </c>
      <c r="H702" s="3">
        <v>0.78888888888888886</v>
      </c>
      <c r="I702" s="1">
        <v>6</v>
      </c>
      <c r="J702" s="1">
        <v>3</v>
      </c>
      <c r="K702" s="1" t="s">
        <v>18</v>
      </c>
      <c r="L702" s="1" t="s">
        <v>19</v>
      </c>
      <c r="M702" s="1">
        <v>1389</v>
      </c>
    </row>
    <row r="703" spans="1:13" x14ac:dyDescent="0.35">
      <c r="A703" s="1" t="s">
        <v>1253</v>
      </c>
      <c r="B703" s="2">
        <v>46148</v>
      </c>
      <c r="C703" s="1" t="s">
        <v>913</v>
      </c>
      <c r="D703" s="1" t="s">
        <v>16</v>
      </c>
      <c r="E703" s="1" t="s">
        <v>50</v>
      </c>
      <c r="F703" s="1" t="s">
        <v>24</v>
      </c>
      <c r="G703" s="3">
        <v>0.3263888888888889</v>
      </c>
      <c r="H703" s="3">
        <v>0.36249999999999999</v>
      </c>
      <c r="I703" s="1">
        <v>52</v>
      </c>
      <c r="J703" s="1">
        <v>41</v>
      </c>
      <c r="K703" s="1" t="s">
        <v>54</v>
      </c>
      <c r="L703" s="1" t="s">
        <v>19</v>
      </c>
      <c r="M703" s="1">
        <v>606</v>
      </c>
    </row>
    <row r="704" spans="1:13" x14ac:dyDescent="0.35">
      <c r="A704" s="1" t="s">
        <v>1254</v>
      </c>
      <c r="B704" s="2">
        <v>46148</v>
      </c>
      <c r="C704" s="1" t="s">
        <v>577</v>
      </c>
      <c r="D704" s="1" t="s">
        <v>47</v>
      </c>
      <c r="E704" s="1" t="s">
        <v>22</v>
      </c>
      <c r="F704" s="1" t="s">
        <v>24</v>
      </c>
      <c r="G704" s="3">
        <v>0.51736111111111116</v>
      </c>
      <c r="H704" s="1"/>
      <c r="I704" s="1">
        <v>28</v>
      </c>
      <c r="J704" s="1">
        <v>32</v>
      </c>
      <c r="K704" s="1" t="s">
        <v>174</v>
      </c>
      <c r="L704" s="1" t="s">
        <v>19</v>
      </c>
      <c r="M704" s="1">
        <v>2580</v>
      </c>
    </row>
    <row r="705" spans="1:13" x14ac:dyDescent="0.35">
      <c r="A705" s="1" t="s">
        <v>1255</v>
      </c>
      <c r="B705" s="2">
        <v>46148</v>
      </c>
      <c r="C705" s="1" t="s">
        <v>1113</v>
      </c>
      <c r="D705" s="1" t="s">
        <v>23</v>
      </c>
      <c r="E705" s="1" t="s">
        <v>15</v>
      </c>
      <c r="F705" s="1" t="s">
        <v>17</v>
      </c>
      <c r="G705" s="3">
        <v>0.61111111111111116</v>
      </c>
      <c r="H705" s="3">
        <v>0.60972222222222228</v>
      </c>
      <c r="I705" s="1">
        <v>-2</v>
      </c>
      <c r="J705" s="1">
        <v>-12</v>
      </c>
      <c r="K705" s="1" t="s">
        <v>18</v>
      </c>
      <c r="L705" s="1" t="s">
        <v>19</v>
      </c>
      <c r="M705" s="1">
        <v>861</v>
      </c>
    </row>
    <row r="706" spans="1:13" x14ac:dyDescent="0.35">
      <c r="A706" s="1" t="s">
        <v>1256</v>
      </c>
      <c r="B706" s="2">
        <v>46148</v>
      </c>
      <c r="C706" s="1" t="s">
        <v>1257</v>
      </c>
      <c r="D706" s="1" t="s">
        <v>27</v>
      </c>
      <c r="E706" s="1" t="s">
        <v>50</v>
      </c>
      <c r="F706" s="1" t="s">
        <v>17</v>
      </c>
      <c r="G706" s="3">
        <v>0.63888888888888884</v>
      </c>
      <c r="H706" s="3">
        <v>0.66597222222222219</v>
      </c>
      <c r="I706" s="1">
        <v>39</v>
      </c>
      <c r="J706" s="1"/>
      <c r="K706" s="1" t="s">
        <v>60</v>
      </c>
      <c r="L706" s="1" t="s">
        <v>19</v>
      </c>
      <c r="M706" s="1">
        <v>730</v>
      </c>
    </row>
    <row r="707" spans="1:13" x14ac:dyDescent="0.35">
      <c r="A707" s="1" t="s">
        <v>1258</v>
      </c>
      <c r="B707" s="2">
        <v>46149</v>
      </c>
      <c r="C707" s="1" t="s">
        <v>1259</v>
      </c>
      <c r="D707" s="1" t="s">
        <v>78</v>
      </c>
      <c r="E707" s="1" t="s">
        <v>31</v>
      </c>
      <c r="F707" s="1" t="s">
        <v>24</v>
      </c>
      <c r="G707" s="3">
        <v>0.31944444444444442</v>
      </c>
      <c r="H707" s="3">
        <v>0.32500000000000001</v>
      </c>
      <c r="I707" s="1">
        <v>8</v>
      </c>
      <c r="J707" s="1">
        <v>5</v>
      </c>
      <c r="K707" s="1" t="s">
        <v>18</v>
      </c>
      <c r="L707" s="1" t="s">
        <v>19</v>
      </c>
      <c r="M707" s="1">
        <v>256</v>
      </c>
    </row>
    <row r="708" spans="1:13" x14ac:dyDescent="0.35">
      <c r="A708" s="1" t="s">
        <v>1260</v>
      </c>
      <c r="B708" s="2">
        <v>46149</v>
      </c>
      <c r="C708" s="1" t="s">
        <v>1261</v>
      </c>
      <c r="D708" s="1" t="s">
        <v>15</v>
      </c>
      <c r="E708" s="1" t="s">
        <v>23</v>
      </c>
      <c r="F708" s="1" t="s">
        <v>38</v>
      </c>
      <c r="G708" s="3">
        <v>0.36805555555555558</v>
      </c>
      <c r="H708" s="3">
        <v>0.36319444444444438</v>
      </c>
      <c r="I708" s="1">
        <v>-7</v>
      </c>
      <c r="J708" s="1">
        <v>-3</v>
      </c>
      <c r="K708" s="1"/>
      <c r="L708" s="1" t="s">
        <v>19</v>
      </c>
      <c r="M708" s="1">
        <v>861</v>
      </c>
    </row>
    <row r="709" spans="1:13" x14ac:dyDescent="0.35">
      <c r="A709" s="1" t="s">
        <v>1262</v>
      </c>
      <c r="B709" s="2">
        <v>46149</v>
      </c>
      <c r="C709" s="1" t="s">
        <v>770</v>
      </c>
      <c r="D709" s="1" t="s">
        <v>51</v>
      </c>
      <c r="E709" s="1" t="s">
        <v>23</v>
      </c>
      <c r="F709" s="1" t="s">
        <v>17</v>
      </c>
      <c r="G709" s="3">
        <v>0.64236111111111116</v>
      </c>
      <c r="H709" s="3">
        <v>0.64166666666666672</v>
      </c>
      <c r="I709" s="1">
        <v>-1</v>
      </c>
      <c r="J709" s="1">
        <v>-9</v>
      </c>
      <c r="K709" s="1" t="s">
        <v>18</v>
      </c>
      <c r="L709" s="1" t="s">
        <v>19</v>
      </c>
      <c r="M709" s="1">
        <v>641</v>
      </c>
    </row>
    <row r="710" spans="1:13" x14ac:dyDescent="0.35">
      <c r="A710" s="1" t="s">
        <v>1263</v>
      </c>
      <c r="B710" s="2">
        <v>46149</v>
      </c>
      <c r="C710" s="1" t="s">
        <v>422</v>
      </c>
      <c r="D710" s="1" t="s">
        <v>41</v>
      </c>
      <c r="E710" s="1" t="s">
        <v>16</v>
      </c>
      <c r="F710" s="1" t="s">
        <v>38</v>
      </c>
      <c r="G710" s="3">
        <v>0.65277777777777779</v>
      </c>
      <c r="H710" s="3">
        <v>0.66111111111111109</v>
      </c>
      <c r="I710" s="1">
        <v>12</v>
      </c>
      <c r="J710" s="1">
        <v>5</v>
      </c>
      <c r="K710" s="1" t="s">
        <v>18</v>
      </c>
      <c r="L710" s="1" t="s">
        <v>19</v>
      </c>
      <c r="M710" s="1">
        <v>1199</v>
      </c>
    </row>
    <row r="711" spans="1:13" x14ac:dyDescent="0.35">
      <c r="A711" s="1" t="s">
        <v>1264</v>
      </c>
      <c r="B711" s="2">
        <v>46150</v>
      </c>
      <c r="C711" s="1" t="s">
        <v>1225</v>
      </c>
      <c r="D711" s="1" t="s">
        <v>47</v>
      </c>
      <c r="E711" s="1" t="s">
        <v>23</v>
      </c>
      <c r="F711" s="1" t="s">
        <v>17</v>
      </c>
      <c r="G711" s="3">
        <v>0.59027777777777779</v>
      </c>
      <c r="H711" s="3">
        <v>0.58680555555555558</v>
      </c>
      <c r="I711" s="1">
        <v>-5</v>
      </c>
      <c r="J711" s="1">
        <v>-4</v>
      </c>
      <c r="K711" s="1" t="s">
        <v>18</v>
      </c>
      <c r="L711" s="1" t="s">
        <v>19</v>
      </c>
      <c r="M711" s="1">
        <v>965</v>
      </c>
    </row>
    <row r="712" spans="1:13" x14ac:dyDescent="0.35">
      <c r="A712" s="1" t="s">
        <v>1265</v>
      </c>
      <c r="B712" s="2">
        <v>46150</v>
      </c>
      <c r="C712" s="1" t="s">
        <v>835</v>
      </c>
      <c r="D712" s="1" t="s">
        <v>47</v>
      </c>
      <c r="E712" s="1" t="s">
        <v>50</v>
      </c>
      <c r="F712" s="1" t="s">
        <v>17</v>
      </c>
      <c r="G712" s="3">
        <v>0.67013888888888884</v>
      </c>
      <c r="H712" s="3">
        <v>0.6645833333333333</v>
      </c>
      <c r="I712" s="1">
        <v>-8</v>
      </c>
      <c r="J712" s="1">
        <v>1</v>
      </c>
      <c r="K712" s="1"/>
      <c r="L712" s="1" t="s">
        <v>19</v>
      </c>
      <c r="M712" s="1">
        <v>2134</v>
      </c>
    </row>
    <row r="713" spans="1:13" x14ac:dyDescent="0.35">
      <c r="A713" s="1" t="s">
        <v>1266</v>
      </c>
      <c r="B713" s="2">
        <v>46151</v>
      </c>
      <c r="C713" s="1" t="s">
        <v>670</v>
      </c>
      <c r="D713" s="1" t="s">
        <v>328</v>
      </c>
      <c r="E713" s="1" t="s">
        <v>27</v>
      </c>
      <c r="F713" s="1" t="s">
        <v>17</v>
      </c>
      <c r="G713" s="3">
        <v>0.42708333333333331</v>
      </c>
      <c r="H713" s="3">
        <v>0.43402777777777779</v>
      </c>
      <c r="I713" s="1">
        <v>10</v>
      </c>
      <c r="J713" s="1">
        <v>13</v>
      </c>
      <c r="K713" s="1" t="s">
        <v>18</v>
      </c>
      <c r="L713" s="1" t="s">
        <v>19</v>
      </c>
      <c r="M713" s="1">
        <v>1389</v>
      </c>
    </row>
    <row r="714" spans="1:13" x14ac:dyDescent="0.35">
      <c r="A714" s="1" t="s">
        <v>1267</v>
      </c>
      <c r="B714" s="2">
        <v>46151</v>
      </c>
      <c r="C714" s="1" t="s">
        <v>665</v>
      </c>
      <c r="D714" s="1" t="s">
        <v>44</v>
      </c>
      <c r="E714" s="1" t="s">
        <v>27</v>
      </c>
      <c r="F714" s="1" t="s">
        <v>17</v>
      </c>
      <c r="G714" s="3">
        <v>0.61111111111111116</v>
      </c>
      <c r="H714" s="3">
        <v>0.60763888888888884</v>
      </c>
      <c r="I714" s="1">
        <v>-5</v>
      </c>
      <c r="J714" s="1">
        <v>2</v>
      </c>
      <c r="K714" s="1" t="s">
        <v>18</v>
      </c>
      <c r="L714" s="1" t="s">
        <v>19</v>
      </c>
      <c r="M714" s="1">
        <v>1559</v>
      </c>
    </row>
    <row r="715" spans="1:13" x14ac:dyDescent="0.35">
      <c r="A715" s="1" t="s">
        <v>1268</v>
      </c>
      <c r="B715" s="2">
        <v>46151</v>
      </c>
      <c r="C715" s="1" t="s">
        <v>859</v>
      </c>
      <c r="D715" s="1" t="s">
        <v>41</v>
      </c>
      <c r="E715" s="1" t="s">
        <v>27</v>
      </c>
      <c r="F715" s="1" t="s">
        <v>17</v>
      </c>
      <c r="G715" s="3">
        <v>0.70833333333333337</v>
      </c>
      <c r="H715" s="3">
        <v>0.73541666666666672</v>
      </c>
      <c r="I715" s="1">
        <v>39</v>
      </c>
      <c r="J715" s="1">
        <v>41</v>
      </c>
      <c r="K715" s="1" t="s">
        <v>54</v>
      </c>
      <c r="L715" s="1" t="s">
        <v>19</v>
      </c>
      <c r="M715" s="1">
        <v>1120</v>
      </c>
    </row>
    <row r="716" spans="1:13" x14ac:dyDescent="0.35">
      <c r="A716" s="1" t="s">
        <v>1269</v>
      </c>
      <c r="B716" s="2">
        <v>46152</v>
      </c>
      <c r="C716" s="1" t="s">
        <v>889</v>
      </c>
      <c r="D716" s="1" t="s">
        <v>44</v>
      </c>
      <c r="E716" s="1" t="s">
        <v>47</v>
      </c>
      <c r="F716" s="1" t="s">
        <v>24</v>
      </c>
      <c r="G716" s="3">
        <v>0.30208333333333331</v>
      </c>
      <c r="H716" s="3">
        <v>0.29722222222222222</v>
      </c>
      <c r="I716" s="1">
        <v>-7</v>
      </c>
      <c r="J716" s="1">
        <v>-14</v>
      </c>
      <c r="K716" s="1"/>
      <c r="L716" s="1" t="s">
        <v>19</v>
      </c>
      <c r="M716" s="1">
        <v>2698</v>
      </c>
    </row>
    <row r="717" spans="1:13" x14ac:dyDescent="0.35">
      <c r="A717" s="1" t="s">
        <v>1270</v>
      </c>
      <c r="B717" s="2">
        <v>46152</v>
      </c>
      <c r="C717" s="1" t="s">
        <v>355</v>
      </c>
      <c r="D717" s="1" t="s">
        <v>16</v>
      </c>
      <c r="E717" s="1" t="s">
        <v>44</v>
      </c>
      <c r="F717" s="1" t="s">
        <v>38</v>
      </c>
      <c r="G717" s="3">
        <v>0.40972222222222221</v>
      </c>
      <c r="H717" s="3">
        <v>0.40694444444444439</v>
      </c>
      <c r="I717" s="1">
        <v>-4</v>
      </c>
      <c r="J717" s="1">
        <v>-6</v>
      </c>
      <c r="K717" s="1" t="s">
        <v>18</v>
      </c>
      <c r="L717" s="1" t="s">
        <v>19</v>
      </c>
      <c r="M717" s="1">
        <v>864</v>
      </c>
    </row>
    <row r="718" spans="1:13" x14ac:dyDescent="0.35">
      <c r="A718" s="1" t="s">
        <v>1271</v>
      </c>
      <c r="B718" s="2">
        <v>46152</v>
      </c>
      <c r="C718" s="1" t="s">
        <v>1272</v>
      </c>
      <c r="D718" s="1" t="s">
        <v>214</v>
      </c>
      <c r="E718" s="1" t="s">
        <v>27</v>
      </c>
      <c r="F718" s="1" t="s">
        <v>17</v>
      </c>
      <c r="G718" s="3">
        <v>0.63888888888888884</v>
      </c>
      <c r="H718" s="3">
        <v>0.66319444444444442</v>
      </c>
      <c r="I718" s="1">
        <v>35</v>
      </c>
      <c r="J718" s="1">
        <v>36</v>
      </c>
      <c r="K718" s="1" t="s">
        <v>60</v>
      </c>
      <c r="L718" s="1" t="s">
        <v>19</v>
      </c>
      <c r="M718" s="1">
        <v>641</v>
      </c>
    </row>
    <row r="719" spans="1:13" x14ac:dyDescent="0.35">
      <c r="A719" s="1" t="s">
        <v>1273</v>
      </c>
      <c r="B719" s="2">
        <v>46153</v>
      </c>
      <c r="C719" s="1" t="s">
        <v>1274</v>
      </c>
      <c r="D719" s="1" t="s">
        <v>22</v>
      </c>
      <c r="E719" s="1" t="s">
        <v>15</v>
      </c>
      <c r="F719" s="1" t="s">
        <v>24</v>
      </c>
      <c r="G719" s="3">
        <v>0.29166666666666669</v>
      </c>
      <c r="H719" s="3">
        <v>0.31180555555555561</v>
      </c>
      <c r="I719" s="1">
        <v>29</v>
      </c>
      <c r="J719" s="1">
        <v>32</v>
      </c>
      <c r="K719" s="1" t="s">
        <v>54</v>
      </c>
      <c r="L719" s="1" t="s">
        <v>19</v>
      </c>
      <c r="M719" s="1">
        <v>2470</v>
      </c>
    </row>
    <row r="720" spans="1:13" x14ac:dyDescent="0.35">
      <c r="A720" s="1" t="s">
        <v>1275</v>
      </c>
      <c r="B720" s="2">
        <v>46153</v>
      </c>
      <c r="C720" s="1" t="s">
        <v>454</v>
      </c>
      <c r="D720" s="1" t="s">
        <v>15</v>
      </c>
      <c r="E720" s="1" t="s">
        <v>50</v>
      </c>
      <c r="F720" s="1" t="s">
        <v>17</v>
      </c>
      <c r="G720" s="3">
        <v>0.61111111111111116</v>
      </c>
      <c r="H720" s="3">
        <v>0.6069444444444444</v>
      </c>
      <c r="I720" s="1">
        <v>-6</v>
      </c>
      <c r="J720" s="1">
        <v>-11</v>
      </c>
      <c r="K720" s="1" t="s">
        <v>18</v>
      </c>
      <c r="L720" s="1" t="s">
        <v>19</v>
      </c>
      <c r="M720" s="1">
        <v>1942</v>
      </c>
    </row>
    <row r="721" spans="1:13" x14ac:dyDescent="0.35">
      <c r="A721" s="1" t="s">
        <v>1276</v>
      </c>
      <c r="B721" s="2">
        <v>46154</v>
      </c>
      <c r="C721" s="1" t="s">
        <v>723</v>
      </c>
      <c r="D721" s="1" t="s">
        <v>41</v>
      </c>
      <c r="E721" s="1" t="s">
        <v>78</v>
      </c>
      <c r="F721" s="1" t="s">
        <v>17</v>
      </c>
      <c r="G721" s="3">
        <v>0.43055555555555558</v>
      </c>
      <c r="H721" s="3">
        <v>0.42916666666666659</v>
      </c>
      <c r="I721" s="1">
        <v>-2</v>
      </c>
      <c r="J721" s="1">
        <v>-8</v>
      </c>
      <c r="K721" s="1" t="s">
        <v>18</v>
      </c>
      <c r="L721" s="1" t="s">
        <v>19</v>
      </c>
      <c r="M721" s="1">
        <v>1969</v>
      </c>
    </row>
    <row r="722" spans="1:13" x14ac:dyDescent="0.35">
      <c r="A722" s="1" t="s">
        <v>1277</v>
      </c>
      <c r="B722" s="2">
        <v>46154</v>
      </c>
      <c r="C722" s="1" t="s">
        <v>1278</v>
      </c>
      <c r="D722" s="1" t="s">
        <v>41</v>
      </c>
      <c r="E722" s="1" t="s">
        <v>78</v>
      </c>
      <c r="F722" s="1" t="s">
        <v>24</v>
      </c>
      <c r="G722" s="3">
        <v>0.64583333333333337</v>
      </c>
      <c r="H722" s="1"/>
      <c r="I722" s="1">
        <v>-2</v>
      </c>
      <c r="J722" s="1">
        <v>-4</v>
      </c>
      <c r="K722" s="1" t="s">
        <v>18</v>
      </c>
      <c r="L722" s="1" t="s">
        <v>19</v>
      </c>
      <c r="M722" s="1">
        <v>1969</v>
      </c>
    </row>
    <row r="723" spans="1:13" x14ac:dyDescent="0.35">
      <c r="A723" s="1" t="s">
        <v>1279</v>
      </c>
      <c r="B723" s="2">
        <v>46155</v>
      </c>
      <c r="C723" s="1" t="s">
        <v>146</v>
      </c>
      <c r="D723" s="1" t="s">
        <v>37</v>
      </c>
      <c r="E723" s="1" t="s">
        <v>44</v>
      </c>
      <c r="F723" s="1" t="s">
        <v>17</v>
      </c>
      <c r="G723" s="3">
        <v>0.53472222222222221</v>
      </c>
      <c r="H723" s="3">
        <v>0.55625000000000002</v>
      </c>
      <c r="I723" s="1">
        <v>31</v>
      </c>
      <c r="J723" s="1">
        <v>26</v>
      </c>
      <c r="K723" s="1" t="s">
        <v>617</v>
      </c>
      <c r="L723" s="1" t="s">
        <v>19</v>
      </c>
      <c r="M723" s="1">
        <v>2489</v>
      </c>
    </row>
    <row r="724" spans="1:13" x14ac:dyDescent="0.35">
      <c r="A724" s="1" t="s">
        <v>1280</v>
      </c>
      <c r="B724" s="2">
        <v>46155</v>
      </c>
      <c r="C724" s="1" t="s">
        <v>768</v>
      </c>
      <c r="D724" s="1" t="s">
        <v>23</v>
      </c>
      <c r="E724" s="1" t="s">
        <v>37</v>
      </c>
      <c r="F724" s="1" t="s">
        <v>24</v>
      </c>
      <c r="G724" s="3">
        <v>0.73958333333333337</v>
      </c>
      <c r="H724" s="3">
        <v>0.74652777777777779</v>
      </c>
      <c r="I724" s="1">
        <v>10</v>
      </c>
      <c r="J724" s="1">
        <v>10</v>
      </c>
      <c r="K724" s="1" t="s">
        <v>18</v>
      </c>
      <c r="L724" s="1" t="s">
        <v>19</v>
      </c>
      <c r="M724" s="1">
        <v>1023</v>
      </c>
    </row>
    <row r="725" spans="1:13" x14ac:dyDescent="0.35">
      <c r="A725" s="1" t="s">
        <v>1281</v>
      </c>
      <c r="B725" s="2">
        <v>46155</v>
      </c>
      <c r="C725" s="1" t="s">
        <v>1060</v>
      </c>
      <c r="D725" s="1" t="s">
        <v>23</v>
      </c>
      <c r="E725" s="1" t="s">
        <v>22</v>
      </c>
      <c r="F725" s="1" t="s">
        <v>38</v>
      </c>
      <c r="G725" s="3">
        <v>0.74652777777777779</v>
      </c>
      <c r="H725" s="3">
        <v>0.75277777777777777</v>
      </c>
      <c r="I725" s="1">
        <v>9</v>
      </c>
      <c r="J725" s="1">
        <v>15</v>
      </c>
      <c r="K725" s="1" t="s">
        <v>18</v>
      </c>
      <c r="L725" s="1" t="s">
        <v>19</v>
      </c>
      <c r="M725" s="1">
        <v>1622</v>
      </c>
    </row>
    <row r="726" spans="1:13" x14ac:dyDescent="0.35">
      <c r="A726" s="1" t="s">
        <v>1282</v>
      </c>
      <c r="B726" s="2">
        <v>46156</v>
      </c>
      <c r="C726" s="1" t="s">
        <v>1283</v>
      </c>
      <c r="D726" s="1" t="s">
        <v>16</v>
      </c>
      <c r="E726" s="1" t="s">
        <v>31</v>
      </c>
      <c r="F726" s="1" t="s">
        <v>28</v>
      </c>
      <c r="G726" s="3">
        <v>0.39583333333333331</v>
      </c>
      <c r="H726" s="3">
        <v>0.39791666666666659</v>
      </c>
      <c r="I726" s="1">
        <v>3</v>
      </c>
      <c r="J726" s="1">
        <v>-5</v>
      </c>
      <c r="K726" s="1" t="s">
        <v>18</v>
      </c>
      <c r="L726" s="1" t="s">
        <v>19</v>
      </c>
      <c r="M726" s="1">
        <v>1511</v>
      </c>
    </row>
    <row r="727" spans="1:13" x14ac:dyDescent="0.35">
      <c r="A727" s="1" t="s">
        <v>1284</v>
      </c>
      <c r="B727" s="2">
        <v>46157</v>
      </c>
      <c r="C727" s="1" t="s">
        <v>1285</v>
      </c>
      <c r="D727" s="1" t="s">
        <v>27</v>
      </c>
      <c r="E727" s="1" t="s">
        <v>47</v>
      </c>
      <c r="F727" s="1" t="s">
        <v>28</v>
      </c>
      <c r="G727" s="3">
        <v>0.5625</v>
      </c>
      <c r="H727" s="3">
        <v>0.56111111111111112</v>
      </c>
      <c r="I727" s="1">
        <v>-2</v>
      </c>
      <c r="J727" s="1">
        <v>0</v>
      </c>
      <c r="K727" s="1" t="s">
        <v>18</v>
      </c>
      <c r="L727" s="1" t="s">
        <v>19</v>
      </c>
      <c r="M727" s="1">
        <v>1462</v>
      </c>
    </row>
    <row r="728" spans="1:13" x14ac:dyDescent="0.35">
      <c r="A728" s="1" t="s">
        <v>1286</v>
      </c>
      <c r="B728" s="2">
        <v>46157</v>
      </c>
      <c r="C728" s="1" t="s">
        <v>1287</v>
      </c>
      <c r="D728" s="1" t="s">
        <v>27</v>
      </c>
      <c r="E728" s="1" t="s">
        <v>940</v>
      </c>
      <c r="F728" s="1" t="s">
        <v>17</v>
      </c>
      <c r="G728" s="3">
        <v>0.66319444444444442</v>
      </c>
      <c r="H728" s="3">
        <v>0.67013888888888884</v>
      </c>
      <c r="I728" s="1">
        <v>10</v>
      </c>
      <c r="J728" s="1">
        <v>7</v>
      </c>
      <c r="K728" s="1" t="s">
        <v>18</v>
      </c>
      <c r="L728" s="1" t="s">
        <v>19</v>
      </c>
      <c r="M728" s="1">
        <v>1053</v>
      </c>
    </row>
    <row r="729" spans="1:13" x14ac:dyDescent="0.35">
      <c r="A729" s="1" t="s">
        <v>1288</v>
      </c>
      <c r="B729" s="2">
        <v>46158</v>
      </c>
      <c r="C729" s="1" t="s">
        <v>171</v>
      </c>
      <c r="D729" s="1" t="s">
        <v>50</v>
      </c>
      <c r="E729" s="1" t="s">
        <v>16</v>
      </c>
      <c r="F729" s="1" t="s">
        <v>24</v>
      </c>
      <c r="G729" s="3">
        <v>0.4513888888888889</v>
      </c>
      <c r="H729" s="3">
        <v>0.45347222222222222</v>
      </c>
      <c r="I729" s="1">
        <v>3</v>
      </c>
      <c r="J729" s="1">
        <v>3</v>
      </c>
      <c r="K729" s="1" t="s">
        <v>18</v>
      </c>
      <c r="L729" s="1" t="s">
        <v>19</v>
      </c>
      <c r="M729" s="1">
        <v>606</v>
      </c>
    </row>
    <row r="730" spans="1:13" x14ac:dyDescent="0.35">
      <c r="A730" s="1" t="s">
        <v>1289</v>
      </c>
      <c r="B730" s="2">
        <v>46158</v>
      </c>
      <c r="C730" s="1" t="s">
        <v>383</v>
      </c>
      <c r="D730" s="1" t="s">
        <v>16</v>
      </c>
      <c r="E730" s="1" t="s">
        <v>37</v>
      </c>
      <c r="F730" s="1" t="s">
        <v>17</v>
      </c>
      <c r="G730" s="3">
        <v>0.67361111111111116</v>
      </c>
      <c r="H730" s="3">
        <v>0.68472222222222223</v>
      </c>
      <c r="I730" s="1">
        <v>16</v>
      </c>
      <c r="J730" s="1">
        <v>13</v>
      </c>
      <c r="K730" s="1" t="s">
        <v>98</v>
      </c>
      <c r="L730" s="1" t="s">
        <v>19</v>
      </c>
      <c r="M730" s="1">
        <v>1717</v>
      </c>
    </row>
    <row r="731" spans="1:13" x14ac:dyDescent="0.35">
      <c r="A731" s="1" t="s">
        <v>1290</v>
      </c>
      <c r="B731" s="2">
        <v>46160</v>
      </c>
      <c r="C731" s="1" t="s">
        <v>430</v>
      </c>
      <c r="D731" s="1" t="s">
        <v>44</v>
      </c>
      <c r="E731" s="1" t="s">
        <v>22</v>
      </c>
      <c r="F731" s="1" t="s">
        <v>17</v>
      </c>
      <c r="G731" s="3">
        <v>0.3923611111111111</v>
      </c>
      <c r="H731" s="3">
        <v>0.38750000000000001</v>
      </c>
      <c r="I731" s="1">
        <v>-7</v>
      </c>
      <c r="J731" s="1">
        <v>-11</v>
      </c>
      <c r="K731" s="1" t="s">
        <v>18</v>
      </c>
      <c r="L731" s="1" t="s">
        <v>19</v>
      </c>
      <c r="M731" s="1">
        <v>186</v>
      </c>
    </row>
    <row r="732" spans="1:13" x14ac:dyDescent="0.35">
      <c r="A732" s="1" t="s">
        <v>1291</v>
      </c>
      <c r="B732" s="2">
        <v>46160</v>
      </c>
      <c r="C732" s="1" t="s">
        <v>723</v>
      </c>
      <c r="D732" s="1" t="s">
        <v>22</v>
      </c>
      <c r="E732" s="1" t="s">
        <v>51</v>
      </c>
      <c r="F732" s="1" t="s">
        <v>17</v>
      </c>
      <c r="G732" s="3">
        <v>0.69444444444444442</v>
      </c>
      <c r="H732" s="3">
        <v>0.69097222222222221</v>
      </c>
      <c r="I732" s="1">
        <v>-5</v>
      </c>
      <c r="J732" s="1">
        <v>3</v>
      </c>
      <c r="K732" s="1" t="s">
        <v>18</v>
      </c>
      <c r="L732" s="1" t="s">
        <v>19</v>
      </c>
      <c r="M732" s="1">
        <v>1389</v>
      </c>
    </row>
    <row r="733" spans="1:13" x14ac:dyDescent="0.35">
      <c r="A733" s="1" t="s">
        <v>1292</v>
      </c>
      <c r="B733" s="2">
        <v>46160</v>
      </c>
      <c r="C733" s="1" t="s">
        <v>228</v>
      </c>
      <c r="D733" s="1" t="s">
        <v>418</v>
      </c>
      <c r="E733" s="1" t="s">
        <v>16</v>
      </c>
      <c r="F733" s="1" t="s">
        <v>17</v>
      </c>
      <c r="G733" s="3">
        <v>0.85416666666666663</v>
      </c>
      <c r="H733" s="3">
        <v>0.90277777777777779</v>
      </c>
      <c r="I733" s="1">
        <v>70</v>
      </c>
      <c r="J733" s="1">
        <v>61</v>
      </c>
      <c r="K733" s="1" t="s">
        <v>149</v>
      </c>
      <c r="L733" s="1" t="s">
        <v>19</v>
      </c>
      <c r="M733" s="1">
        <v>1199</v>
      </c>
    </row>
    <row r="734" spans="1:13" x14ac:dyDescent="0.35">
      <c r="A734" s="1" t="s">
        <v>1293</v>
      </c>
      <c r="B734" s="2">
        <v>46161</v>
      </c>
      <c r="C734" s="1" t="s">
        <v>1294</v>
      </c>
      <c r="D734" s="1" t="s">
        <v>1295</v>
      </c>
      <c r="E734" s="1" t="s">
        <v>27</v>
      </c>
      <c r="F734" s="1" t="s">
        <v>28</v>
      </c>
      <c r="G734" s="3">
        <v>0.35069444444444442</v>
      </c>
      <c r="H734" s="3">
        <v>0.37916666666666671</v>
      </c>
      <c r="I734" s="1">
        <v>41</v>
      </c>
      <c r="J734" s="1">
        <v>27</v>
      </c>
      <c r="K734" s="1" t="s">
        <v>60</v>
      </c>
      <c r="L734" s="1" t="s">
        <v>19</v>
      </c>
      <c r="M734" s="1">
        <v>1462</v>
      </c>
    </row>
    <row r="735" spans="1:13" x14ac:dyDescent="0.35">
      <c r="A735" s="1" t="s">
        <v>1296</v>
      </c>
      <c r="B735" s="2">
        <v>46161</v>
      </c>
      <c r="C735" s="1" t="s">
        <v>986</v>
      </c>
      <c r="D735" s="1" t="s">
        <v>47</v>
      </c>
      <c r="E735" s="1" t="s">
        <v>15</v>
      </c>
      <c r="F735" s="1" t="s">
        <v>24</v>
      </c>
      <c r="G735" s="3">
        <v>0.4236111111111111</v>
      </c>
      <c r="H735" s="3">
        <v>0.41805555555555562</v>
      </c>
      <c r="I735" s="1">
        <v>-8</v>
      </c>
      <c r="J735" s="1">
        <v>1</v>
      </c>
      <c r="K735" s="1" t="s">
        <v>18</v>
      </c>
      <c r="L735" s="1" t="s">
        <v>19</v>
      </c>
      <c r="M735" s="1">
        <v>338</v>
      </c>
    </row>
    <row r="736" spans="1:13" x14ac:dyDescent="0.35">
      <c r="A736" s="1" t="s">
        <v>1297</v>
      </c>
      <c r="B736" s="2">
        <v>46161</v>
      </c>
      <c r="C736" s="1" t="s">
        <v>412</v>
      </c>
      <c r="D736" s="1" t="s">
        <v>27</v>
      </c>
      <c r="E736" s="1" t="s">
        <v>16</v>
      </c>
      <c r="F736" s="1" t="s">
        <v>17</v>
      </c>
      <c r="G736" s="3">
        <v>0.56597222222222221</v>
      </c>
      <c r="H736" s="3">
        <v>0.56458333333333333</v>
      </c>
      <c r="I736" s="1">
        <v>-2</v>
      </c>
      <c r="J736" s="1">
        <v>6</v>
      </c>
      <c r="K736" s="1" t="s">
        <v>18</v>
      </c>
      <c r="L736" s="1" t="s">
        <v>19</v>
      </c>
      <c r="M736" s="1">
        <v>802</v>
      </c>
    </row>
    <row r="737" spans="1:13" x14ac:dyDescent="0.35">
      <c r="A737" s="1" t="s">
        <v>1298</v>
      </c>
      <c r="B737" s="2">
        <v>46162</v>
      </c>
      <c r="C737" s="1" t="s">
        <v>1299</v>
      </c>
      <c r="D737" s="1" t="s">
        <v>16</v>
      </c>
      <c r="E737" s="1" t="s">
        <v>78</v>
      </c>
      <c r="F737" s="1" t="s">
        <v>38</v>
      </c>
      <c r="G737" s="3">
        <v>0.34722222222222221</v>
      </c>
      <c r="H737" s="3">
        <v>0.37569444444444439</v>
      </c>
      <c r="I737" s="1">
        <v>41</v>
      </c>
      <c r="J737" s="1">
        <v>39</v>
      </c>
      <c r="K737" s="1" t="s">
        <v>54</v>
      </c>
      <c r="L737" s="1" t="s">
        <v>19</v>
      </c>
      <c r="M737" s="1">
        <v>1438</v>
      </c>
    </row>
    <row r="738" spans="1:13" x14ac:dyDescent="0.35">
      <c r="A738" s="1" t="s">
        <v>1300</v>
      </c>
      <c r="B738" s="2">
        <v>46162</v>
      </c>
      <c r="C738" s="1" t="s">
        <v>1301</v>
      </c>
      <c r="D738" s="1" t="s">
        <v>16</v>
      </c>
      <c r="E738" s="1" t="s">
        <v>47</v>
      </c>
      <c r="F738" s="1" t="s">
        <v>38</v>
      </c>
      <c r="G738" s="3">
        <v>0.53819444444444442</v>
      </c>
      <c r="H738" s="3">
        <v>0.54027777777777775</v>
      </c>
      <c r="I738" s="1">
        <v>3</v>
      </c>
      <c r="J738" s="1">
        <v>-5</v>
      </c>
      <c r="K738" s="1"/>
      <c r="L738" s="1" t="s">
        <v>19</v>
      </c>
      <c r="M738" s="1">
        <v>1842</v>
      </c>
    </row>
    <row r="739" spans="1:13" x14ac:dyDescent="0.35">
      <c r="A739" s="1" t="s">
        <v>1302</v>
      </c>
      <c r="B739" s="2">
        <v>46163</v>
      </c>
      <c r="C739" s="1" t="s">
        <v>1233</v>
      </c>
      <c r="D739" s="1" t="s">
        <v>226</v>
      </c>
      <c r="E739" s="1" t="s">
        <v>22</v>
      </c>
      <c r="F739" s="1" t="s">
        <v>28</v>
      </c>
      <c r="G739" s="3">
        <v>0.28819444444444442</v>
      </c>
      <c r="H739" s="3">
        <v>0.31944444444444442</v>
      </c>
      <c r="I739" s="1">
        <v>45</v>
      </c>
      <c r="J739" s="1">
        <v>31</v>
      </c>
      <c r="K739" s="1" t="s">
        <v>54</v>
      </c>
      <c r="L739" s="1" t="s">
        <v>19</v>
      </c>
      <c r="M739" s="1">
        <v>1622</v>
      </c>
    </row>
    <row r="740" spans="1:13" x14ac:dyDescent="0.35">
      <c r="A740" s="1" t="s">
        <v>1303</v>
      </c>
      <c r="B740" s="2">
        <v>46163</v>
      </c>
      <c r="C740" s="1" t="s">
        <v>1304</v>
      </c>
      <c r="D740" s="1" t="s">
        <v>37</v>
      </c>
      <c r="E740" s="1" t="s">
        <v>50</v>
      </c>
      <c r="F740" s="1" t="s">
        <v>17</v>
      </c>
      <c r="G740" s="3">
        <v>0.30555555555555558</v>
      </c>
      <c r="H740" s="3">
        <v>0.32708333333333328</v>
      </c>
      <c r="I740" s="1">
        <v>31</v>
      </c>
      <c r="J740" s="1">
        <v>25</v>
      </c>
      <c r="K740" s="1" t="s">
        <v>60</v>
      </c>
      <c r="L740" s="1" t="s">
        <v>19</v>
      </c>
      <c r="M740" s="1">
        <v>2178</v>
      </c>
    </row>
    <row r="741" spans="1:13" x14ac:dyDescent="0.35">
      <c r="A741" s="1" t="s">
        <v>1305</v>
      </c>
      <c r="B741" s="2">
        <v>46163</v>
      </c>
      <c r="C741" s="1" t="s">
        <v>1019</v>
      </c>
      <c r="D741" s="1" t="s">
        <v>16</v>
      </c>
      <c r="E741" s="1" t="s">
        <v>27</v>
      </c>
      <c r="F741" s="1" t="s">
        <v>24</v>
      </c>
      <c r="G741" s="3">
        <v>0.46875</v>
      </c>
      <c r="H741" s="3">
        <v>0.47638888888888892</v>
      </c>
      <c r="I741" s="1">
        <v>11</v>
      </c>
      <c r="J741" s="1">
        <v>13</v>
      </c>
      <c r="K741" s="1" t="s">
        <v>18</v>
      </c>
      <c r="L741" s="1" t="s">
        <v>19</v>
      </c>
      <c r="M741" s="1">
        <v>802</v>
      </c>
    </row>
    <row r="742" spans="1:13" x14ac:dyDescent="0.35">
      <c r="A742" s="1" t="s">
        <v>1306</v>
      </c>
      <c r="B742" s="2">
        <v>46163</v>
      </c>
      <c r="C742" s="1" t="s">
        <v>1307</v>
      </c>
      <c r="D742" s="1" t="s">
        <v>37</v>
      </c>
      <c r="E742" s="1" t="s">
        <v>50</v>
      </c>
      <c r="F742" s="1" t="s">
        <v>17</v>
      </c>
      <c r="G742" s="3">
        <v>0.53472222222222221</v>
      </c>
      <c r="H742" s="3">
        <v>0.57499999999999996</v>
      </c>
      <c r="I742" s="1">
        <v>58</v>
      </c>
      <c r="J742" s="1"/>
      <c r="K742" s="1" t="s">
        <v>276</v>
      </c>
      <c r="L742" s="1" t="s">
        <v>19</v>
      </c>
      <c r="M742" s="1">
        <v>2178</v>
      </c>
    </row>
    <row r="743" spans="1:13" x14ac:dyDescent="0.35">
      <c r="A743" s="1" t="s">
        <v>1308</v>
      </c>
      <c r="B743" s="2">
        <v>46163</v>
      </c>
      <c r="C743" s="1" t="s">
        <v>470</v>
      </c>
      <c r="D743" s="1" t="s">
        <v>16</v>
      </c>
      <c r="E743" s="1" t="s">
        <v>27</v>
      </c>
      <c r="F743" s="1" t="s">
        <v>28</v>
      </c>
      <c r="G743" s="3">
        <v>0.57986111111111116</v>
      </c>
      <c r="H743" s="3">
        <v>0.57777777777777772</v>
      </c>
      <c r="I743" s="1">
        <v>-3</v>
      </c>
      <c r="J743" s="1">
        <v>-5</v>
      </c>
      <c r="K743" s="1" t="s">
        <v>18</v>
      </c>
      <c r="L743" s="1" t="s">
        <v>19</v>
      </c>
      <c r="M743" s="1">
        <v>802</v>
      </c>
    </row>
    <row r="744" spans="1:13" x14ac:dyDescent="0.35">
      <c r="A744" s="1" t="s">
        <v>1309</v>
      </c>
      <c r="B744" s="2">
        <v>46163</v>
      </c>
      <c r="C744" s="1" t="s">
        <v>361</v>
      </c>
      <c r="D744" s="1" t="s">
        <v>22</v>
      </c>
      <c r="E744" s="1" t="s">
        <v>44</v>
      </c>
      <c r="F744" s="1" t="s">
        <v>38</v>
      </c>
      <c r="G744" s="3">
        <v>0.71527777777777779</v>
      </c>
      <c r="H744" s="3">
        <v>0.70972222222222225</v>
      </c>
      <c r="I744" s="1">
        <v>-8</v>
      </c>
      <c r="J744" s="1">
        <v>-14</v>
      </c>
      <c r="K744" s="1" t="s">
        <v>18</v>
      </c>
      <c r="L744" s="1" t="s">
        <v>19</v>
      </c>
      <c r="M744" s="1">
        <v>186</v>
      </c>
    </row>
    <row r="745" spans="1:13" x14ac:dyDescent="0.35">
      <c r="A745" s="1" t="s">
        <v>1310</v>
      </c>
      <c r="B745" s="2">
        <v>46163</v>
      </c>
      <c r="C745" s="1" t="s">
        <v>1311</v>
      </c>
      <c r="D745" s="1" t="s">
        <v>22</v>
      </c>
      <c r="E745" s="1" t="s">
        <v>47</v>
      </c>
      <c r="F745" s="1" t="s">
        <v>17</v>
      </c>
      <c r="G745" s="3">
        <v>0.875</v>
      </c>
      <c r="H745" s="3">
        <v>0.88055555555555554</v>
      </c>
      <c r="I745" s="1">
        <v>8</v>
      </c>
      <c r="J745" s="1">
        <v>4</v>
      </c>
      <c r="K745" s="1" t="s">
        <v>18</v>
      </c>
      <c r="L745" s="1" t="s">
        <v>19</v>
      </c>
      <c r="M745" s="1">
        <v>2580</v>
      </c>
    </row>
    <row r="746" spans="1:13" x14ac:dyDescent="0.35">
      <c r="A746" s="1" t="s">
        <v>1312</v>
      </c>
      <c r="B746" s="2">
        <v>46165</v>
      </c>
      <c r="C746" s="1" t="s">
        <v>1313</v>
      </c>
      <c r="D746" s="1" t="s">
        <v>31</v>
      </c>
      <c r="E746" s="1" t="s">
        <v>23</v>
      </c>
      <c r="F746" s="1" t="s">
        <v>28</v>
      </c>
      <c r="G746" s="3">
        <v>0.37847222222222221</v>
      </c>
      <c r="H746" s="3">
        <v>0.43472222222222218</v>
      </c>
      <c r="I746" s="1">
        <v>81</v>
      </c>
      <c r="J746" s="1">
        <v>70</v>
      </c>
      <c r="K746" s="1" t="s">
        <v>54</v>
      </c>
      <c r="L746" s="1" t="s">
        <v>19</v>
      </c>
      <c r="M746" s="1">
        <v>627</v>
      </c>
    </row>
    <row r="747" spans="1:13" x14ac:dyDescent="0.35">
      <c r="A747" s="1" t="s">
        <v>1314</v>
      </c>
      <c r="B747" s="2">
        <v>46165</v>
      </c>
      <c r="C747" s="1" t="s">
        <v>1315</v>
      </c>
      <c r="D747" s="1" t="s">
        <v>50</v>
      </c>
      <c r="E747" s="1" t="s">
        <v>31</v>
      </c>
      <c r="F747" s="1" t="s">
        <v>17</v>
      </c>
      <c r="G747" s="3">
        <v>0.51041666666666663</v>
      </c>
      <c r="H747" s="3">
        <v>0.51249999999999996</v>
      </c>
      <c r="I747" s="1">
        <v>3</v>
      </c>
      <c r="J747" s="1">
        <v>-5</v>
      </c>
      <c r="K747" s="1"/>
      <c r="L747" s="1" t="s">
        <v>19</v>
      </c>
      <c r="M747" s="1">
        <v>1743</v>
      </c>
    </row>
    <row r="748" spans="1:13" x14ac:dyDescent="0.35">
      <c r="A748" s="1" t="s">
        <v>1316</v>
      </c>
      <c r="B748" s="2">
        <v>46165</v>
      </c>
      <c r="C748" s="1" t="s">
        <v>49</v>
      </c>
      <c r="D748" s="1" t="s">
        <v>50</v>
      </c>
      <c r="E748" s="1" t="s">
        <v>37</v>
      </c>
      <c r="F748" s="1" t="s">
        <v>17</v>
      </c>
      <c r="G748" s="3">
        <v>0.52430555555555558</v>
      </c>
      <c r="H748" s="3">
        <v>0.53611111111111109</v>
      </c>
      <c r="I748" s="1">
        <v>17</v>
      </c>
      <c r="J748" s="1">
        <v>21</v>
      </c>
      <c r="K748" s="1" t="s">
        <v>98</v>
      </c>
      <c r="L748" s="1" t="s">
        <v>19</v>
      </c>
      <c r="M748" s="1">
        <v>2178</v>
      </c>
    </row>
    <row r="749" spans="1:13" x14ac:dyDescent="0.35">
      <c r="A749" s="1" t="s">
        <v>1317</v>
      </c>
      <c r="B749" s="2">
        <v>46165</v>
      </c>
      <c r="C749" s="1" t="s">
        <v>677</v>
      </c>
      <c r="D749" s="1" t="s">
        <v>418</v>
      </c>
      <c r="E749" s="1" t="s">
        <v>22</v>
      </c>
      <c r="F749" s="1" t="s">
        <v>17</v>
      </c>
      <c r="G749" s="3">
        <v>0.62152777777777779</v>
      </c>
      <c r="H749" s="3">
        <v>0.6166666666666667</v>
      </c>
      <c r="I749" s="1">
        <v>-7</v>
      </c>
      <c r="J749" s="1">
        <v>1</v>
      </c>
      <c r="K749" s="1" t="s">
        <v>18</v>
      </c>
      <c r="L749" s="1" t="s">
        <v>19</v>
      </c>
      <c r="M749" s="1">
        <v>1092</v>
      </c>
    </row>
    <row r="750" spans="1:13" x14ac:dyDescent="0.35">
      <c r="A750" s="1" t="s">
        <v>1318</v>
      </c>
      <c r="B750" s="2">
        <v>46165</v>
      </c>
      <c r="C750" s="1" t="s">
        <v>49</v>
      </c>
      <c r="D750" s="1" t="s">
        <v>31</v>
      </c>
      <c r="E750" s="1" t="s">
        <v>23</v>
      </c>
      <c r="F750" s="1" t="s">
        <v>17</v>
      </c>
      <c r="G750" s="3">
        <v>0.71180555555555558</v>
      </c>
      <c r="H750" s="3">
        <v>0.71736111111111112</v>
      </c>
      <c r="I750" s="1">
        <v>8</v>
      </c>
      <c r="J750" s="1">
        <v>15</v>
      </c>
      <c r="K750" s="1" t="s">
        <v>18</v>
      </c>
      <c r="L750" s="1" t="s">
        <v>19</v>
      </c>
      <c r="M750" s="1">
        <v>627</v>
      </c>
    </row>
    <row r="751" spans="1:13" x14ac:dyDescent="0.35">
      <c r="A751" s="1" t="s">
        <v>1319</v>
      </c>
      <c r="B751" s="2">
        <v>46167</v>
      </c>
      <c r="C751" s="1" t="s">
        <v>218</v>
      </c>
      <c r="D751" s="1" t="s">
        <v>47</v>
      </c>
      <c r="E751" s="1" t="s">
        <v>78</v>
      </c>
      <c r="F751" s="1" t="s">
        <v>24</v>
      </c>
      <c r="G751" s="3">
        <v>0.2951388888888889</v>
      </c>
      <c r="H751" s="3">
        <v>0.33680555555555558</v>
      </c>
      <c r="I751" s="1">
        <v>60</v>
      </c>
      <c r="J751" s="1">
        <v>65</v>
      </c>
      <c r="K751" s="1" t="s">
        <v>60</v>
      </c>
      <c r="L751" s="1" t="s">
        <v>19</v>
      </c>
      <c r="M751" s="1">
        <v>651</v>
      </c>
    </row>
    <row r="752" spans="1:13" x14ac:dyDescent="0.35">
      <c r="A752" s="1" t="s">
        <v>1320</v>
      </c>
      <c r="B752" s="2">
        <v>46167</v>
      </c>
      <c r="C752" s="1" t="s">
        <v>877</v>
      </c>
      <c r="D752" s="1" t="s">
        <v>78</v>
      </c>
      <c r="E752" s="1" t="s">
        <v>41</v>
      </c>
      <c r="F752" s="1" t="s">
        <v>17</v>
      </c>
      <c r="G752" s="3">
        <v>0.38194444444444442</v>
      </c>
      <c r="H752" s="3">
        <v>0.41388888888888892</v>
      </c>
      <c r="I752" s="1">
        <v>46</v>
      </c>
      <c r="J752" s="1">
        <v>50</v>
      </c>
      <c r="K752" s="1" t="s">
        <v>263</v>
      </c>
      <c r="L752" s="1" t="s">
        <v>19</v>
      </c>
      <c r="M752" s="1">
        <v>1969</v>
      </c>
    </row>
    <row r="753" spans="1:13" x14ac:dyDescent="0.35">
      <c r="A753" s="1" t="s">
        <v>1321</v>
      </c>
      <c r="B753" s="2">
        <v>46167</v>
      </c>
      <c r="C753" s="1" t="s">
        <v>958</v>
      </c>
      <c r="D753" s="1" t="s">
        <v>15</v>
      </c>
      <c r="E753" s="1" t="s">
        <v>41</v>
      </c>
      <c r="F753" s="1" t="s">
        <v>38</v>
      </c>
      <c r="G753" s="3">
        <v>0.68055555555555558</v>
      </c>
      <c r="H753" s="3">
        <v>0.68819444444444444</v>
      </c>
      <c r="I753" s="1">
        <v>11</v>
      </c>
      <c r="J753" s="1">
        <v>1</v>
      </c>
      <c r="K753" s="1" t="s">
        <v>18</v>
      </c>
      <c r="L753" s="1" t="s">
        <v>19</v>
      </c>
      <c r="M753" s="1">
        <v>2338</v>
      </c>
    </row>
    <row r="754" spans="1:13" x14ac:dyDescent="0.35">
      <c r="A754" s="1" t="s">
        <v>1322</v>
      </c>
      <c r="B754" s="2">
        <v>46168</v>
      </c>
      <c r="C754" s="1" t="s">
        <v>1323</v>
      </c>
      <c r="D754" s="1" t="s">
        <v>27</v>
      </c>
      <c r="E754" s="1" t="s">
        <v>37</v>
      </c>
      <c r="F754" s="1" t="s">
        <v>38</v>
      </c>
      <c r="G754" s="3">
        <v>0.39930555555555558</v>
      </c>
      <c r="H754" s="3">
        <v>0.4284722222222222</v>
      </c>
      <c r="I754" s="1">
        <v>42</v>
      </c>
      <c r="J754" s="1"/>
      <c r="K754" s="1" t="s">
        <v>477</v>
      </c>
      <c r="L754" s="1" t="s">
        <v>19</v>
      </c>
      <c r="M754" s="1">
        <v>1658</v>
      </c>
    </row>
    <row r="755" spans="1:13" x14ac:dyDescent="0.35">
      <c r="A755" s="1" t="s">
        <v>1324</v>
      </c>
      <c r="B755" s="2">
        <v>46168</v>
      </c>
      <c r="C755" s="1" t="s">
        <v>1325</v>
      </c>
      <c r="D755" s="1" t="s">
        <v>123</v>
      </c>
      <c r="E755" s="1" t="s">
        <v>27</v>
      </c>
      <c r="F755" s="1" t="s">
        <v>38</v>
      </c>
      <c r="G755" s="3">
        <v>0.43402777777777779</v>
      </c>
      <c r="H755" s="3">
        <v>0.43194444444444452</v>
      </c>
      <c r="I755" s="1">
        <v>-3</v>
      </c>
      <c r="J755" s="1">
        <v>-15</v>
      </c>
      <c r="K755" s="1"/>
      <c r="L755" s="1" t="s">
        <v>19</v>
      </c>
      <c r="M755" s="1">
        <v>730</v>
      </c>
    </row>
    <row r="756" spans="1:13" x14ac:dyDescent="0.35">
      <c r="A756" s="1" t="s">
        <v>1326</v>
      </c>
      <c r="B756" s="2">
        <v>46168</v>
      </c>
      <c r="C756" s="1" t="s">
        <v>234</v>
      </c>
      <c r="D756" s="1" t="s">
        <v>31</v>
      </c>
      <c r="E756" s="1" t="s">
        <v>23</v>
      </c>
      <c r="F756" s="1" t="s">
        <v>17</v>
      </c>
      <c r="G756" s="3">
        <v>0.4375</v>
      </c>
      <c r="H756" s="3">
        <v>0.4375</v>
      </c>
      <c r="I756" s="1">
        <v>0</v>
      </c>
      <c r="J756" s="1">
        <v>-2</v>
      </c>
      <c r="K756" s="1" t="s">
        <v>18</v>
      </c>
      <c r="L756" s="1" t="s">
        <v>19</v>
      </c>
      <c r="M756" s="1">
        <v>627</v>
      </c>
    </row>
    <row r="757" spans="1:13" x14ac:dyDescent="0.35">
      <c r="A757" s="1" t="s">
        <v>1327</v>
      </c>
      <c r="B757" s="2">
        <v>46168</v>
      </c>
      <c r="C757" s="1" t="s">
        <v>815</v>
      </c>
      <c r="D757" s="1" t="s">
        <v>78</v>
      </c>
      <c r="E757" s="1" t="s">
        <v>27</v>
      </c>
      <c r="F757" s="1" t="s">
        <v>28</v>
      </c>
      <c r="G757" s="3">
        <v>0.52430555555555558</v>
      </c>
      <c r="H757" s="3">
        <v>0.55625000000000002</v>
      </c>
      <c r="I757" s="1">
        <v>46</v>
      </c>
      <c r="J757" s="1">
        <v>42</v>
      </c>
      <c r="K757" s="1" t="s">
        <v>276</v>
      </c>
      <c r="L757" s="1" t="s">
        <v>19</v>
      </c>
      <c r="M757" s="1">
        <v>866</v>
      </c>
    </row>
    <row r="758" spans="1:13" x14ac:dyDescent="0.35">
      <c r="A758" s="1" t="s">
        <v>1328</v>
      </c>
      <c r="B758" s="2">
        <v>46168</v>
      </c>
      <c r="C758" s="1" t="s">
        <v>1329</v>
      </c>
      <c r="D758" s="1" t="s">
        <v>23</v>
      </c>
      <c r="E758" s="1" t="s">
        <v>27</v>
      </c>
      <c r="F758" s="1" t="s">
        <v>28</v>
      </c>
      <c r="G758" s="3">
        <v>0.70833333333333337</v>
      </c>
      <c r="H758" s="3">
        <v>0.73888888888888893</v>
      </c>
      <c r="I758" s="1">
        <v>44</v>
      </c>
      <c r="J758" s="1">
        <v>37</v>
      </c>
      <c r="K758" s="1" t="s">
        <v>60</v>
      </c>
      <c r="L758" s="1" t="s">
        <v>19</v>
      </c>
      <c r="M758" s="1">
        <v>641</v>
      </c>
    </row>
    <row r="759" spans="1:13" x14ac:dyDescent="0.35">
      <c r="A759" s="1" t="s">
        <v>1330</v>
      </c>
      <c r="B759" s="2">
        <v>46169</v>
      </c>
      <c r="C759" s="1" t="s">
        <v>70</v>
      </c>
      <c r="D759" s="1" t="s">
        <v>27</v>
      </c>
      <c r="E759" s="1" t="s">
        <v>50</v>
      </c>
      <c r="F759" s="1" t="s">
        <v>17</v>
      </c>
      <c r="G759" s="3">
        <v>0.4201388888888889</v>
      </c>
      <c r="H759" s="3">
        <v>0.4152777777777778</v>
      </c>
      <c r="I759" s="1">
        <v>-7</v>
      </c>
      <c r="J759" s="1">
        <v>-8</v>
      </c>
      <c r="K759" s="1" t="s">
        <v>18</v>
      </c>
      <c r="L759" s="1" t="s">
        <v>19</v>
      </c>
      <c r="M759" s="1">
        <v>730</v>
      </c>
    </row>
    <row r="760" spans="1:13" x14ac:dyDescent="0.35">
      <c r="A760" s="1" t="s">
        <v>1331</v>
      </c>
      <c r="B760" s="2">
        <v>46170</v>
      </c>
      <c r="C760" s="1" t="s">
        <v>1332</v>
      </c>
      <c r="D760" s="1" t="s">
        <v>16</v>
      </c>
      <c r="E760" s="1" t="s">
        <v>22</v>
      </c>
      <c r="F760" s="1" t="s">
        <v>24</v>
      </c>
      <c r="G760" s="3">
        <v>0.77083333333333337</v>
      </c>
      <c r="H760" s="3">
        <v>0.8354166666666667</v>
      </c>
      <c r="I760" s="1">
        <v>93</v>
      </c>
      <c r="J760" s="1">
        <v>98</v>
      </c>
      <c r="K760" s="1" t="s">
        <v>60</v>
      </c>
      <c r="L760" s="1" t="s">
        <v>19</v>
      </c>
      <c r="M760" s="1">
        <v>738</v>
      </c>
    </row>
    <row r="761" spans="1:13" x14ac:dyDescent="0.35">
      <c r="A761" s="1" t="s">
        <v>1333</v>
      </c>
      <c r="B761" s="2">
        <v>46170</v>
      </c>
      <c r="C761" s="1" t="s">
        <v>1334</v>
      </c>
      <c r="D761" s="1" t="s">
        <v>37</v>
      </c>
      <c r="E761" s="1" t="s">
        <v>50</v>
      </c>
      <c r="F761" s="1" t="s">
        <v>24</v>
      </c>
      <c r="G761" s="3">
        <v>0.79861111111111116</v>
      </c>
      <c r="H761" s="3">
        <v>0.83402777777777781</v>
      </c>
      <c r="I761" s="1">
        <v>51</v>
      </c>
      <c r="J761" s="1">
        <v>38</v>
      </c>
      <c r="K761" s="1" t="s">
        <v>303</v>
      </c>
      <c r="L761" s="1" t="s">
        <v>19</v>
      </c>
      <c r="M761" s="1">
        <v>2178</v>
      </c>
    </row>
    <row r="762" spans="1:13" x14ac:dyDescent="0.35">
      <c r="A762" s="1" t="s">
        <v>1335</v>
      </c>
      <c r="B762" s="2">
        <v>46171</v>
      </c>
      <c r="C762" s="1" t="s">
        <v>1336</v>
      </c>
      <c r="D762" s="1" t="s">
        <v>16</v>
      </c>
      <c r="E762" s="1" t="s">
        <v>78</v>
      </c>
      <c r="F762" s="1" t="s">
        <v>28</v>
      </c>
      <c r="G762" s="3">
        <v>0.34722222222222221</v>
      </c>
      <c r="H762" s="3">
        <v>0.34652777777777782</v>
      </c>
      <c r="I762" s="1">
        <v>-1</v>
      </c>
      <c r="J762" s="1">
        <v>4</v>
      </c>
      <c r="K762" s="1" t="s">
        <v>18</v>
      </c>
      <c r="L762" s="1" t="s">
        <v>19</v>
      </c>
      <c r="M762" s="1">
        <v>1438</v>
      </c>
    </row>
    <row r="763" spans="1:13" x14ac:dyDescent="0.35">
      <c r="A763" s="1" t="s">
        <v>1337</v>
      </c>
      <c r="B763" s="2">
        <v>46171</v>
      </c>
      <c r="C763" s="1" t="s">
        <v>112</v>
      </c>
      <c r="D763" s="1" t="s">
        <v>50</v>
      </c>
      <c r="E763" s="1" t="s">
        <v>27</v>
      </c>
      <c r="F763" s="1" t="s">
        <v>24</v>
      </c>
      <c r="G763" s="3">
        <v>0.68402777777777779</v>
      </c>
      <c r="H763" s="3">
        <v>0.73333333333333328</v>
      </c>
      <c r="I763" s="1">
        <v>71</v>
      </c>
      <c r="J763" s="1">
        <v>74</v>
      </c>
      <c r="K763" s="1" t="s">
        <v>54</v>
      </c>
      <c r="L763" s="1" t="s">
        <v>19</v>
      </c>
      <c r="M763" s="1">
        <v>730</v>
      </c>
    </row>
    <row r="764" spans="1:13" x14ac:dyDescent="0.35">
      <c r="A764" s="1" t="s">
        <v>1338</v>
      </c>
      <c r="B764" s="2">
        <v>46172</v>
      </c>
      <c r="C764" s="1" t="s">
        <v>1304</v>
      </c>
      <c r="D764" s="1" t="s">
        <v>16</v>
      </c>
      <c r="E764" s="1" t="s">
        <v>15</v>
      </c>
      <c r="F764" s="1" t="s">
        <v>17</v>
      </c>
      <c r="G764" s="3">
        <v>0.27083333333333331</v>
      </c>
      <c r="H764" s="3">
        <v>0.28680555555555548</v>
      </c>
      <c r="I764" s="1">
        <v>23</v>
      </c>
      <c r="J764" s="1">
        <v>14</v>
      </c>
      <c r="K764" s="1" t="s">
        <v>54</v>
      </c>
      <c r="L764" s="1" t="s">
        <v>19</v>
      </c>
      <c r="M764" s="1">
        <v>1742</v>
      </c>
    </row>
    <row r="765" spans="1:13" x14ac:dyDescent="0.35">
      <c r="A765" s="1" t="s">
        <v>1339</v>
      </c>
      <c r="B765" s="2">
        <v>46172</v>
      </c>
      <c r="C765" s="1" t="s">
        <v>969</v>
      </c>
      <c r="D765" s="1" t="s">
        <v>15</v>
      </c>
      <c r="E765" s="1" t="s">
        <v>50</v>
      </c>
      <c r="F765" s="1" t="s">
        <v>24</v>
      </c>
      <c r="G765" s="3">
        <v>0.66319444444444442</v>
      </c>
      <c r="H765" s="3">
        <v>0.6645833333333333</v>
      </c>
      <c r="I765" s="1">
        <v>2</v>
      </c>
      <c r="J765" s="1">
        <v>-7</v>
      </c>
      <c r="K765" s="1" t="s">
        <v>18</v>
      </c>
      <c r="L765" s="1" t="s">
        <v>19</v>
      </c>
      <c r="M765" s="1">
        <v>1942</v>
      </c>
    </row>
    <row r="766" spans="1:13" x14ac:dyDescent="0.35">
      <c r="A766" s="1" t="s">
        <v>1340</v>
      </c>
      <c r="B766" s="2">
        <v>46172</v>
      </c>
      <c r="C766" s="1" t="s">
        <v>1341</v>
      </c>
      <c r="D766" s="1" t="s">
        <v>50</v>
      </c>
      <c r="E766" s="1" t="s">
        <v>27</v>
      </c>
      <c r="F766" s="1" t="s">
        <v>24</v>
      </c>
      <c r="G766" s="3">
        <v>0.78819444444444442</v>
      </c>
      <c r="H766" s="3">
        <v>0.79652777777777772</v>
      </c>
      <c r="I766" s="1">
        <v>12</v>
      </c>
      <c r="J766" s="1"/>
      <c r="K766" s="1" t="s">
        <v>18</v>
      </c>
      <c r="L766" s="1" t="s">
        <v>19</v>
      </c>
      <c r="M766" s="1">
        <v>730</v>
      </c>
    </row>
    <row r="767" spans="1:13" x14ac:dyDescent="0.35">
      <c r="A767" s="1" t="s">
        <v>1342</v>
      </c>
      <c r="B767" s="2">
        <v>46173</v>
      </c>
      <c r="C767" s="1" t="s">
        <v>1343</v>
      </c>
      <c r="D767" s="1" t="s">
        <v>27</v>
      </c>
      <c r="E767" s="1" t="s">
        <v>16</v>
      </c>
      <c r="F767" s="1" t="s">
        <v>17</v>
      </c>
      <c r="G767" s="3">
        <v>0.24652777777777779</v>
      </c>
      <c r="H767" s="3">
        <v>0.27777777777777779</v>
      </c>
      <c r="I767" s="1">
        <v>45</v>
      </c>
      <c r="J767" s="1">
        <v>33</v>
      </c>
      <c r="K767" s="1" t="s">
        <v>54</v>
      </c>
      <c r="L767" s="1" t="s">
        <v>19</v>
      </c>
      <c r="M767" s="1">
        <v>802</v>
      </c>
    </row>
    <row r="768" spans="1:13" x14ac:dyDescent="0.35">
      <c r="A768" s="1" t="s">
        <v>1344</v>
      </c>
      <c r="B768" s="2">
        <v>46173</v>
      </c>
      <c r="C768" s="1" t="s">
        <v>621</v>
      </c>
      <c r="D768" s="1" t="s">
        <v>16</v>
      </c>
      <c r="E768" s="1" t="s">
        <v>23</v>
      </c>
      <c r="F768" s="1" t="s">
        <v>24</v>
      </c>
      <c r="G768" s="3">
        <v>0.31944444444444442</v>
      </c>
      <c r="H768" s="3">
        <v>0.35833333333333328</v>
      </c>
      <c r="I768" s="1">
        <v>56</v>
      </c>
      <c r="J768" s="1">
        <v>62</v>
      </c>
      <c r="K768" s="1" t="s">
        <v>129</v>
      </c>
      <c r="L768" s="1" t="s">
        <v>19</v>
      </c>
      <c r="M768" s="1">
        <v>886</v>
      </c>
    </row>
    <row r="769" spans="1:13" x14ac:dyDescent="0.35">
      <c r="A769" s="1" t="s">
        <v>1345</v>
      </c>
      <c r="B769" s="2">
        <v>46173</v>
      </c>
      <c r="C769" s="1" t="s">
        <v>983</v>
      </c>
      <c r="D769" s="1" t="s">
        <v>15</v>
      </c>
      <c r="E769" s="1" t="s">
        <v>629</v>
      </c>
      <c r="F769" s="1" t="s">
        <v>38</v>
      </c>
      <c r="G769" s="3">
        <v>0.53819444444444442</v>
      </c>
      <c r="H769" s="3">
        <v>0.54236111111111107</v>
      </c>
      <c r="I769" s="1">
        <v>6</v>
      </c>
      <c r="J769" s="1">
        <v>11</v>
      </c>
      <c r="K769" s="1"/>
      <c r="L769" s="1" t="s">
        <v>19</v>
      </c>
      <c r="M769" s="1">
        <v>370</v>
      </c>
    </row>
    <row r="770" spans="1:13" x14ac:dyDescent="0.35">
      <c r="A770" s="1" t="s">
        <v>1346</v>
      </c>
      <c r="B770" s="2">
        <v>46173</v>
      </c>
      <c r="C770" s="1" t="s">
        <v>1347</v>
      </c>
      <c r="D770" s="1" t="s">
        <v>47</v>
      </c>
      <c r="E770" s="1" t="s">
        <v>50</v>
      </c>
      <c r="F770" s="1" t="s">
        <v>28</v>
      </c>
      <c r="G770" s="3">
        <v>0.58680555555555558</v>
      </c>
      <c r="H770" s="3">
        <v>0.59027777777777779</v>
      </c>
      <c r="I770" s="1">
        <v>5</v>
      </c>
      <c r="J770" s="1">
        <v>15</v>
      </c>
      <c r="K770" s="1" t="s">
        <v>18</v>
      </c>
      <c r="L770" s="1" t="s">
        <v>19</v>
      </c>
      <c r="M770" s="1">
        <v>2134</v>
      </c>
    </row>
    <row r="771" spans="1:13" x14ac:dyDescent="0.35">
      <c r="A771" s="1" t="s">
        <v>1346</v>
      </c>
      <c r="B771" s="2">
        <v>46173</v>
      </c>
      <c r="C771" s="1" t="s">
        <v>1347</v>
      </c>
      <c r="D771" s="1" t="s">
        <v>47</v>
      </c>
      <c r="E771" s="1" t="s">
        <v>50</v>
      </c>
      <c r="F771" s="1" t="s">
        <v>28</v>
      </c>
      <c r="G771" s="3">
        <v>0.58680555555555558</v>
      </c>
      <c r="H771" s="3">
        <v>0.59027777777777779</v>
      </c>
      <c r="I771" s="1">
        <v>5</v>
      </c>
      <c r="J771" s="1">
        <v>15</v>
      </c>
      <c r="K771" s="1" t="s">
        <v>18</v>
      </c>
      <c r="L771" s="1" t="s">
        <v>19</v>
      </c>
      <c r="M771" s="1">
        <v>2134</v>
      </c>
    </row>
    <row r="772" spans="1:13" x14ac:dyDescent="0.35">
      <c r="A772" s="1" t="s">
        <v>1348</v>
      </c>
      <c r="B772" s="2">
        <v>46174</v>
      </c>
      <c r="C772" s="1" t="s">
        <v>1349</v>
      </c>
      <c r="D772" s="1" t="s">
        <v>27</v>
      </c>
      <c r="E772" s="1" t="s">
        <v>940</v>
      </c>
      <c r="F772" s="1" t="s">
        <v>24</v>
      </c>
      <c r="G772" s="3">
        <v>0.84722222222222221</v>
      </c>
      <c r="H772" s="3">
        <v>0.875</v>
      </c>
      <c r="I772" s="1">
        <v>40</v>
      </c>
      <c r="J772" s="1"/>
      <c r="K772" s="1" t="s">
        <v>129</v>
      </c>
      <c r="L772" s="1" t="s">
        <v>19</v>
      </c>
      <c r="M772" s="1">
        <v>1053</v>
      </c>
    </row>
    <row r="773" spans="1:13" x14ac:dyDescent="0.35">
      <c r="A773" s="1" t="s">
        <v>1350</v>
      </c>
      <c r="B773" s="2">
        <v>46174</v>
      </c>
      <c r="C773" s="1" t="s">
        <v>1351</v>
      </c>
      <c r="D773" s="1" t="s">
        <v>386</v>
      </c>
      <c r="E773" s="1" t="s">
        <v>22</v>
      </c>
      <c r="F773" s="1" t="s">
        <v>24</v>
      </c>
      <c r="G773" s="3">
        <v>0.88194444444444442</v>
      </c>
      <c r="H773" s="3">
        <v>0.88958333333333328</v>
      </c>
      <c r="I773" s="1">
        <v>11</v>
      </c>
      <c r="J773" s="1">
        <v>20</v>
      </c>
      <c r="K773" s="1"/>
      <c r="L773" s="1" t="s">
        <v>19</v>
      </c>
      <c r="M773" s="1">
        <v>2580</v>
      </c>
    </row>
    <row r="774" spans="1:13" x14ac:dyDescent="0.35">
      <c r="A774" s="1" t="s">
        <v>1352</v>
      </c>
      <c r="B774" s="2">
        <v>46175</v>
      </c>
      <c r="C774" s="1" t="s">
        <v>1274</v>
      </c>
      <c r="D774" s="1" t="s">
        <v>22</v>
      </c>
      <c r="E774" s="1" t="s">
        <v>16</v>
      </c>
      <c r="F774" s="1" t="s">
        <v>24</v>
      </c>
      <c r="G774" s="3">
        <v>0.55208333333333337</v>
      </c>
      <c r="H774" s="3">
        <v>0.55555555555555558</v>
      </c>
      <c r="I774" s="1">
        <v>5</v>
      </c>
      <c r="J774" s="1">
        <v>13</v>
      </c>
      <c r="K774" s="1" t="s">
        <v>18</v>
      </c>
      <c r="L774" s="1" t="s">
        <v>19</v>
      </c>
      <c r="M774" s="1">
        <v>738</v>
      </c>
    </row>
    <row r="775" spans="1:13" x14ac:dyDescent="0.35">
      <c r="A775" s="1" t="s">
        <v>1353</v>
      </c>
      <c r="B775" s="2">
        <v>46175</v>
      </c>
      <c r="C775" s="1" t="s">
        <v>230</v>
      </c>
      <c r="D775" s="1" t="s">
        <v>23</v>
      </c>
      <c r="E775" s="1" t="s">
        <v>16</v>
      </c>
      <c r="F775" s="1" t="s">
        <v>24</v>
      </c>
      <c r="G775" s="3">
        <v>0.63888888888888884</v>
      </c>
      <c r="H775" s="3">
        <v>0.63680555555555551</v>
      </c>
      <c r="I775" s="1">
        <v>-3</v>
      </c>
      <c r="J775" s="1">
        <v>-6</v>
      </c>
      <c r="K775" s="1" t="s">
        <v>18</v>
      </c>
      <c r="L775" s="1" t="s">
        <v>19</v>
      </c>
      <c r="M775" s="1">
        <v>886</v>
      </c>
    </row>
    <row r="776" spans="1:13" x14ac:dyDescent="0.35">
      <c r="A776" s="1" t="s">
        <v>1354</v>
      </c>
      <c r="B776" s="2">
        <v>46175</v>
      </c>
      <c r="C776" s="1" t="s">
        <v>1355</v>
      </c>
      <c r="D776" s="1" t="s">
        <v>226</v>
      </c>
      <c r="E776" s="1" t="s">
        <v>27</v>
      </c>
      <c r="F776" s="1" t="s">
        <v>28</v>
      </c>
      <c r="G776" s="3">
        <v>0.72222222222222221</v>
      </c>
      <c r="H776" s="3">
        <v>0.72083333333333333</v>
      </c>
      <c r="I776" s="1">
        <v>-2</v>
      </c>
      <c r="J776" s="1">
        <v>3</v>
      </c>
      <c r="K776" s="1"/>
      <c r="L776" s="1" t="s">
        <v>19</v>
      </c>
      <c r="M776" s="1">
        <v>641</v>
      </c>
    </row>
    <row r="777" spans="1:13" x14ac:dyDescent="0.35">
      <c r="A777" s="1" t="s">
        <v>1356</v>
      </c>
      <c r="B777" s="2">
        <v>46175</v>
      </c>
      <c r="C777" s="1" t="s">
        <v>1357</v>
      </c>
      <c r="D777" s="1" t="s">
        <v>16</v>
      </c>
      <c r="E777" s="1" t="s">
        <v>50</v>
      </c>
      <c r="F777" s="1" t="s">
        <v>28</v>
      </c>
      <c r="G777" s="3">
        <v>0.79166666666666663</v>
      </c>
      <c r="H777" s="3">
        <v>0.80347222222222225</v>
      </c>
      <c r="I777" s="1">
        <v>17</v>
      </c>
      <c r="J777" s="1">
        <v>13</v>
      </c>
      <c r="K777" s="1" t="s">
        <v>617</v>
      </c>
      <c r="L777" s="1" t="s">
        <v>19</v>
      </c>
      <c r="M777" s="1">
        <v>606</v>
      </c>
    </row>
    <row r="778" spans="1:13" x14ac:dyDescent="0.35">
      <c r="A778" s="1" t="s">
        <v>1358</v>
      </c>
      <c r="B778" s="2">
        <v>46176</v>
      </c>
      <c r="C778" s="1" t="s">
        <v>1359</v>
      </c>
      <c r="D778" s="1" t="s">
        <v>78</v>
      </c>
      <c r="E778" s="1" t="s">
        <v>50</v>
      </c>
      <c r="F778" s="1" t="s">
        <v>17</v>
      </c>
      <c r="G778" s="3">
        <v>0.80208333333333337</v>
      </c>
      <c r="H778" s="3">
        <v>0.80833333333333335</v>
      </c>
      <c r="I778" s="1">
        <v>9</v>
      </c>
      <c r="J778" s="1">
        <v>12</v>
      </c>
      <c r="K778" s="1"/>
      <c r="L778" s="1" t="s">
        <v>19</v>
      </c>
      <c r="M778" s="1">
        <v>1584</v>
      </c>
    </row>
    <row r="779" spans="1:13" x14ac:dyDescent="0.35">
      <c r="A779" s="1" t="s">
        <v>1360</v>
      </c>
      <c r="B779" s="2">
        <v>46176</v>
      </c>
      <c r="C779" s="1" t="s">
        <v>1361</v>
      </c>
      <c r="D779" s="1" t="s">
        <v>78</v>
      </c>
      <c r="E779" s="1" t="s">
        <v>50</v>
      </c>
      <c r="F779" s="1" t="s">
        <v>24</v>
      </c>
      <c r="G779" s="3">
        <v>0.86458333333333337</v>
      </c>
      <c r="H779" s="3">
        <v>0.88958333333333328</v>
      </c>
      <c r="I779" s="1">
        <v>36</v>
      </c>
      <c r="J779" s="1">
        <v>44</v>
      </c>
      <c r="K779" s="1" t="s">
        <v>174</v>
      </c>
      <c r="L779" s="1" t="s">
        <v>19</v>
      </c>
      <c r="M779" s="1">
        <v>1584</v>
      </c>
    </row>
    <row r="780" spans="1:13" x14ac:dyDescent="0.35">
      <c r="A780" s="1" t="s">
        <v>1362</v>
      </c>
      <c r="B780" s="2">
        <v>46177</v>
      </c>
      <c r="C780" s="1" t="s">
        <v>458</v>
      </c>
      <c r="D780" s="1" t="s">
        <v>37</v>
      </c>
      <c r="E780" s="1" t="s">
        <v>16</v>
      </c>
      <c r="F780" s="1" t="s">
        <v>17</v>
      </c>
      <c r="G780" s="3">
        <v>0.35416666666666669</v>
      </c>
      <c r="H780" s="3">
        <v>0.34930555555555548</v>
      </c>
      <c r="I780" s="1">
        <v>-7</v>
      </c>
      <c r="J780" s="1">
        <v>1</v>
      </c>
      <c r="K780" s="1" t="s">
        <v>18</v>
      </c>
      <c r="L780" s="1" t="s">
        <v>19</v>
      </c>
      <c r="M780" s="1">
        <v>1717</v>
      </c>
    </row>
    <row r="781" spans="1:13" x14ac:dyDescent="0.35">
      <c r="A781" s="1" t="s">
        <v>1363</v>
      </c>
      <c r="B781" s="2">
        <v>46177</v>
      </c>
      <c r="C781" s="1" t="s">
        <v>1003</v>
      </c>
      <c r="D781" s="1" t="s">
        <v>50</v>
      </c>
      <c r="E781" s="1" t="s">
        <v>16</v>
      </c>
      <c r="F781" s="1" t="s">
        <v>24</v>
      </c>
      <c r="G781" s="3">
        <v>0.55902777777777779</v>
      </c>
      <c r="H781" s="3">
        <v>0.58402777777777781</v>
      </c>
      <c r="I781" s="1">
        <v>36</v>
      </c>
      <c r="J781" s="1">
        <v>36</v>
      </c>
      <c r="K781" s="1" t="s">
        <v>54</v>
      </c>
      <c r="L781" s="1" t="s">
        <v>19</v>
      </c>
      <c r="M781" s="1">
        <v>606</v>
      </c>
    </row>
    <row r="782" spans="1:13" x14ac:dyDescent="0.35">
      <c r="A782" s="1" t="s">
        <v>1364</v>
      </c>
      <c r="B782" s="2">
        <v>46177</v>
      </c>
      <c r="C782" s="1" t="s">
        <v>292</v>
      </c>
      <c r="D782" s="1" t="s">
        <v>123</v>
      </c>
      <c r="E782" s="1" t="s">
        <v>47</v>
      </c>
      <c r="F782" s="1" t="s">
        <v>24</v>
      </c>
      <c r="G782" s="3">
        <v>0.71180555555555558</v>
      </c>
      <c r="H782" s="3">
        <v>0.70833333333333337</v>
      </c>
      <c r="I782" s="1">
        <v>-5</v>
      </c>
      <c r="J782" s="1">
        <v>-3</v>
      </c>
      <c r="K782" s="1" t="s">
        <v>18</v>
      </c>
      <c r="L782" s="1" t="s">
        <v>19</v>
      </c>
      <c r="M782" s="1">
        <v>2134</v>
      </c>
    </row>
    <row r="783" spans="1:13" x14ac:dyDescent="0.35">
      <c r="A783" s="1" t="s">
        <v>1365</v>
      </c>
      <c r="B783" s="2">
        <v>46177</v>
      </c>
      <c r="C783" s="1" t="s">
        <v>1366</v>
      </c>
      <c r="D783" s="1" t="s">
        <v>37</v>
      </c>
      <c r="E783" s="1" t="s">
        <v>78</v>
      </c>
      <c r="F783" s="1" t="s">
        <v>24</v>
      </c>
      <c r="G783" s="3">
        <v>0.71180555555555558</v>
      </c>
      <c r="H783" s="3">
        <v>0.7104166666666667</v>
      </c>
      <c r="I783" s="1">
        <v>-2</v>
      </c>
      <c r="J783" s="1">
        <v>-2</v>
      </c>
      <c r="K783" s="1"/>
      <c r="L783" s="1" t="s">
        <v>19</v>
      </c>
      <c r="M783" s="1">
        <v>1108</v>
      </c>
    </row>
    <row r="784" spans="1:13" x14ac:dyDescent="0.35">
      <c r="A784" s="1" t="s">
        <v>1367</v>
      </c>
      <c r="B784" s="2">
        <v>46177</v>
      </c>
      <c r="C784" s="1" t="s">
        <v>663</v>
      </c>
      <c r="D784" s="1" t="s">
        <v>413</v>
      </c>
      <c r="E784" s="1" t="s">
        <v>202</v>
      </c>
      <c r="F784" s="1" t="s">
        <v>38</v>
      </c>
      <c r="G784" s="3">
        <v>0.72916666666666663</v>
      </c>
      <c r="H784" s="3">
        <v>0.72916666666666663</v>
      </c>
      <c r="I784" s="1">
        <v>0</v>
      </c>
      <c r="J784" s="1">
        <v>5</v>
      </c>
      <c r="K784" s="1" t="s">
        <v>18</v>
      </c>
      <c r="L784" s="1" t="s">
        <v>19</v>
      </c>
      <c r="M784" s="1">
        <v>2338</v>
      </c>
    </row>
    <row r="785" spans="1:13" x14ac:dyDescent="0.35">
      <c r="A785" s="1" t="s">
        <v>1368</v>
      </c>
      <c r="B785" s="2">
        <v>46178</v>
      </c>
      <c r="C785" s="1" t="s">
        <v>1369</v>
      </c>
      <c r="D785" s="1" t="s">
        <v>41</v>
      </c>
      <c r="E785" s="1" t="s">
        <v>31</v>
      </c>
      <c r="F785" s="1" t="s">
        <v>17</v>
      </c>
      <c r="G785" s="3">
        <v>0.3263888888888889</v>
      </c>
      <c r="H785" s="3">
        <v>0.32361111111111113</v>
      </c>
      <c r="I785" s="1">
        <v>-4</v>
      </c>
      <c r="J785" s="1">
        <v>-13</v>
      </c>
      <c r="K785" s="1" t="s">
        <v>18</v>
      </c>
      <c r="L785" s="1" t="s">
        <v>19</v>
      </c>
      <c r="M785" s="1">
        <v>2171</v>
      </c>
    </row>
    <row r="786" spans="1:13" x14ac:dyDescent="0.35">
      <c r="A786" s="1" t="s">
        <v>1370</v>
      </c>
      <c r="B786" s="2">
        <v>46178</v>
      </c>
      <c r="C786" s="1" t="s">
        <v>1371</v>
      </c>
      <c r="D786" s="1" t="s">
        <v>1372</v>
      </c>
      <c r="E786" s="1" t="s">
        <v>44</v>
      </c>
      <c r="F786" s="1" t="s">
        <v>28</v>
      </c>
      <c r="G786" s="3">
        <v>0.40625</v>
      </c>
      <c r="H786" s="3">
        <v>0.40833333333333333</v>
      </c>
      <c r="I786" s="1">
        <v>3</v>
      </c>
      <c r="J786" s="1">
        <v>-5</v>
      </c>
      <c r="K786" s="1" t="s">
        <v>18</v>
      </c>
      <c r="L786" s="1" t="s">
        <v>19</v>
      </c>
      <c r="M786" s="1">
        <v>1260</v>
      </c>
    </row>
    <row r="787" spans="1:13" x14ac:dyDescent="0.35">
      <c r="A787" s="1" t="s">
        <v>1373</v>
      </c>
      <c r="B787" s="2">
        <v>46178</v>
      </c>
      <c r="C787" s="1" t="s">
        <v>1374</v>
      </c>
      <c r="D787" s="1" t="s">
        <v>15</v>
      </c>
      <c r="E787" s="1" t="s">
        <v>50</v>
      </c>
      <c r="F787" s="1" t="s">
        <v>28</v>
      </c>
      <c r="G787" s="3">
        <v>0.69791666666666663</v>
      </c>
      <c r="H787" s="3">
        <v>0.70208333333333328</v>
      </c>
      <c r="I787" s="1">
        <v>6</v>
      </c>
      <c r="J787" s="1">
        <v>7</v>
      </c>
      <c r="K787" s="1" t="s">
        <v>18</v>
      </c>
      <c r="L787" s="1" t="s">
        <v>19</v>
      </c>
      <c r="M787" s="1">
        <v>1942</v>
      </c>
    </row>
    <row r="788" spans="1:13" x14ac:dyDescent="0.35">
      <c r="A788" s="1" t="s">
        <v>1373</v>
      </c>
      <c r="B788" s="2">
        <v>46178</v>
      </c>
      <c r="C788" s="1" t="s">
        <v>1374</v>
      </c>
      <c r="D788" s="1" t="s">
        <v>15</v>
      </c>
      <c r="E788" s="1" t="s">
        <v>50</v>
      </c>
      <c r="F788" s="1" t="s">
        <v>28</v>
      </c>
      <c r="G788" s="3">
        <v>0.69791666666666663</v>
      </c>
      <c r="H788" s="3">
        <v>0.70208333333333328</v>
      </c>
      <c r="I788" s="1">
        <v>6</v>
      </c>
      <c r="J788" s="1">
        <v>7</v>
      </c>
      <c r="K788" s="1" t="s">
        <v>18</v>
      </c>
      <c r="L788" s="1" t="s">
        <v>19</v>
      </c>
      <c r="M788" s="1">
        <v>1942</v>
      </c>
    </row>
    <row r="789" spans="1:13" x14ac:dyDescent="0.35">
      <c r="A789" s="1" t="s">
        <v>1375</v>
      </c>
      <c r="B789" s="2">
        <v>46179</v>
      </c>
      <c r="C789" s="1" t="s">
        <v>1376</v>
      </c>
      <c r="D789" s="1" t="s">
        <v>71</v>
      </c>
      <c r="E789" s="1" t="s">
        <v>27</v>
      </c>
      <c r="F789" s="1" t="s">
        <v>24</v>
      </c>
      <c r="G789" s="3">
        <v>0.34027777777777779</v>
      </c>
      <c r="H789" s="3">
        <v>0.34097222222222218</v>
      </c>
      <c r="I789" s="1">
        <v>1</v>
      </c>
      <c r="J789" s="1">
        <v>-5</v>
      </c>
      <c r="K789" s="1"/>
      <c r="L789" s="1" t="s">
        <v>19</v>
      </c>
      <c r="M789" s="1">
        <v>802</v>
      </c>
    </row>
    <row r="790" spans="1:13" x14ac:dyDescent="0.35">
      <c r="A790" s="1" t="s">
        <v>1377</v>
      </c>
      <c r="B790" s="2">
        <v>46179</v>
      </c>
      <c r="C790" s="1" t="s">
        <v>945</v>
      </c>
      <c r="D790" s="1" t="s">
        <v>16</v>
      </c>
      <c r="E790" s="1" t="s">
        <v>47</v>
      </c>
      <c r="F790" s="1" t="s">
        <v>28</v>
      </c>
      <c r="G790" s="3">
        <v>0.63541666666666663</v>
      </c>
      <c r="H790" s="3">
        <v>0.63680555555555551</v>
      </c>
      <c r="I790" s="1">
        <v>2</v>
      </c>
      <c r="J790" s="1">
        <v>10</v>
      </c>
      <c r="K790" s="1" t="s">
        <v>18</v>
      </c>
      <c r="L790" s="1" t="s">
        <v>19</v>
      </c>
      <c r="M790" s="1">
        <v>1842</v>
      </c>
    </row>
    <row r="791" spans="1:13" x14ac:dyDescent="0.35">
      <c r="A791" s="1" t="s">
        <v>1378</v>
      </c>
      <c r="B791" s="2">
        <v>46179</v>
      </c>
      <c r="C791" s="1" t="s">
        <v>271</v>
      </c>
      <c r="D791" s="1" t="s">
        <v>15</v>
      </c>
      <c r="E791" s="1" t="s">
        <v>22</v>
      </c>
      <c r="F791" s="1" t="s">
        <v>17</v>
      </c>
      <c r="G791" s="3">
        <v>0.77430555555555558</v>
      </c>
      <c r="H791" s="3">
        <v>0.77986111111111112</v>
      </c>
      <c r="I791" s="1">
        <v>8</v>
      </c>
      <c r="J791" s="1">
        <v>15</v>
      </c>
      <c r="K791" s="1" t="s">
        <v>18</v>
      </c>
      <c r="L791" s="1" t="s">
        <v>19</v>
      </c>
      <c r="M791" s="1">
        <v>2470</v>
      </c>
    </row>
    <row r="792" spans="1:13" x14ac:dyDescent="0.35">
      <c r="A792" s="1" t="s">
        <v>1379</v>
      </c>
      <c r="B792" s="2">
        <v>46180</v>
      </c>
      <c r="C792" s="1" t="s">
        <v>1380</v>
      </c>
      <c r="D792" s="1" t="s">
        <v>50</v>
      </c>
      <c r="E792" s="1" t="s">
        <v>1295</v>
      </c>
      <c r="F792" s="1" t="s">
        <v>24</v>
      </c>
      <c r="G792" s="3">
        <v>0.40277777777777779</v>
      </c>
      <c r="H792" s="3">
        <v>0.41805555555555562</v>
      </c>
      <c r="I792" s="1">
        <v>22</v>
      </c>
      <c r="J792" s="1">
        <v>19</v>
      </c>
      <c r="K792" s="1" t="s">
        <v>60</v>
      </c>
      <c r="L792" s="1" t="s">
        <v>19</v>
      </c>
      <c r="M792" s="1">
        <v>2134</v>
      </c>
    </row>
    <row r="793" spans="1:13" x14ac:dyDescent="0.35">
      <c r="A793" s="1" t="s">
        <v>1381</v>
      </c>
      <c r="B793" s="2">
        <v>46180</v>
      </c>
      <c r="C793" s="1" t="s">
        <v>1014</v>
      </c>
      <c r="D793" s="1" t="s">
        <v>22</v>
      </c>
      <c r="E793" s="1" t="s">
        <v>31</v>
      </c>
      <c r="F793" s="1" t="s">
        <v>24</v>
      </c>
      <c r="G793" s="3">
        <v>0.58333333333333337</v>
      </c>
      <c r="H793" s="3">
        <v>0.58333333333333337</v>
      </c>
      <c r="I793" s="1">
        <v>0</v>
      </c>
      <c r="J793" s="1">
        <v>10</v>
      </c>
      <c r="K793" s="1" t="s">
        <v>18</v>
      </c>
      <c r="L793" s="1" t="s">
        <v>19</v>
      </c>
      <c r="M793" s="1">
        <v>2243</v>
      </c>
    </row>
    <row r="794" spans="1:13" x14ac:dyDescent="0.35">
      <c r="A794" s="1" t="s">
        <v>1382</v>
      </c>
      <c r="B794" s="2">
        <v>46180</v>
      </c>
      <c r="C794" s="1" t="s">
        <v>245</v>
      </c>
      <c r="D794" s="1" t="s">
        <v>37</v>
      </c>
      <c r="E794" s="1" t="s">
        <v>44</v>
      </c>
      <c r="F794" s="1" t="s">
        <v>17</v>
      </c>
      <c r="G794" s="3">
        <v>0.79861111111111116</v>
      </c>
      <c r="H794" s="3">
        <v>0.81944444444444442</v>
      </c>
      <c r="I794" s="1">
        <v>30</v>
      </c>
      <c r="J794" s="1">
        <v>25</v>
      </c>
      <c r="K794" s="1" t="s">
        <v>54</v>
      </c>
      <c r="L794" s="1" t="s">
        <v>19</v>
      </c>
      <c r="M794" s="1">
        <v>2489</v>
      </c>
    </row>
    <row r="795" spans="1:13" x14ac:dyDescent="0.35">
      <c r="A795" s="1" t="s">
        <v>1383</v>
      </c>
      <c r="B795" s="2">
        <v>46181</v>
      </c>
      <c r="C795" s="1" t="s">
        <v>463</v>
      </c>
      <c r="D795" s="1" t="s">
        <v>78</v>
      </c>
      <c r="E795" s="1" t="s">
        <v>16</v>
      </c>
      <c r="F795" s="1" t="s">
        <v>17</v>
      </c>
      <c r="G795" s="3">
        <v>0.36805555555555558</v>
      </c>
      <c r="H795" s="3">
        <v>0.37291666666666667</v>
      </c>
      <c r="I795" s="1">
        <v>7</v>
      </c>
      <c r="J795" s="1">
        <v>13</v>
      </c>
      <c r="K795" s="1" t="s">
        <v>18</v>
      </c>
      <c r="L795" s="1" t="s">
        <v>19</v>
      </c>
      <c r="M795" s="1">
        <v>1438</v>
      </c>
    </row>
    <row r="796" spans="1:13" x14ac:dyDescent="0.35">
      <c r="A796" s="1" t="s">
        <v>1384</v>
      </c>
      <c r="B796" s="2">
        <v>46181</v>
      </c>
      <c r="C796" s="1" t="s">
        <v>686</v>
      </c>
      <c r="D796" s="1" t="s">
        <v>22</v>
      </c>
      <c r="E796" s="1" t="s">
        <v>50</v>
      </c>
      <c r="F796" s="1" t="s">
        <v>24</v>
      </c>
      <c r="G796" s="3">
        <v>0.71875</v>
      </c>
      <c r="H796" s="3">
        <v>0.71805555555555556</v>
      </c>
      <c r="I796" s="1">
        <v>-1</v>
      </c>
      <c r="J796" s="1">
        <v>-11</v>
      </c>
      <c r="K796" s="1" t="s">
        <v>18</v>
      </c>
      <c r="L796" s="1" t="s">
        <v>19</v>
      </c>
      <c r="M796" s="1">
        <v>759</v>
      </c>
    </row>
    <row r="797" spans="1:13" x14ac:dyDescent="0.35">
      <c r="A797" s="1" t="s">
        <v>1385</v>
      </c>
      <c r="B797" s="2">
        <v>46182</v>
      </c>
      <c r="C797" s="1" t="s">
        <v>1386</v>
      </c>
      <c r="D797" s="1" t="s">
        <v>47</v>
      </c>
      <c r="E797" s="1" t="s">
        <v>44</v>
      </c>
      <c r="F797" s="1" t="s">
        <v>38</v>
      </c>
      <c r="G797" s="3">
        <v>0.71180555555555558</v>
      </c>
      <c r="H797" s="3">
        <v>0.71388888888888891</v>
      </c>
      <c r="I797" s="1">
        <v>3</v>
      </c>
      <c r="J797" s="1">
        <v>-5</v>
      </c>
      <c r="K797" s="1" t="s">
        <v>18</v>
      </c>
      <c r="L797" s="1" t="s">
        <v>19</v>
      </c>
      <c r="M797" s="1">
        <v>2698</v>
      </c>
    </row>
    <row r="798" spans="1:13" x14ac:dyDescent="0.35">
      <c r="A798" s="1" t="s">
        <v>1387</v>
      </c>
      <c r="B798" s="2">
        <v>46182</v>
      </c>
      <c r="C798" s="1" t="s">
        <v>239</v>
      </c>
      <c r="D798" s="1" t="s">
        <v>123</v>
      </c>
      <c r="E798" s="1" t="s">
        <v>22</v>
      </c>
      <c r="F798" s="1" t="s">
        <v>24</v>
      </c>
      <c r="G798" s="3">
        <v>0.76736111111111116</v>
      </c>
      <c r="H798" s="3">
        <v>0.80694444444444446</v>
      </c>
      <c r="I798" s="1">
        <v>57</v>
      </c>
      <c r="J798" s="1">
        <v>61</v>
      </c>
      <c r="K798" s="1" t="s">
        <v>174</v>
      </c>
      <c r="L798" s="1" t="s">
        <v>19</v>
      </c>
      <c r="M798" s="1">
        <v>759</v>
      </c>
    </row>
    <row r="799" spans="1:13" x14ac:dyDescent="0.35">
      <c r="A799" s="1" t="s">
        <v>1388</v>
      </c>
      <c r="B799" s="2">
        <v>46183</v>
      </c>
      <c r="C799" s="1" t="s">
        <v>292</v>
      </c>
      <c r="D799" s="1" t="s">
        <v>31</v>
      </c>
      <c r="E799" s="1" t="s">
        <v>50</v>
      </c>
      <c r="F799" s="1" t="s">
        <v>17</v>
      </c>
      <c r="G799" s="3">
        <v>0.24652777777777779</v>
      </c>
      <c r="H799" s="3">
        <v>0.2416666666666667</v>
      </c>
      <c r="I799" s="1">
        <v>1440</v>
      </c>
      <c r="J799" s="1">
        <v>-12</v>
      </c>
      <c r="K799" s="1"/>
      <c r="L799" s="1" t="s">
        <v>19</v>
      </c>
      <c r="M799" s="1">
        <v>1743</v>
      </c>
    </row>
    <row r="800" spans="1:13" x14ac:dyDescent="0.35">
      <c r="A800" s="1" t="s">
        <v>1389</v>
      </c>
      <c r="B800" s="2">
        <v>46183</v>
      </c>
      <c r="C800" s="1" t="s">
        <v>1058</v>
      </c>
      <c r="D800" s="1" t="s">
        <v>71</v>
      </c>
      <c r="E800" s="1" t="s">
        <v>22</v>
      </c>
      <c r="F800" s="1" t="s">
        <v>28</v>
      </c>
      <c r="G800" s="3">
        <v>0.73611111111111116</v>
      </c>
      <c r="H800" s="3">
        <v>0.76388888888888884</v>
      </c>
      <c r="I800" s="1">
        <v>40</v>
      </c>
      <c r="J800" s="1">
        <v>27</v>
      </c>
      <c r="K800" s="1" t="s">
        <v>617</v>
      </c>
      <c r="L800" s="1" t="s">
        <v>19</v>
      </c>
      <c r="M800" s="1">
        <v>738</v>
      </c>
    </row>
    <row r="801" spans="1:13" x14ac:dyDescent="0.35">
      <c r="A801" s="1" t="s">
        <v>1390</v>
      </c>
      <c r="B801" s="2">
        <v>46183</v>
      </c>
      <c r="C801" s="1" t="s">
        <v>452</v>
      </c>
      <c r="D801" s="1" t="s">
        <v>22</v>
      </c>
      <c r="E801" s="1" t="s">
        <v>41</v>
      </c>
      <c r="F801" s="1" t="s">
        <v>17</v>
      </c>
      <c r="G801" s="3">
        <v>0.82638888888888884</v>
      </c>
      <c r="H801" s="3">
        <v>0.87847222222222221</v>
      </c>
      <c r="I801" s="1">
        <v>75</v>
      </c>
      <c r="J801" s="1">
        <v>62</v>
      </c>
      <c r="K801" s="1" t="s">
        <v>276</v>
      </c>
      <c r="L801" s="1" t="s">
        <v>19</v>
      </c>
      <c r="M801" s="1">
        <v>1092</v>
      </c>
    </row>
    <row r="802" spans="1:13" x14ac:dyDescent="0.35">
      <c r="A802" s="1" t="s">
        <v>1391</v>
      </c>
      <c r="B802" s="2">
        <v>46184</v>
      </c>
      <c r="C802" s="1" t="s">
        <v>975</v>
      </c>
      <c r="D802" s="1" t="s">
        <v>22</v>
      </c>
      <c r="E802" s="1" t="s">
        <v>47</v>
      </c>
      <c r="F802" s="1" t="s">
        <v>17</v>
      </c>
      <c r="G802" s="3">
        <v>0.71875</v>
      </c>
      <c r="H802" s="3">
        <v>0.75</v>
      </c>
      <c r="I802" s="1">
        <v>45</v>
      </c>
      <c r="J802" s="1">
        <v>47</v>
      </c>
      <c r="K802" s="1" t="s">
        <v>54</v>
      </c>
      <c r="L802" s="1" t="s">
        <v>19</v>
      </c>
      <c r="M802" s="1">
        <v>2580</v>
      </c>
    </row>
    <row r="803" spans="1:13" x14ac:dyDescent="0.35">
      <c r="A803" s="1" t="s">
        <v>1392</v>
      </c>
      <c r="B803" s="2">
        <v>46185</v>
      </c>
      <c r="C803" s="1" t="s">
        <v>935</v>
      </c>
      <c r="D803" s="1" t="s">
        <v>37</v>
      </c>
      <c r="E803" s="1" t="s">
        <v>23</v>
      </c>
      <c r="F803" s="1" t="s">
        <v>17</v>
      </c>
      <c r="G803" s="3">
        <v>0.56597222222222221</v>
      </c>
      <c r="H803" s="3">
        <v>0.56805555555555554</v>
      </c>
      <c r="I803" s="1">
        <v>3</v>
      </c>
      <c r="J803" s="1">
        <v>11</v>
      </c>
      <c r="K803" s="1" t="s">
        <v>18</v>
      </c>
      <c r="L803" s="1" t="s">
        <v>19</v>
      </c>
      <c r="M803" s="1">
        <v>1023</v>
      </c>
    </row>
    <row r="804" spans="1:13" x14ac:dyDescent="0.35">
      <c r="A804" s="1" t="s">
        <v>1393</v>
      </c>
      <c r="B804" s="2">
        <v>46185</v>
      </c>
      <c r="C804" s="1" t="s">
        <v>598</v>
      </c>
      <c r="D804" s="1" t="s">
        <v>37</v>
      </c>
      <c r="E804" s="1" t="s">
        <v>16</v>
      </c>
      <c r="F804" s="1" t="s">
        <v>17</v>
      </c>
      <c r="G804" s="3">
        <v>0.85069444444444442</v>
      </c>
      <c r="H804" s="3">
        <v>0.85277777777777775</v>
      </c>
      <c r="I804" s="1">
        <v>3</v>
      </c>
      <c r="J804" s="1">
        <v>12</v>
      </c>
      <c r="K804" s="1"/>
      <c r="L804" s="1" t="s">
        <v>19</v>
      </c>
      <c r="M804" s="1">
        <v>1717</v>
      </c>
    </row>
    <row r="805" spans="1:13" x14ac:dyDescent="0.35">
      <c r="A805" s="1" t="s">
        <v>1394</v>
      </c>
      <c r="B805" s="2">
        <v>46186</v>
      </c>
      <c r="C805" s="1" t="s">
        <v>1395</v>
      </c>
      <c r="D805" s="1" t="s">
        <v>47</v>
      </c>
      <c r="E805" s="1" t="s">
        <v>78</v>
      </c>
      <c r="F805" s="1" t="s">
        <v>17</v>
      </c>
      <c r="G805" s="3">
        <v>0.53472222222222221</v>
      </c>
      <c r="H805" s="3">
        <v>0.54305555555555551</v>
      </c>
      <c r="I805" s="1">
        <v>12</v>
      </c>
      <c r="J805" s="1">
        <v>18</v>
      </c>
      <c r="K805" s="1" t="s">
        <v>18</v>
      </c>
      <c r="L805" s="1" t="s">
        <v>19</v>
      </c>
      <c r="M805" s="1">
        <v>651</v>
      </c>
    </row>
    <row r="806" spans="1:13" x14ac:dyDescent="0.35">
      <c r="A806" s="1" t="s">
        <v>1396</v>
      </c>
      <c r="B806" s="2">
        <v>46187</v>
      </c>
      <c r="C806" s="1" t="s">
        <v>843</v>
      </c>
      <c r="D806" s="1" t="s">
        <v>23</v>
      </c>
      <c r="E806" s="1" t="s">
        <v>31</v>
      </c>
      <c r="F806" s="1" t="s">
        <v>17</v>
      </c>
      <c r="G806" s="3">
        <v>0.33333333333333331</v>
      </c>
      <c r="H806" s="3">
        <v>0.33124999999999999</v>
      </c>
      <c r="I806" s="1">
        <v>-3</v>
      </c>
      <c r="J806" s="1">
        <v>4</v>
      </c>
      <c r="K806" s="1"/>
      <c r="L806" s="1" t="s">
        <v>19</v>
      </c>
      <c r="M806" s="1">
        <v>627</v>
      </c>
    </row>
    <row r="807" spans="1:13" x14ac:dyDescent="0.35">
      <c r="A807" s="1" t="s">
        <v>1397</v>
      </c>
      <c r="B807" s="2">
        <v>46187</v>
      </c>
      <c r="C807" s="1" t="s">
        <v>587</v>
      </c>
      <c r="D807" s="1" t="s">
        <v>16</v>
      </c>
      <c r="E807" s="1" t="s">
        <v>50</v>
      </c>
      <c r="F807" s="1" t="s">
        <v>24</v>
      </c>
      <c r="G807" s="3">
        <v>0.34027777777777779</v>
      </c>
      <c r="H807" s="3">
        <v>0.34444444444444439</v>
      </c>
      <c r="I807" s="1">
        <v>6</v>
      </c>
      <c r="J807" s="1">
        <v>-6</v>
      </c>
      <c r="K807" s="1" t="s">
        <v>18</v>
      </c>
      <c r="L807" s="1" t="s">
        <v>19</v>
      </c>
      <c r="M807" s="1">
        <v>606</v>
      </c>
    </row>
    <row r="808" spans="1:13" x14ac:dyDescent="0.35">
      <c r="A808" s="1" t="s">
        <v>1398</v>
      </c>
      <c r="B808" s="2">
        <v>46187</v>
      </c>
      <c r="C808" s="1" t="s">
        <v>288</v>
      </c>
      <c r="D808" s="1" t="s">
        <v>23</v>
      </c>
      <c r="E808" s="1" t="s">
        <v>22</v>
      </c>
      <c r="F808" s="1" t="s">
        <v>38</v>
      </c>
      <c r="G808" s="3">
        <v>0.34722222222222221</v>
      </c>
      <c r="H808" s="3">
        <v>0.35416666666666669</v>
      </c>
      <c r="I808" s="1">
        <v>10</v>
      </c>
      <c r="J808" s="1">
        <v>11</v>
      </c>
      <c r="K808" s="1" t="s">
        <v>18</v>
      </c>
      <c r="L808" s="1" t="s">
        <v>19</v>
      </c>
      <c r="M808" s="1">
        <v>1622</v>
      </c>
    </row>
    <row r="809" spans="1:13" x14ac:dyDescent="0.35">
      <c r="A809" s="1" t="s">
        <v>1399</v>
      </c>
      <c r="B809" s="2">
        <v>46187</v>
      </c>
      <c r="C809" s="1" t="s">
        <v>1400</v>
      </c>
      <c r="D809" s="1" t="s">
        <v>50</v>
      </c>
      <c r="E809" s="1" t="s">
        <v>23</v>
      </c>
      <c r="F809" s="1" t="s">
        <v>28</v>
      </c>
      <c r="G809" s="3">
        <v>0.52430555555555558</v>
      </c>
      <c r="H809" s="3">
        <v>0.54236111111111107</v>
      </c>
      <c r="I809" s="1">
        <v>26</v>
      </c>
      <c r="J809" s="1">
        <v>12</v>
      </c>
      <c r="K809" s="1" t="s">
        <v>319</v>
      </c>
      <c r="L809" s="1" t="s">
        <v>19</v>
      </c>
      <c r="M809" s="1">
        <v>1197</v>
      </c>
    </row>
    <row r="810" spans="1:13" x14ac:dyDescent="0.35">
      <c r="A810" s="1" t="s">
        <v>1401</v>
      </c>
      <c r="B810" s="2">
        <v>46187</v>
      </c>
      <c r="C810" s="1" t="s">
        <v>1402</v>
      </c>
      <c r="D810" s="1" t="s">
        <v>22</v>
      </c>
      <c r="E810" s="1" t="s">
        <v>16</v>
      </c>
      <c r="F810" s="1" t="s">
        <v>17</v>
      </c>
      <c r="G810" s="3">
        <v>0.62152777777777779</v>
      </c>
      <c r="H810" s="3">
        <v>0.62430555555555556</v>
      </c>
      <c r="I810" s="1">
        <v>4</v>
      </c>
      <c r="J810" s="1">
        <v>7</v>
      </c>
      <c r="K810" s="1" t="s">
        <v>18</v>
      </c>
      <c r="L810" s="1" t="s">
        <v>19</v>
      </c>
      <c r="M810" s="1">
        <v>738</v>
      </c>
    </row>
    <row r="811" spans="1:13" x14ac:dyDescent="0.35">
      <c r="A811" s="1" t="s">
        <v>1403</v>
      </c>
      <c r="B811" s="2">
        <v>46187</v>
      </c>
      <c r="C811" s="1" t="s">
        <v>220</v>
      </c>
      <c r="D811" s="1" t="s">
        <v>27</v>
      </c>
      <c r="E811" s="1" t="s">
        <v>41</v>
      </c>
      <c r="F811" s="1" t="s">
        <v>28</v>
      </c>
      <c r="G811" s="3">
        <v>0.69444444444444442</v>
      </c>
      <c r="H811" s="3">
        <v>0.70763888888888893</v>
      </c>
      <c r="I811" s="1">
        <v>19</v>
      </c>
      <c r="J811" s="1">
        <v>4</v>
      </c>
      <c r="K811" s="1" t="s">
        <v>54</v>
      </c>
      <c r="L811" s="1" t="s">
        <v>19</v>
      </c>
      <c r="M811" s="1">
        <v>1120</v>
      </c>
    </row>
    <row r="812" spans="1:13" x14ac:dyDescent="0.35">
      <c r="A812" s="1" t="s">
        <v>1403</v>
      </c>
      <c r="B812" s="2">
        <v>46187</v>
      </c>
      <c r="C812" s="1" t="s">
        <v>220</v>
      </c>
      <c r="D812" s="1" t="s">
        <v>27</v>
      </c>
      <c r="E812" s="1" t="s">
        <v>41</v>
      </c>
      <c r="F812" s="1" t="s">
        <v>28</v>
      </c>
      <c r="G812" s="3">
        <v>0.69444444444444442</v>
      </c>
      <c r="H812" s="3">
        <v>0.70763888888888893</v>
      </c>
      <c r="I812" s="1">
        <v>19</v>
      </c>
      <c r="J812" s="1">
        <v>4</v>
      </c>
      <c r="K812" s="1" t="s">
        <v>54</v>
      </c>
      <c r="L812" s="1" t="s">
        <v>19</v>
      </c>
      <c r="M812" s="1">
        <v>1120</v>
      </c>
    </row>
    <row r="813" spans="1:13" x14ac:dyDescent="0.35">
      <c r="A813" s="1" t="s">
        <v>1404</v>
      </c>
      <c r="B813" s="2">
        <v>46187</v>
      </c>
      <c r="C813" s="1" t="s">
        <v>1341</v>
      </c>
      <c r="D813" s="1" t="s">
        <v>37</v>
      </c>
      <c r="E813" s="1" t="s">
        <v>23</v>
      </c>
      <c r="F813" s="1" t="s">
        <v>28</v>
      </c>
      <c r="G813" s="3">
        <v>0.71180555555555558</v>
      </c>
      <c r="H813" s="3">
        <v>0.71944444444444444</v>
      </c>
      <c r="I813" s="1">
        <v>11</v>
      </c>
      <c r="J813" s="1">
        <v>13</v>
      </c>
      <c r="K813" s="1" t="s">
        <v>18</v>
      </c>
      <c r="L813" s="1" t="s">
        <v>19</v>
      </c>
      <c r="M813" s="1">
        <v>1023</v>
      </c>
    </row>
    <row r="814" spans="1:13" x14ac:dyDescent="0.35">
      <c r="A814" s="1" t="s">
        <v>1405</v>
      </c>
      <c r="B814" s="2">
        <v>46187</v>
      </c>
      <c r="C814" s="1" t="s">
        <v>721</v>
      </c>
      <c r="D814" s="1" t="s">
        <v>15</v>
      </c>
      <c r="E814" s="1" t="s">
        <v>23</v>
      </c>
      <c r="F814" s="1" t="s">
        <v>28</v>
      </c>
      <c r="G814" s="3">
        <v>0.74652777777777779</v>
      </c>
      <c r="H814" s="1"/>
      <c r="I814" s="1"/>
      <c r="J814" s="1"/>
      <c r="K814" s="1" t="s">
        <v>149</v>
      </c>
      <c r="L814" s="1" t="s">
        <v>254</v>
      </c>
      <c r="M814" s="1">
        <v>861</v>
      </c>
    </row>
    <row r="815" spans="1:13" x14ac:dyDescent="0.35">
      <c r="A815" s="1" t="s">
        <v>1406</v>
      </c>
      <c r="B815" s="2">
        <v>46187</v>
      </c>
      <c r="C815" s="1" t="s">
        <v>417</v>
      </c>
      <c r="D815" s="1" t="s">
        <v>16</v>
      </c>
      <c r="E815" s="1" t="s">
        <v>23</v>
      </c>
      <c r="F815" s="1" t="s">
        <v>17</v>
      </c>
      <c r="G815" s="3">
        <v>0.81597222222222221</v>
      </c>
      <c r="H815" s="3">
        <v>0.81041666666666667</v>
      </c>
      <c r="I815" s="1">
        <v>-8</v>
      </c>
      <c r="J815" s="1">
        <v>-1</v>
      </c>
      <c r="K815" s="1" t="s">
        <v>18</v>
      </c>
      <c r="L815" s="1" t="s">
        <v>19</v>
      </c>
      <c r="M815" s="1">
        <v>886</v>
      </c>
    </row>
    <row r="816" spans="1:13" x14ac:dyDescent="0.35">
      <c r="A816" s="1" t="s">
        <v>1407</v>
      </c>
      <c r="B816" s="2">
        <v>46188</v>
      </c>
      <c r="C816" s="1" t="s">
        <v>539</v>
      </c>
      <c r="D816" s="1" t="s">
        <v>27</v>
      </c>
      <c r="E816" s="1" t="s">
        <v>31</v>
      </c>
      <c r="F816" s="1" t="s">
        <v>38</v>
      </c>
      <c r="G816" s="3">
        <v>0.58333333333333337</v>
      </c>
      <c r="H816" s="3">
        <v>0.57986111111111116</v>
      </c>
      <c r="I816" s="1">
        <v>-5</v>
      </c>
      <c r="J816" s="1">
        <v>-7</v>
      </c>
      <c r="K816" s="1" t="s">
        <v>18</v>
      </c>
      <c r="L816" s="1" t="s">
        <v>19</v>
      </c>
      <c r="M816" s="1">
        <v>1053</v>
      </c>
    </row>
    <row r="817" spans="1:13" x14ac:dyDescent="0.35">
      <c r="A817" s="1" t="s">
        <v>1408</v>
      </c>
      <c r="B817" s="2">
        <v>46189</v>
      </c>
      <c r="C817" s="1" t="s">
        <v>512</v>
      </c>
      <c r="D817" s="1" t="s">
        <v>123</v>
      </c>
      <c r="E817" s="1" t="s">
        <v>41</v>
      </c>
      <c r="F817" s="1" t="s">
        <v>38</v>
      </c>
      <c r="G817" s="3">
        <v>0.78472222222222221</v>
      </c>
      <c r="H817" s="3">
        <v>0.79166666666666663</v>
      </c>
      <c r="I817" s="1">
        <v>10</v>
      </c>
      <c r="J817" s="1">
        <v>18</v>
      </c>
      <c r="K817" s="1" t="s">
        <v>18</v>
      </c>
      <c r="L817" s="1" t="s">
        <v>19</v>
      </c>
      <c r="M817" s="1">
        <v>596</v>
      </c>
    </row>
    <row r="818" spans="1:13" x14ac:dyDescent="0.35">
      <c r="A818" s="1" t="s">
        <v>1409</v>
      </c>
      <c r="B818" s="2">
        <v>46190</v>
      </c>
      <c r="C818" s="1" t="s">
        <v>1410</v>
      </c>
      <c r="D818" s="1" t="s">
        <v>41</v>
      </c>
      <c r="E818" s="1" t="s">
        <v>15</v>
      </c>
      <c r="F818" s="1" t="s">
        <v>24</v>
      </c>
      <c r="G818" s="3">
        <v>0.54513888888888884</v>
      </c>
      <c r="H818" s="3">
        <v>0.54374999999999996</v>
      </c>
      <c r="I818" s="1">
        <v>-2</v>
      </c>
      <c r="J818" s="1">
        <v>-5</v>
      </c>
      <c r="K818" s="1" t="s">
        <v>18</v>
      </c>
      <c r="L818" s="1" t="s">
        <v>19</v>
      </c>
      <c r="M818" s="1">
        <v>2338</v>
      </c>
    </row>
    <row r="819" spans="1:13" x14ac:dyDescent="0.35">
      <c r="A819" s="1" t="s">
        <v>1411</v>
      </c>
      <c r="B819" s="2">
        <v>46190</v>
      </c>
      <c r="C819" s="1" t="s">
        <v>1024</v>
      </c>
      <c r="D819" s="1" t="s">
        <v>50</v>
      </c>
      <c r="E819" s="1" t="s">
        <v>15</v>
      </c>
      <c r="F819" s="1" t="s">
        <v>17</v>
      </c>
      <c r="G819" s="3">
        <v>0.61111111111111116</v>
      </c>
      <c r="H819" s="3">
        <v>0.61250000000000004</v>
      </c>
      <c r="I819" s="1">
        <v>2</v>
      </c>
      <c r="J819" s="1">
        <v>2</v>
      </c>
      <c r="K819" s="1"/>
      <c r="L819" s="1" t="s">
        <v>19</v>
      </c>
      <c r="M819" s="1">
        <v>1942</v>
      </c>
    </row>
    <row r="820" spans="1:13" x14ac:dyDescent="0.35">
      <c r="A820" s="1" t="s">
        <v>1412</v>
      </c>
      <c r="B820" s="2">
        <v>46190</v>
      </c>
      <c r="C820" s="1" t="s">
        <v>157</v>
      </c>
      <c r="D820" s="1" t="s">
        <v>50</v>
      </c>
      <c r="E820" s="1" t="s">
        <v>23</v>
      </c>
      <c r="F820" s="1" t="s">
        <v>28</v>
      </c>
      <c r="G820" s="3">
        <v>0.69444444444444442</v>
      </c>
      <c r="H820" s="3">
        <v>0.72499999999999998</v>
      </c>
      <c r="I820" s="1">
        <v>44</v>
      </c>
      <c r="J820" s="1">
        <v>52</v>
      </c>
      <c r="K820" s="1" t="s">
        <v>129</v>
      </c>
      <c r="L820" s="1" t="s">
        <v>19</v>
      </c>
      <c r="M820" s="1">
        <v>1197</v>
      </c>
    </row>
    <row r="821" spans="1:13" x14ac:dyDescent="0.35">
      <c r="A821" s="1" t="s">
        <v>1413</v>
      </c>
      <c r="B821" s="2">
        <v>46191</v>
      </c>
      <c r="C821" s="1" t="s">
        <v>1193</v>
      </c>
      <c r="D821" s="1" t="s">
        <v>16</v>
      </c>
      <c r="E821" s="1" t="s">
        <v>31</v>
      </c>
      <c r="F821" s="1" t="s">
        <v>17</v>
      </c>
      <c r="G821" s="3">
        <v>0.30555555555555558</v>
      </c>
      <c r="H821" s="3">
        <v>0.30972222222222218</v>
      </c>
      <c r="I821" s="1">
        <v>6</v>
      </c>
      <c r="J821" s="1">
        <v>3</v>
      </c>
      <c r="K821" s="1" t="s">
        <v>18</v>
      </c>
      <c r="L821" s="1" t="s">
        <v>19</v>
      </c>
      <c r="M821" s="1">
        <v>1511</v>
      </c>
    </row>
    <row r="822" spans="1:13" x14ac:dyDescent="0.35">
      <c r="A822" s="1" t="s">
        <v>1414</v>
      </c>
      <c r="B822" s="2">
        <v>46191</v>
      </c>
      <c r="C822" s="1" t="s">
        <v>465</v>
      </c>
      <c r="D822" s="1" t="s">
        <v>16</v>
      </c>
      <c r="E822" s="1" t="s">
        <v>50</v>
      </c>
      <c r="F822" s="1" t="s">
        <v>28</v>
      </c>
      <c r="G822" s="3">
        <v>0.41319444444444442</v>
      </c>
      <c r="H822" s="3">
        <v>0.41736111111111113</v>
      </c>
      <c r="I822" s="1">
        <v>6</v>
      </c>
      <c r="J822" s="1">
        <v>16</v>
      </c>
      <c r="K822" s="1" t="s">
        <v>18</v>
      </c>
      <c r="L822" s="1" t="s">
        <v>19</v>
      </c>
      <c r="M822" s="1">
        <v>606</v>
      </c>
    </row>
    <row r="823" spans="1:13" x14ac:dyDescent="0.35">
      <c r="A823" s="1" t="s">
        <v>1415</v>
      </c>
      <c r="B823" s="2">
        <v>46191</v>
      </c>
      <c r="C823" s="1" t="s">
        <v>594</v>
      </c>
      <c r="D823" s="1" t="s">
        <v>15</v>
      </c>
      <c r="E823" s="1" t="s">
        <v>31</v>
      </c>
      <c r="F823" s="1" t="s">
        <v>38</v>
      </c>
      <c r="G823" s="3">
        <v>0.65625</v>
      </c>
      <c r="H823" s="3">
        <v>0.70763888888888893</v>
      </c>
      <c r="I823" s="1">
        <v>74</v>
      </c>
      <c r="J823" s="1">
        <v>73</v>
      </c>
      <c r="K823" s="1" t="s">
        <v>98</v>
      </c>
      <c r="L823" s="1" t="s">
        <v>19</v>
      </c>
      <c r="M823" s="1">
        <v>236</v>
      </c>
    </row>
    <row r="824" spans="1:13" x14ac:dyDescent="0.35">
      <c r="A824" s="1" t="s">
        <v>1416</v>
      </c>
      <c r="B824" s="2">
        <v>46192</v>
      </c>
      <c r="C824" s="1" t="s">
        <v>232</v>
      </c>
      <c r="D824" s="1" t="s">
        <v>16</v>
      </c>
      <c r="E824" s="1" t="s">
        <v>27</v>
      </c>
      <c r="F824" s="1" t="s">
        <v>24</v>
      </c>
      <c r="G824" s="3">
        <v>0.39930555555555558</v>
      </c>
      <c r="H824" s="3">
        <v>0.39791666666666659</v>
      </c>
      <c r="I824" s="1">
        <v>-2</v>
      </c>
      <c r="J824" s="1"/>
      <c r="K824" s="1" t="s">
        <v>18</v>
      </c>
      <c r="L824" s="1" t="s">
        <v>19</v>
      </c>
      <c r="M824" s="1">
        <v>802</v>
      </c>
    </row>
    <row r="825" spans="1:13" x14ac:dyDescent="0.35">
      <c r="A825" s="1" t="s">
        <v>1417</v>
      </c>
      <c r="B825" s="2">
        <v>46192</v>
      </c>
      <c r="C825" s="1" t="s">
        <v>324</v>
      </c>
      <c r="D825" s="1" t="s">
        <v>16</v>
      </c>
      <c r="E825" s="1" t="s">
        <v>50</v>
      </c>
      <c r="F825" s="1" t="s">
        <v>17</v>
      </c>
      <c r="G825" s="3">
        <v>0.45833333333333331</v>
      </c>
      <c r="H825" s="3">
        <v>0.46458333333333329</v>
      </c>
      <c r="I825" s="1">
        <v>9</v>
      </c>
      <c r="J825" s="1">
        <v>13</v>
      </c>
      <c r="K825" s="1" t="s">
        <v>18</v>
      </c>
      <c r="L825" s="1" t="s">
        <v>19</v>
      </c>
      <c r="M825" s="1">
        <v>606</v>
      </c>
    </row>
    <row r="826" spans="1:13" x14ac:dyDescent="0.35">
      <c r="A826" s="1" t="s">
        <v>1418</v>
      </c>
      <c r="B826" s="2">
        <v>46192</v>
      </c>
      <c r="C826" s="1" t="s">
        <v>1095</v>
      </c>
      <c r="D826" s="1" t="s">
        <v>44</v>
      </c>
      <c r="E826" s="1" t="s">
        <v>78</v>
      </c>
      <c r="F826" s="1" t="s">
        <v>17</v>
      </c>
      <c r="G826" s="3">
        <v>0.55208333333333337</v>
      </c>
      <c r="H826" s="3">
        <v>0.59375</v>
      </c>
      <c r="I826" s="1">
        <v>60</v>
      </c>
      <c r="J826" s="1">
        <v>60</v>
      </c>
      <c r="K826" s="1" t="s">
        <v>60</v>
      </c>
      <c r="L826" s="1" t="s">
        <v>19</v>
      </c>
      <c r="M826" s="1">
        <v>2295</v>
      </c>
    </row>
    <row r="827" spans="1:13" x14ac:dyDescent="0.35">
      <c r="A827" s="1" t="s">
        <v>1419</v>
      </c>
      <c r="B827" s="2">
        <v>46192</v>
      </c>
      <c r="C827" s="1" t="s">
        <v>1420</v>
      </c>
      <c r="D827" s="1" t="s">
        <v>50</v>
      </c>
      <c r="E827" s="1" t="s">
        <v>16</v>
      </c>
      <c r="F827" s="1" t="s">
        <v>28</v>
      </c>
      <c r="G827" s="3">
        <v>0.61111111111111116</v>
      </c>
      <c r="H827" s="3">
        <v>0.61111111111111116</v>
      </c>
      <c r="I827" s="1">
        <v>0</v>
      </c>
      <c r="J827" s="1">
        <v>-8</v>
      </c>
      <c r="K827" s="1" t="s">
        <v>18</v>
      </c>
      <c r="L827" s="1" t="s">
        <v>19</v>
      </c>
      <c r="M827" s="1">
        <v>606</v>
      </c>
    </row>
    <row r="828" spans="1:13" x14ac:dyDescent="0.35">
      <c r="A828" s="1" t="s">
        <v>1419</v>
      </c>
      <c r="B828" s="2">
        <v>46192</v>
      </c>
      <c r="C828" s="1" t="s">
        <v>1420</v>
      </c>
      <c r="D828" s="1" t="s">
        <v>50</v>
      </c>
      <c r="E828" s="1" t="s">
        <v>16</v>
      </c>
      <c r="F828" s="1" t="s">
        <v>28</v>
      </c>
      <c r="G828" s="3">
        <v>0.61111111111111116</v>
      </c>
      <c r="H828" s="3">
        <v>0.61111111111111116</v>
      </c>
      <c r="I828" s="1">
        <v>0</v>
      </c>
      <c r="J828" s="1">
        <v>-8</v>
      </c>
      <c r="K828" s="1" t="s">
        <v>18</v>
      </c>
      <c r="L828" s="1" t="s">
        <v>19</v>
      </c>
      <c r="M828" s="1">
        <v>606</v>
      </c>
    </row>
    <row r="829" spans="1:13" x14ac:dyDescent="0.35">
      <c r="A829" s="1" t="s">
        <v>1421</v>
      </c>
      <c r="B829" s="2">
        <v>46192</v>
      </c>
      <c r="C829" s="1" t="s">
        <v>1402</v>
      </c>
      <c r="D829" s="1" t="s">
        <v>32</v>
      </c>
      <c r="E829" s="1" t="s">
        <v>23</v>
      </c>
      <c r="F829" s="1" t="s">
        <v>17</v>
      </c>
      <c r="G829" s="3">
        <v>0.75694444444444442</v>
      </c>
      <c r="H829" s="3">
        <v>0.79791666666666672</v>
      </c>
      <c r="I829" s="1">
        <v>59</v>
      </c>
      <c r="J829" s="1">
        <v>54</v>
      </c>
      <c r="K829" s="1" t="s">
        <v>477</v>
      </c>
      <c r="L829" s="1" t="s">
        <v>19</v>
      </c>
      <c r="M829" s="1">
        <v>1622</v>
      </c>
    </row>
    <row r="830" spans="1:13" x14ac:dyDescent="0.35">
      <c r="A830" s="1" t="s">
        <v>1422</v>
      </c>
      <c r="B830" s="2">
        <v>46192</v>
      </c>
      <c r="C830" s="1" t="s">
        <v>458</v>
      </c>
      <c r="D830" s="1" t="s">
        <v>16</v>
      </c>
      <c r="E830" s="1" t="s">
        <v>41</v>
      </c>
      <c r="F830" s="1" t="s">
        <v>17</v>
      </c>
      <c r="G830" s="3">
        <v>0.89930555555555558</v>
      </c>
      <c r="H830" s="3">
        <v>0.93055555555555558</v>
      </c>
      <c r="I830" s="1">
        <v>45</v>
      </c>
      <c r="J830" s="1">
        <v>35</v>
      </c>
      <c r="K830" s="1" t="s">
        <v>263</v>
      </c>
      <c r="L830" s="1" t="s">
        <v>19</v>
      </c>
      <c r="M830" s="1">
        <v>1199</v>
      </c>
    </row>
    <row r="831" spans="1:13" x14ac:dyDescent="0.35">
      <c r="A831" s="1" t="s">
        <v>1423</v>
      </c>
      <c r="B831" s="2">
        <v>46194</v>
      </c>
      <c r="C831" s="1" t="s">
        <v>43</v>
      </c>
      <c r="D831" s="1" t="s">
        <v>47</v>
      </c>
      <c r="E831" s="1" t="s">
        <v>15</v>
      </c>
      <c r="F831" s="1" t="s">
        <v>38</v>
      </c>
      <c r="G831" s="3">
        <v>0.75694444444444442</v>
      </c>
      <c r="H831" s="3">
        <v>0.76111111111111107</v>
      </c>
      <c r="I831" s="1">
        <v>6</v>
      </c>
      <c r="J831" s="1">
        <v>2</v>
      </c>
      <c r="K831" s="1" t="s">
        <v>18</v>
      </c>
      <c r="L831" s="1" t="s">
        <v>19</v>
      </c>
      <c r="M831" s="1">
        <v>338</v>
      </c>
    </row>
    <row r="832" spans="1:13" x14ac:dyDescent="0.35">
      <c r="A832" s="1" t="s">
        <v>1424</v>
      </c>
      <c r="B832" s="2">
        <v>46194</v>
      </c>
      <c r="C832" s="1" t="s">
        <v>1223</v>
      </c>
      <c r="D832" s="1" t="s">
        <v>15</v>
      </c>
      <c r="E832" s="1" t="s">
        <v>23</v>
      </c>
      <c r="F832" s="1" t="s">
        <v>24</v>
      </c>
      <c r="G832" s="3">
        <v>0.80902777777777779</v>
      </c>
      <c r="H832" s="3">
        <v>0.84166666666666667</v>
      </c>
      <c r="I832" s="1">
        <v>47</v>
      </c>
      <c r="J832" s="1">
        <v>54</v>
      </c>
      <c r="K832" s="1" t="s">
        <v>60</v>
      </c>
      <c r="L832" s="1" t="s">
        <v>19</v>
      </c>
      <c r="M832" s="1">
        <v>861</v>
      </c>
    </row>
    <row r="833" spans="1:13" x14ac:dyDescent="0.35">
      <c r="A833" s="1" t="s">
        <v>1425</v>
      </c>
      <c r="B833" s="2">
        <v>46195</v>
      </c>
      <c r="C833" s="1" t="s">
        <v>764</v>
      </c>
      <c r="D833" s="1" t="s">
        <v>50</v>
      </c>
      <c r="E833" s="1" t="s">
        <v>16</v>
      </c>
      <c r="F833" s="1" t="s">
        <v>24</v>
      </c>
      <c r="G833" s="3">
        <v>0.36458333333333331</v>
      </c>
      <c r="H833" s="3">
        <v>0.37152777777777779</v>
      </c>
      <c r="I833" s="1">
        <v>10</v>
      </c>
      <c r="J833" s="1">
        <v>12</v>
      </c>
      <c r="K833" s="1" t="s">
        <v>18</v>
      </c>
      <c r="L833" s="1" t="s">
        <v>19</v>
      </c>
      <c r="M833" s="1">
        <v>606</v>
      </c>
    </row>
    <row r="834" spans="1:13" x14ac:dyDescent="0.35">
      <c r="A834" s="1" t="s">
        <v>1426</v>
      </c>
      <c r="B834" s="2">
        <v>46195</v>
      </c>
      <c r="C834" s="1" t="s">
        <v>1427</v>
      </c>
      <c r="D834" s="1" t="s">
        <v>22</v>
      </c>
      <c r="E834" s="1" t="s">
        <v>16</v>
      </c>
      <c r="F834" s="1" t="s">
        <v>17</v>
      </c>
      <c r="G834" s="3">
        <v>0.78125</v>
      </c>
      <c r="H834" s="3">
        <v>0.80277777777777781</v>
      </c>
      <c r="I834" s="1">
        <v>31</v>
      </c>
      <c r="J834" s="1">
        <v>38</v>
      </c>
      <c r="K834" s="1" t="s">
        <v>54</v>
      </c>
      <c r="L834" s="1" t="s">
        <v>19</v>
      </c>
      <c r="M834" s="1">
        <v>738</v>
      </c>
    </row>
    <row r="835" spans="1:13" x14ac:dyDescent="0.35">
      <c r="A835" s="1" t="s">
        <v>1428</v>
      </c>
      <c r="B835" s="2">
        <v>46195</v>
      </c>
      <c r="C835" s="1" t="s">
        <v>543</v>
      </c>
      <c r="D835" s="1" t="s">
        <v>50</v>
      </c>
      <c r="E835" s="1" t="s">
        <v>22</v>
      </c>
      <c r="F835" s="1" t="s">
        <v>17</v>
      </c>
      <c r="G835" s="3">
        <v>0.79861111111111116</v>
      </c>
      <c r="H835" s="3">
        <v>0.82777777777777772</v>
      </c>
      <c r="I835" s="1">
        <v>42</v>
      </c>
      <c r="J835" s="1">
        <v>40</v>
      </c>
      <c r="K835" s="1" t="s">
        <v>54</v>
      </c>
      <c r="L835" s="1" t="s">
        <v>19</v>
      </c>
      <c r="M835" s="1">
        <v>759</v>
      </c>
    </row>
    <row r="836" spans="1:13" x14ac:dyDescent="0.35">
      <c r="A836" s="1" t="s">
        <v>1429</v>
      </c>
      <c r="B836" s="2">
        <v>46195</v>
      </c>
      <c r="C836" s="1" t="s">
        <v>367</v>
      </c>
      <c r="D836" s="1" t="s">
        <v>16</v>
      </c>
      <c r="E836" s="1" t="s">
        <v>41</v>
      </c>
      <c r="F836" s="1" t="s">
        <v>38</v>
      </c>
      <c r="G836" s="3">
        <v>0.82638888888888884</v>
      </c>
      <c r="H836" s="3">
        <v>0.82916666666666672</v>
      </c>
      <c r="I836" s="1">
        <v>-600</v>
      </c>
      <c r="J836" s="1">
        <v>-2</v>
      </c>
      <c r="K836" s="1" t="s">
        <v>18</v>
      </c>
      <c r="L836" s="1" t="s">
        <v>19</v>
      </c>
      <c r="M836" s="1">
        <v>1199</v>
      </c>
    </row>
    <row r="837" spans="1:13" x14ac:dyDescent="0.35">
      <c r="A837" s="1" t="s">
        <v>1430</v>
      </c>
      <c r="B837" s="2">
        <v>46196</v>
      </c>
      <c r="C837" s="1" t="s">
        <v>859</v>
      </c>
      <c r="D837" s="1" t="s">
        <v>27</v>
      </c>
      <c r="E837" s="1" t="s">
        <v>37</v>
      </c>
      <c r="F837" s="1" t="s">
        <v>17</v>
      </c>
      <c r="G837" s="3">
        <v>0.40277777777777779</v>
      </c>
      <c r="H837" s="3">
        <v>0.39861111111111108</v>
      </c>
      <c r="I837" s="1">
        <v>-6</v>
      </c>
      <c r="J837" s="1">
        <v>-14</v>
      </c>
      <c r="K837" s="1" t="s">
        <v>18</v>
      </c>
      <c r="L837" s="1" t="s">
        <v>19</v>
      </c>
      <c r="M837" s="1">
        <v>1658</v>
      </c>
    </row>
    <row r="838" spans="1:13" x14ac:dyDescent="0.35">
      <c r="A838" s="1" t="s">
        <v>1431</v>
      </c>
      <c r="B838" s="2">
        <v>46196</v>
      </c>
      <c r="C838" s="1" t="s">
        <v>1019</v>
      </c>
      <c r="D838" s="1" t="s">
        <v>41</v>
      </c>
      <c r="E838" s="1" t="s">
        <v>22</v>
      </c>
      <c r="F838" s="1" t="s">
        <v>38</v>
      </c>
      <c r="G838" s="3">
        <v>0.71875</v>
      </c>
      <c r="H838" s="3">
        <v>0.78402777777777777</v>
      </c>
      <c r="I838" s="1">
        <v>94</v>
      </c>
      <c r="J838" s="1">
        <v>98</v>
      </c>
      <c r="K838" s="1" t="s">
        <v>263</v>
      </c>
      <c r="L838" s="1" t="s">
        <v>19</v>
      </c>
      <c r="M838" s="1">
        <v>1092</v>
      </c>
    </row>
    <row r="839" spans="1:13" x14ac:dyDescent="0.35">
      <c r="A839" s="1" t="s">
        <v>1432</v>
      </c>
      <c r="B839" s="2">
        <v>46196</v>
      </c>
      <c r="C839" s="1" t="s">
        <v>1272</v>
      </c>
      <c r="D839" s="1" t="s">
        <v>27</v>
      </c>
      <c r="E839" s="1" t="s">
        <v>44</v>
      </c>
      <c r="F839" s="1" t="s">
        <v>17</v>
      </c>
      <c r="G839" s="3">
        <v>0.72569444444444442</v>
      </c>
      <c r="H839" s="3">
        <v>0.72638888888888886</v>
      </c>
      <c r="I839" s="1">
        <v>1</v>
      </c>
      <c r="J839" s="1">
        <v>-2</v>
      </c>
      <c r="K839" s="1" t="s">
        <v>18</v>
      </c>
      <c r="L839" s="1" t="s">
        <v>19</v>
      </c>
      <c r="M839" s="1">
        <v>1559</v>
      </c>
    </row>
    <row r="840" spans="1:13" x14ac:dyDescent="0.35">
      <c r="A840" s="1" t="s">
        <v>1433</v>
      </c>
      <c r="B840" s="2">
        <v>46197</v>
      </c>
      <c r="C840" s="1" t="s">
        <v>1434</v>
      </c>
      <c r="D840" s="1" t="s">
        <v>47</v>
      </c>
      <c r="E840" s="1" t="s">
        <v>15</v>
      </c>
      <c r="F840" s="1" t="s">
        <v>17</v>
      </c>
      <c r="G840" s="3">
        <v>0.52083333333333337</v>
      </c>
      <c r="H840" s="3">
        <v>0.52222222222222225</v>
      </c>
      <c r="I840" s="1">
        <v>2</v>
      </c>
      <c r="J840" s="1">
        <v>-7</v>
      </c>
      <c r="K840" s="1" t="s">
        <v>18</v>
      </c>
      <c r="L840" s="1" t="s">
        <v>19</v>
      </c>
      <c r="M840" s="1">
        <v>338</v>
      </c>
    </row>
    <row r="841" spans="1:13" x14ac:dyDescent="0.35">
      <c r="A841" s="1" t="s">
        <v>1435</v>
      </c>
      <c r="B841" s="2">
        <v>46197</v>
      </c>
      <c r="C841" s="1" t="s">
        <v>1436</v>
      </c>
      <c r="D841" s="1" t="s">
        <v>940</v>
      </c>
      <c r="E841" s="1" t="s">
        <v>41</v>
      </c>
      <c r="F841" s="1" t="s">
        <v>28</v>
      </c>
      <c r="G841" s="3">
        <v>0.87152777777777779</v>
      </c>
      <c r="H841" s="3">
        <v>0.86736111111111114</v>
      </c>
      <c r="I841" s="1">
        <v>-6</v>
      </c>
      <c r="J841" s="1">
        <v>-3</v>
      </c>
      <c r="K841" s="1" t="s">
        <v>18</v>
      </c>
      <c r="L841" s="1" t="s">
        <v>19</v>
      </c>
      <c r="M841" s="1">
        <v>2171</v>
      </c>
    </row>
    <row r="842" spans="1:13" x14ac:dyDescent="0.35">
      <c r="A842" s="1" t="s">
        <v>1437</v>
      </c>
      <c r="B842" s="2">
        <v>46198</v>
      </c>
      <c r="C842" s="1" t="s">
        <v>26</v>
      </c>
      <c r="D842" s="1" t="s">
        <v>22</v>
      </c>
      <c r="E842" s="1" t="s">
        <v>16</v>
      </c>
      <c r="F842" s="1" t="s">
        <v>24</v>
      </c>
      <c r="G842" s="3">
        <v>0.54513888888888884</v>
      </c>
      <c r="H842" s="3">
        <v>0.5444444444444444</v>
      </c>
      <c r="I842" s="1">
        <v>-1</v>
      </c>
      <c r="J842" s="1">
        <v>-8</v>
      </c>
      <c r="K842" s="1" t="s">
        <v>18</v>
      </c>
      <c r="L842" s="1" t="s">
        <v>19</v>
      </c>
      <c r="M842" s="1">
        <v>738</v>
      </c>
    </row>
    <row r="843" spans="1:13" x14ac:dyDescent="0.35">
      <c r="A843" s="1" t="s">
        <v>1438</v>
      </c>
      <c r="B843" s="2">
        <v>46198</v>
      </c>
      <c r="C843" s="1" t="s">
        <v>1439</v>
      </c>
      <c r="D843" s="1" t="s">
        <v>27</v>
      </c>
      <c r="E843" s="1" t="s">
        <v>15</v>
      </c>
      <c r="F843" s="1" t="s">
        <v>28</v>
      </c>
      <c r="G843" s="3">
        <v>0.55555555555555558</v>
      </c>
      <c r="H843" s="3">
        <v>0.56041666666666667</v>
      </c>
      <c r="I843" s="1">
        <v>7</v>
      </c>
      <c r="J843" s="1">
        <v>12</v>
      </c>
      <c r="K843" s="1" t="s">
        <v>18</v>
      </c>
      <c r="L843" s="1" t="s">
        <v>19</v>
      </c>
      <c r="M843" s="1">
        <v>1232</v>
      </c>
    </row>
    <row r="844" spans="1:13" x14ac:dyDescent="0.35">
      <c r="A844" s="1" t="s">
        <v>1440</v>
      </c>
      <c r="B844" s="2">
        <v>46198</v>
      </c>
      <c r="C844" s="1" t="s">
        <v>1062</v>
      </c>
      <c r="D844" s="1" t="s">
        <v>23</v>
      </c>
      <c r="E844" s="1" t="s">
        <v>15</v>
      </c>
      <c r="F844" s="1" t="s">
        <v>17</v>
      </c>
      <c r="G844" s="3">
        <v>0.62152777777777779</v>
      </c>
      <c r="H844" s="3">
        <v>0.62083333333333335</v>
      </c>
      <c r="I844" s="1">
        <v>-1</v>
      </c>
      <c r="J844" s="1">
        <v>8</v>
      </c>
      <c r="K844" s="1"/>
      <c r="L844" s="1" t="s">
        <v>19</v>
      </c>
      <c r="M844" s="1">
        <v>861</v>
      </c>
    </row>
    <row r="845" spans="1:13" x14ac:dyDescent="0.35">
      <c r="A845" s="1" t="s">
        <v>1441</v>
      </c>
      <c r="B845" s="2">
        <v>46199</v>
      </c>
      <c r="C845" s="1" t="s">
        <v>1442</v>
      </c>
      <c r="D845" s="1" t="s">
        <v>22</v>
      </c>
      <c r="E845" s="1" t="s">
        <v>27</v>
      </c>
      <c r="F845" s="1" t="s">
        <v>28</v>
      </c>
      <c r="G845" s="3">
        <v>0.72916666666666663</v>
      </c>
      <c r="H845" s="3">
        <v>0.72569444444444442</v>
      </c>
      <c r="I845" s="1">
        <v>-5</v>
      </c>
      <c r="J845" s="1">
        <v>3</v>
      </c>
      <c r="K845" s="1" t="s">
        <v>18</v>
      </c>
      <c r="L845" s="1" t="s">
        <v>19</v>
      </c>
      <c r="M845" s="1">
        <v>1389</v>
      </c>
    </row>
    <row r="846" spans="1:13" x14ac:dyDescent="0.35">
      <c r="A846" s="1" t="s">
        <v>1443</v>
      </c>
      <c r="B846" s="2">
        <v>46200</v>
      </c>
      <c r="C846" s="1" t="s">
        <v>714</v>
      </c>
      <c r="D846" s="1" t="s">
        <v>41</v>
      </c>
      <c r="E846" s="1" t="s">
        <v>78</v>
      </c>
      <c r="F846" s="1" t="s">
        <v>17</v>
      </c>
      <c r="G846" s="3">
        <v>0.58680555555555558</v>
      </c>
      <c r="H846" s="3">
        <v>0.59236111111111112</v>
      </c>
      <c r="I846" s="1">
        <v>8</v>
      </c>
      <c r="J846" s="1">
        <v>-3</v>
      </c>
      <c r="K846" s="1" t="s">
        <v>18</v>
      </c>
      <c r="L846" s="1" t="s">
        <v>19</v>
      </c>
      <c r="M846" s="1">
        <v>1969</v>
      </c>
    </row>
    <row r="847" spans="1:13" x14ac:dyDescent="0.35">
      <c r="A847" s="1" t="s">
        <v>1444</v>
      </c>
      <c r="B847" s="2">
        <v>46200</v>
      </c>
      <c r="C847" s="1" t="s">
        <v>812</v>
      </c>
      <c r="D847" s="1" t="s">
        <v>16</v>
      </c>
      <c r="E847" s="1" t="s">
        <v>27</v>
      </c>
      <c r="F847" s="1" t="s">
        <v>24</v>
      </c>
      <c r="G847" s="3">
        <v>0.65625</v>
      </c>
      <c r="H847" s="3">
        <v>0.65763888888888888</v>
      </c>
      <c r="I847" s="1">
        <v>2</v>
      </c>
      <c r="J847" s="1">
        <v>-2</v>
      </c>
      <c r="K847" s="1" t="s">
        <v>18</v>
      </c>
      <c r="L847" s="1" t="s">
        <v>19</v>
      </c>
      <c r="M847" s="1">
        <v>802</v>
      </c>
    </row>
    <row r="848" spans="1:13" x14ac:dyDescent="0.35">
      <c r="A848" s="1" t="s">
        <v>1445</v>
      </c>
      <c r="B848" s="2">
        <v>46201</v>
      </c>
      <c r="C848" s="1" t="s">
        <v>1233</v>
      </c>
      <c r="D848" s="1" t="s">
        <v>16</v>
      </c>
      <c r="E848" s="1" t="s">
        <v>27</v>
      </c>
      <c r="F848" s="1" t="s">
        <v>24</v>
      </c>
      <c r="G848" s="3">
        <v>0.36458333333333331</v>
      </c>
      <c r="H848" s="3">
        <v>0.39097222222222222</v>
      </c>
      <c r="I848" s="1">
        <v>38</v>
      </c>
      <c r="J848" s="1">
        <v>23</v>
      </c>
      <c r="K848" s="1" t="s">
        <v>54</v>
      </c>
      <c r="L848" s="1" t="s">
        <v>19</v>
      </c>
      <c r="M848" s="1">
        <v>802</v>
      </c>
    </row>
    <row r="849" spans="1:13" x14ac:dyDescent="0.35">
      <c r="A849" s="1" t="s">
        <v>1446</v>
      </c>
      <c r="B849" s="2">
        <v>46202</v>
      </c>
      <c r="C849" s="1" t="s">
        <v>1447</v>
      </c>
      <c r="D849" s="1" t="s">
        <v>78</v>
      </c>
      <c r="E849" s="1" t="s">
        <v>22</v>
      </c>
      <c r="F849" s="1" t="s">
        <v>28</v>
      </c>
      <c r="G849" s="3">
        <v>0.49652777777777779</v>
      </c>
      <c r="H849" s="3">
        <v>0.49236111111111108</v>
      </c>
      <c r="I849" s="1">
        <v>-6</v>
      </c>
      <c r="J849" s="1">
        <v>-11</v>
      </c>
      <c r="K849" s="1" t="s">
        <v>18</v>
      </c>
      <c r="L849" s="1" t="s">
        <v>19</v>
      </c>
      <c r="M849" s="1">
        <v>2149</v>
      </c>
    </row>
    <row r="850" spans="1:13" x14ac:dyDescent="0.35">
      <c r="A850" s="1" t="s">
        <v>1448</v>
      </c>
      <c r="B850" s="2">
        <v>46202</v>
      </c>
      <c r="C850" s="1" t="s">
        <v>426</v>
      </c>
      <c r="D850" s="1" t="s">
        <v>23</v>
      </c>
      <c r="E850" s="1" t="s">
        <v>16</v>
      </c>
      <c r="F850" s="1" t="s">
        <v>17</v>
      </c>
      <c r="G850" s="3">
        <v>0.55902777777777779</v>
      </c>
      <c r="H850" s="3">
        <v>0.56041666666666667</v>
      </c>
      <c r="I850" s="1">
        <v>2</v>
      </c>
      <c r="J850" s="1">
        <v>10</v>
      </c>
      <c r="K850" s="1" t="s">
        <v>18</v>
      </c>
      <c r="L850" s="1" t="s">
        <v>19</v>
      </c>
      <c r="M850" s="1">
        <v>886</v>
      </c>
    </row>
    <row r="851" spans="1:13" x14ac:dyDescent="0.35">
      <c r="A851" s="1" t="s">
        <v>1449</v>
      </c>
      <c r="B851" s="2">
        <v>46203</v>
      </c>
      <c r="C851" s="1" t="s">
        <v>801</v>
      </c>
      <c r="D851" s="1" t="s">
        <v>27</v>
      </c>
      <c r="E851" s="1" t="s">
        <v>22</v>
      </c>
      <c r="F851" s="1" t="s">
        <v>28</v>
      </c>
      <c r="G851" s="3">
        <v>0.25347222222222221</v>
      </c>
      <c r="H851" s="3">
        <v>0.30833333333333329</v>
      </c>
      <c r="I851" s="1">
        <v>79</v>
      </c>
      <c r="J851" s="1">
        <v>83</v>
      </c>
      <c r="K851" s="1" t="s">
        <v>149</v>
      </c>
      <c r="L851" s="1" t="s">
        <v>19</v>
      </c>
      <c r="M851" s="1">
        <v>1389</v>
      </c>
    </row>
    <row r="852" spans="1:13" x14ac:dyDescent="0.35">
      <c r="A852" s="1" t="s">
        <v>1450</v>
      </c>
      <c r="B852" s="2">
        <v>46203</v>
      </c>
      <c r="C852" s="1" t="s">
        <v>1451</v>
      </c>
      <c r="D852" s="1" t="s">
        <v>37</v>
      </c>
      <c r="E852" s="1" t="s">
        <v>50</v>
      </c>
      <c r="F852" s="1" t="s">
        <v>17</v>
      </c>
      <c r="G852" s="3">
        <v>0.4861111111111111</v>
      </c>
      <c r="H852" s="3">
        <v>0.49236111111111108</v>
      </c>
      <c r="I852" s="1">
        <v>9</v>
      </c>
      <c r="J852" s="1">
        <v>12</v>
      </c>
      <c r="K852" s="1" t="s">
        <v>18</v>
      </c>
      <c r="L852" s="1" t="s">
        <v>19</v>
      </c>
      <c r="M852" s="1">
        <v>2178</v>
      </c>
    </row>
    <row r="853" spans="1:13" x14ac:dyDescent="0.35">
      <c r="A853" s="1" t="s">
        <v>1452</v>
      </c>
      <c r="B853" s="2">
        <v>46204</v>
      </c>
      <c r="C853" s="1" t="s">
        <v>519</v>
      </c>
      <c r="D853" s="1" t="s">
        <v>41</v>
      </c>
      <c r="E853" s="1" t="s">
        <v>27</v>
      </c>
      <c r="F853" s="1" t="s">
        <v>24</v>
      </c>
      <c r="G853" s="3">
        <v>0.33680555555555558</v>
      </c>
      <c r="H853" s="3">
        <v>0.34375</v>
      </c>
      <c r="I853" s="1">
        <v>10</v>
      </c>
      <c r="J853" s="1">
        <v>16</v>
      </c>
      <c r="K853" s="1" t="s">
        <v>18</v>
      </c>
      <c r="L853" s="1" t="s">
        <v>19</v>
      </c>
      <c r="M853" s="1">
        <v>1120</v>
      </c>
    </row>
    <row r="854" spans="1:13" x14ac:dyDescent="0.35">
      <c r="A854" s="1" t="s">
        <v>1453</v>
      </c>
      <c r="B854" s="2">
        <v>46204</v>
      </c>
      <c r="C854" s="1" t="s">
        <v>1454</v>
      </c>
      <c r="D854" s="1" t="s">
        <v>16</v>
      </c>
      <c r="E854" s="1" t="s">
        <v>50</v>
      </c>
      <c r="F854" s="1" t="s">
        <v>24</v>
      </c>
      <c r="G854" s="3">
        <v>0.40972222222222221</v>
      </c>
      <c r="H854" s="3">
        <v>0.41666666666666669</v>
      </c>
      <c r="I854" s="1">
        <v>10</v>
      </c>
      <c r="J854" s="1">
        <v>4</v>
      </c>
      <c r="K854" s="1" t="s">
        <v>18</v>
      </c>
      <c r="L854" s="1" t="s">
        <v>19</v>
      </c>
      <c r="M854" s="1">
        <v>606</v>
      </c>
    </row>
    <row r="855" spans="1:13" x14ac:dyDescent="0.35">
      <c r="A855" s="1" t="s">
        <v>1455</v>
      </c>
      <c r="B855" s="2">
        <v>46204</v>
      </c>
      <c r="C855" s="1" t="s">
        <v>1447</v>
      </c>
      <c r="D855" s="1" t="s">
        <v>47</v>
      </c>
      <c r="E855" s="1" t="s">
        <v>50</v>
      </c>
      <c r="F855" s="1" t="s">
        <v>24</v>
      </c>
      <c r="G855" s="3">
        <v>0.5</v>
      </c>
      <c r="H855" s="3">
        <v>0.49861111111111112</v>
      </c>
      <c r="I855" s="1">
        <v>-2</v>
      </c>
      <c r="J855" s="1">
        <v>1</v>
      </c>
      <c r="K855" s="1" t="s">
        <v>18</v>
      </c>
      <c r="L855" s="1" t="s">
        <v>19</v>
      </c>
      <c r="M855" s="1">
        <v>2134</v>
      </c>
    </row>
    <row r="856" spans="1:13" x14ac:dyDescent="0.35">
      <c r="A856" s="1" t="s">
        <v>1456</v>
      </c>
      <c r="B856" s="2">
        <v>46204</v>
      </c>
      <c r="C856" s="1" t="s">
        <v>1457</v>
      </c>
      <c r="D856" s="1" t="s">
        <v>16</v>
      </c>
      <c r="E856" s="1" t="s">
        <v>50</v>
      </c>
      <c r="F856" s="1" t="s">
        <v>24</v>
      </c>
      <c r="G856" s="3">
        <v>0.63194444444444442</v>
      </c>
      <c r="H856" s="3">
        <v>0.63472222222222219</v>
      </c>
      <c r="I856" s="1">
        <v>4</v>
      </c>
      <c r="J856" s="1">
        <v>-1</v>
      </c>
      <c r="K856" s="1" t="s">
        <v>18</v>
      </c>
      <c r="L856" s="1" t="s">
        <v>19</v>
      </c>
      <c r="M856" s="1">
        <v>606</v>
      </c>
    </row>
    <row r="857" spans="1:13" x14ac:dyDescent="0.35">
      <c r="A857" s="1" t="s">
        <v>1458</v>
      </c>
      <c r="B857" s="2">
        <v>46204</v>
      </c>
      <c r="C857" s="1" t="s">
        <v>1010</v>
      </c>
      <c r="D857" s="1" t="s">
        <v>37</v>
      </c>
      <c r="E857" s="1" t="s">
        <v>23</v>
      </c>
      <c r="F857" s="1" t="s">
        <v>24</v>
      </c>
      <c r="G857" s="3">
        <v>0.77777777777777779</v>
      </c>
      <c r="H857" s="3">
        <v>0.79236111111111107</v>
      </c>
      <c r="I857" s="1">
        <v>21</v>
      </c>
      <c r="J857" s="1">
        <v>13</v>
      </c>
      <c r="K857" s="1" t="s">
        <v>263</v>
      </c>
      <c r="L857" s="1" t="s">
        <v>19</v>
      </c>
      <c r="M857" s="1">
        <v>1023</v>
      </c>
    </row>
    <row r="858" spans="1:13" x14ac:dyDescent="0.35">
      <c r="A858" s="1" t="s">
        <v>1459</v>
      </c>
      <c r="B858" s="2">
        <v>46204</v>
      </c>
      <c r="C858" s="1" t="s">
        <v>1460</v>
      </c>
      <c r="D858" s="1" t="s">
        <v>78</v>
      </c>
      <c r="E858" s="1" t="s">
        <v>16</v>
      </c>
      <c r="F858" s="1" t="s">
        <v>17</v>
      </c>
      <c r="G858" s="3">
        <v>0.80555555555555558</v>
      </c>
      <c r="H858" s="3">
        <v>0.80833333333333335</v>
      </c>
      <c r="I858" s="1">
        <v>4</v>
      </c>
      <c r="J858" s="1">
        <v>9</v>
      </c>
      <c r="K858" s="1" t="s">
        <v>18</v>
      </c>
      <c r="L858" s="1" t="s">
        <v>19</v>
      </c>
      <c r="M858" s="1">
        <v>1438</v>
      </c>
    </row>
    <row r="859" spans="1:13" x14ac:dyDescent="0.35">
      <c r="A859" s="1" t="s">
        <v>1461</v>
      </c>
      <c r="B859" s="2">
        <v>46205</v>
      </c>
      <c r="C859" s="1" t="s">
        <v>1462</v>
      </c>
      <c r="D859" s="1" t="s">
        <v>44</v>
      </c>
      <c r="E859" s="1" t="s">
        <v>22</v>
      </c>
      <c r="F859" s="1" t="s">
        <v>24</v>
      </c>
      <c r="G859" s="3">
        <v>0.74305555555555558</v>
      </c>
      <c r="H859" s="3">
        <v>0.74791666666666667</v>
      </c>
      <c r="I859" s="1">
        <v>7</v>
      </c>
      <c r="J859" s="1">
        <v>-3</v>
      </c>
      <c r="K859" s="1"/>
      <c r="L859" s="1" t="s">
        <v>19</v>
      </c>
      <c r="M859" s="1">
        <v>186</v>
      </c>
    </row>
    <row r="860" spans="1:13" x14ac:dyDescent="0.35">
      <c r="A860" s="1" t="s">
        <v>1463</v>
      </c>
      <c r="B860" s="2">
        <v>46205</v>
      </c>
      <c r="C860" s="1" t="s">
        <v>889</v>
      </c>
      <c r="D860" s="1" t="s">
        <v>37</v>
      </c>
      <c r="E860" s="1" t="s">
        <v>27</v>
      </c>
      <c r="F860" s="1" t="s">
        <v>17</v>
      </c>
      <c r="G860" s="3">
        <v>0.78819444444444442</v>
      </c>
      <c r="H860" s="3">
        <v>0.78680555555555554</v>
      </c>
      <c r="I860" s="1">
        <v>-2</v>
      </c>
      <c r="J860" s="1">
        <v>-1</v>
      </c>
      <c r="K860" s="1" t="s">
        <v>18</v>
      </c>
      <c r="L860" s="1" t="s">
        <v>19</v>
      </c>
      <c r="M860" s="1">
        <v>1658</v>
      </c>
    </row>
    <row r="861" spans="1:13" x14ac:dyDescent="0.35">
      <c r="A861" s="1" t="s">
        <v>1464</v>
      </c>
      <c r="B861" s="2">
        <v>46206</v>
      </c>
      <c r="C861" s="1" t="s">
        <v>1123</v>
      </c>
      <c r="D861" s="1" t="s">
        <v>27</v>
      </c>
      <c r="E861" s="1" t="s">
        <v>44</v>
      </c>
      <c r="F861" s="1" t="s">
        <v>24</v>
      </c>
      <c r="G861" s="3">
        <v>0.3125</v>
      </c>
      <c r="H861" s="3">
        <v>0.35</v>
      </c>
      <c r="I861" s="1">
        <v>54</v>
      </c>
      <c r="J861" s="1">
        <v>50</v>
      </c>
      <c r="K861" s="1" t="s">
        <v>60</v>
      </c>
      <c r="L861" s="1" t="s">
        <v>19</v>
      </c>
      <c r="M861" s="1">
        <v>1559</v>
      </c>
    </row>
    <row r="862" spans="1:13" x14ac:dyDescent="0.35">
      <c r="A862" s="1" t="s">
        <v>1465</v>
      </c>
      <c r="B862" s="2">
        <v>46206</v>
      </c>
      <c r="C862" s="1" t="s">
        <v>905</v>
      </c>
      <c r="D862" s="1" t="s">
        <v>50</v>
      </c>
      <c r="E862" s="1" t="s">
        <v>695</v>
      </c>
      <c r="F862" s="1" t="s">
        <v>17</v>
      </c>
      <c r="G862" s="3">
        <v>0.93055555555555558</v>
      </c>
      <c r="H862" s="3">
        <v>0.93263888888888891</v>
      </c>
      <c r="I862" s="1">
        <v>3</v>
      </c>
      <c r="J862" s="1">
        <v>1</v>
      </c>
      <c r="K862" s="1"/>
      <c r="L862" s="1" t="s">
        <v>19</v>
      </c>
      <c r="M862" s="1">
        <v>2178</v>
      </c>
    </row>
    <row r="863" spans="1:13" x14ac:dyDescent="0.35">
      <c r="A863" s="1" t="s">
        <v>1466</v>
      </c>
      <c r="B863" s="2">
        <v>46207</v>
      </c>
      <c r="C863" s="1" t="s">
        <v>290</v>
      </c>
      <c r="D863" s="1" t="s">
        <v>27</v>
      </c>
      <c r="E863" s="1" t="s">
        <v>16</v>
      </c>
      <c r="F863" s="1" t="s">
        <v>28</v>
      </c>
      <c r="G863" s="3">
        <v>0.2638888888888889</v>
      </c>
      <c r="H863" s="3">
        <v>0.26458333333333328</v>
      </c>
      <c r="I863" s="1">
        <v>1</v>
      </c>
      <c r="J863" s="1">
        <v>6</v>
      </c>
      <c r="K863" s="1" t="s">
        <v>18</v>
      </c>
      <c r="L863" s="1" t="s">
        <v>19</v>
      </c>
      <c r="M863" s="1">
        <v>802</v>
      </c>
    </row>
    <row r="864" spans="1:13" x14ac:dyDescent="0.35">
      <c r="A864" s="1" t="s">
        <v>1467</v>
      </c>
      <c r="B864" s="2">
        <v>46207</v>
      </c>
      <c r="C864" s="1" t="s">
        <v>1468</v>
      </c>
      <c r="D864" s="1" t="s">
        <v>78</v>
      </c>
      <c r="E864" s="1" t="s">
        <v>22</v>
      </c>
      <c r="F864" s="1" t="s">
        <v>28</v>
      </c>
      <c r="G864" s="3">
        <v>0.46527777777777779</v>
      </c>
      <c r="H864" s="3">
        <v>0.47222222222222221</v>
      </c>
      <c r="I864" s="1">
        <v>10</v>
      </c>
      <c r="J864" s="1">
        <v>3</v>
      </c>
      <c r="K864" s="1"/>
      <c r="L864" s="1" t="s">
        <v>19</v>
      </c>
      <c r="M864" s="1">
        <v>2149</v>
      </c>
    </row>
    <row r="865" spans="1:13" x14ac:dyDescent="0.35">
      <c r="A865" s="1" t="s">
        <v>1469</v>
      </c>
      <c r="B865" s="2">
        <v>46207</v>
      </c>
      <c r="C865" s="1" t="s">
        <v>1098</v>
      </c>
      <c r="D865" s="1" t="s">
        <v>50</v>
      </c>
      <c r="E865" s="1" t="s">
        <v>78</v>
      </c>
      <c r="F865" s="1" t="s">
        <v>17</v>
      </c>
      <c r="G865" s="3">
        <v>0.46875</v>
      </c>
      <c r="H865" s="1"/>
      <c r="I865" s="1">
        <v>-3</v>
      </c>
      <c r="J865" s="1">
        <v>0</v>
      </c>
      <c r="K865" s="1" t="s">
        <v>18</v>
      </c>
      <c r="L865" s="1" t="s">
        <v>19</v>
      </c>
      <c r="M865" s="1">
        <v>1584</v>
      </c>
    </row>
    <row r="866" spans="1:13" x14ac:dyDescent="0.35">
      <c r="A866" s="1" t="s">
        <v>1470</v>
      </c>
      <c r="B866" s="2">
        <v>46207</v>
      </c>
      <c r="C866" s="1" t="s">
        <v>465</v>
      </c>
      <c r="D866" s="1" t="s">
        <v>50</v>
      </c>
      <c r="E866" s="1" t="s">
        <v>47</v>
      </c>
      <c r="F866" s="1" t="s">
        <v>24</v>
      </c>
      <c r="G866" s="3">
        <v>0.69444444444444442</v>
      </c>
      <c r="H866" s="3">
        <v>0.72013888888888888</v>
      </c>
      <c r="I866" s="1">
        <v>37</v>
      </c>
      <c r="J866" s="1">
        <v>38</v>
      </c>
      <c r="K866" s="1" t="s">
        <v>129</v>
      </c>
      <c r="L866" s="1" t="s">
        <v>19</v>
      </c>
      <c r="M866" s="1">
        <v>2134</v>
      </c>
    </row>
    <row r="867" spans="1:13" x14ac:dyDescent="0.35">
      <c r="A867" s="1" t="s">
        <v>1471</v>
      </c>
      <c r="B867" s="2">
        <v>46208</v>
      </c>
      <c r="C867" s="1" t="s">
        <v>176</v>
      </c>
      <c r="D867" s="1" t="s">
        <v>37</v>
      </c>
      <c r="E867" s="1" t="s">
        <v>16</v>
      </c>
      <c r="F867" s="1" t="s">
        <v>24</v>
      </c>
      <c r="G867" s="3">
        <v>0.35416666666666669</v>
      </c>
      <c r="H867" s="3">
        <v>0.39930555555555558</v>
      </c>
      <c r="I867" s="1">
        <v>65</v>
      </c>
      <c r="J867" s="1">
        <v>61</v>
      </c>
      <c r="K867" s="1" t="s">
        <v>54</v>
      </c>
      <c r="L867" s="1" t="s">
        <v>19</v>
      </c>
      <c r="M867" s="1">
        <v>1717</v>
      </c>
    </row>
    <row r="868" spans="1:13" x14ac:dyDescent="0.35">
      <c r="A868" s="1" t="s">
        <v>1472</v>
      </c>
      <c r="B868" s="2">
        <v>46208</v>
      </c>
      <c r="C868" s="1" t="s">
        <v>866</v>
      </c>
      <c r="D868" s="1" t="s">
        <v>16</v>
      </c>
      <c r="E868" s="1" t="s">
        <v>44</v>
      </c>
      <c r="F868" s="1" t="s">
        <v>24</v>
      </c>
      <c r="G868" s="3">
        <v>0.60763888888888884</v>
      </c>
      <c r="H868" s="3">
        <v>0.68125000000000002</v>
      </c>
      <c r="I868" s="1">
        <v>106</v>
      </c>
      <c r="J868" s="1">
        <v>106</v>
      </c>
      <c r="K868" s="1" t="s">
        <v>60</v>
      </c>
      <c r="L868" s="1" t="s">
        <v>19</v>
      </c>
      <c r="M868" s="1">
        <v>864</v>
      </c>
    </row>
    <row r="869" spans="1:13" x14ac:dyDescent="0.35">
      <c r="A869" s="1" t="s">
        <v>1473</v>
      </c>
      <c r="B869" s="2">
        <v>46208</v>
      </c>
      <c r="C869" s="1" t="s">
        <v>804</v>
      </c>
      <c r="D869" s="1" t="s">
        <v>41</v>
      </c>
      <c r="E869" s="1" t="s">
        <v>16</v>
      </c>
      <c r="F869" s="1" t="s">
        <v>24</v>
      </c>
      <c r="G869" s="3">
        <v>0.66319444444444442</v>
      </c>
      <c r="H869" s="3">
        <v>0.66874999999999996</v>
      </c>
      <c r="I869" s="1">
        <v>8</v>
      </c>
      <c r="J869" s="1">
        <v>-4</v>
      </c>
      <c r="K869" s="1" t="s">
        <v>18</v>
      </c>
      <c r="L869" s="1" t="s">
        <v>19</v>
      </c>
      <c r="M869" s="1">
        <v>1199</v>
      </c>
    </row>
    <row r="870" spans="1:13" x14ac:dyDescent="0.35">
      <c r="A870" s="1" t="s">
        <v>1474</v>
      </c>
      <c r="B870" s="2">
        <v>46208</v>
      </c>
      <c r="C870" s="1" t="s">
        <v>1386</v>
      </c>
      <c r="D870" s="1" t="s">
        <v>22</v>
      </c>
      <c r="E870" s="1" t="s">
        <v>555</v>
      </c>
      <c r="F870" s="1" t="s">
        <v>17</v>
      </c>
      <c r="G870" s="3">
        <v>0.66666666666666663</v>
      </c>
      <c r="H870" s="3">
        <v>0.67083333333333328</v>
      </c>
      <c r="I870" s="1">
        <v>6</v>
      </c>
      <c r="J870" s="1">
        <v>-3</v>
      </c>
      <c r="K870" s="1" t="s">
        <v>18</v>
      </c>
      <c r="L870" s="1" t="s">
        <v>19</v>
      </c>
      <c r="M870" s="1">
        <v>738</v>
      </c>
    </row>
    <row r="871" spans="1:13" x14ac:dyDescent="0.35">
      <c r="A871" s="1" t="s">
        <v>1475</v>
      </c>
      <c r="B871" s="2">
        <v>46208</v>
      </c>
      <c r="C871" s="1" t="s">
        <v>182</v>
      </c>
      <c r="D871" s="1" t="s">
        <v>123</v>
      </c>
      <c r="E871" s="1" t="s">
        <v>78</v>
      </c>
      <c r="F871" s="1" t="s">
        <v>24</v>
      </c>
      <c r="G871" s="3">
        <v>0.92708333333333337</v>
      </c>
      <c r="H871" s="1"/>
      <c r="I871" s="1">
        <v>4</v>
      </c>
      <c r="J871" s="1">
        <v>7</v>
      </c>
      <c r="K871" s="1"/>
      <c r="L871" s="1" t="s">
        <v>19</v>
      </c>
      <c r="M871" s="1">
        <v>1584</v>
      </c>
    </row>
    <row r="872" spans="1:13" x14ac:dyDescent="0.35">
      <c r="A872" s="1" t="s">
        <v>1476</v>
      </c>
      <c r="B872" s="2">
        <v>46209</v>
      </c>
      <c r="C872" s="1" t="s">
        <v>1477</v>
      </c>
      <c r="D872" s="1" t="s">
        <v>27</v>
      </c>
      <c r="E872" s="1" t="s">
        <v>15</v>
      </c>
      <c r="F872" s="1" t="s">
        <v>17</v>
      </c>
      <c r="G872" s="3">
        <v>0.41666666666666669</v>
      </c>
      <c r="H872" s="3">
        <v>0.41388888888888892</v>
      </c>
      <c r="I872" s="1">
        <v>-4</v>
      </c>
      <c r="J872" s="1">
        <v>-7</v>
      </c>
      <c r="K872" s="1" t="s">
        <v>18</v>
      </c>
      <c r="L872" s="1" t="s">
        <v>19</v>
      </c>
      <c r="M872" s="1">
        <v>1232</v>
      </c>
    </row>
    <row r="873" spans="1:13" x14ac:dyDescent="0.35">
      <c r="A873" s="1" t="s">
        <v>1478</v>
      </c>
      <c r="B873" s="2">
        <v>46210</v>
      </c>
      <c r="C873" s="1" t="s">
        <v>444</v>
      </c>
      <c r="D873" s="1" t="s">
        <v>37</v>
      </c>
      <c r="E873" s="1" t="s">
        <v>22</v>
      </c>
      <c r="F873" s="1" t="s">
        <v>28</v>
      </c>
      <c r="G873" s="3">
        <v>0.25694444444444442</v>
      </c>
      <c r="H873" s="3">
        <v>0.26250000000000001</v>
      </c>
      <c r="I873" s="1">
        <v>8</v>
      </c>
      <c r="J873" s="1">
        <v>-4</v>
      </c>
      <c r="K873" s="1"/>
      <c r="L873" s="1" t="s">
        <v>19</v>
      </c>
      <c r="M873" s="1">
        <v>2415</v>
      </c>
    </row>
    <row r="874" spans="1:13" x14ac:dyDescent="0.35">
      <c r="A874" s="1" t="s">
        <v>1479</v>
      </c>
      <c r="B874" s="2">
        <v>46210</v>
      </c>
      <c r="C874" s="1" t="s">
        <v>877</v>
      </c>
      <c r="D874" s="1" t="s">
        <v>27</v>
      </c>
      <c r="E874" s="1" t="s">
        <v>23</v>
      </c>
      <c r="F874" s="1" t="s">
        <v>38</v>
      </c>
      <c r="G874" s="3">
        <v>0.26041666666666669</v>
      </c>
      <c r="H874" s="3">
        <v>0.26041666666666669</v>
      </c>
      <c r="I874" s="1">
        <v>0</v>
      </c>
      <c r="J874" s="1">
        <v>8</v>
      </c>
      <c r="K874" s="1" t="s">
        <v>18</v>
      </c>
      <c r="L874" s="1" t="s">
        <v>19</v>
      </c>
      <c r="M874" s="1">
        <v>641</v>
      </c>
    </row>
    <row r="875" spans="1:13" x14ac:dyDescent="0.35">
      <c r="A875" s="1" t="s">
        <v>1480</v>
      </c>
      <c r="B875" s="2">
        <v>46210</v>
      </c>
      <c r="C875" s="1" t="s">
        <v>1481</v>
      </c>
      <c r="D875" s="1" t="s">
        <v>16</v>
      </c>
      <c r="E875" s="1" t="s">
        <v>22</v>
      </c>
      <c r="F875" s="1" t="s">
        <v>38</v>
      </c>
      <c r="G875" s="3">
        <v>0.30208333333333331</v>
      </c>
      <c r="H875" s="3">
        <v>0.33611111111111108</v>
      </c>
      <c r="I875" s="1">
        <v>49</v>
      </c>
      <c r="J875" s="1">
        <v>41</v>
      </c>
      <c r="K875" s="1" t="s">
        <v>54</v>
      </c>
      <c r="L875" s="1" t="s">
        <v>19</v>
      </c>
      <c r="M875" s="1">
        <v>738</v>
      </c>
    </row>
    <row r="876" spans="1:13" x14ac:dyDescent="0.35">
      <c r="A876" s="1" t="s">
        <v>1482</v>
      </c>
      <c r="B876" s="2">
        <v>46210</v>
      </c>
      <c r="C876" s="1" t="s">
        <v>1483</v>
      </c>
      <c r="D876" s="1" t="s">
        <v>41</v>
      </c>
      <c r="E876" s="1" t="s">
        <v>50</v>
      </c>
      <c r="F876" s="1" t="s">
        <v>17</v>
      </c>
      <c r="G876" s="3">
        <v>0.34027777777777779</v>
      </c>
      <c r="H876" s="3">
        <v>0.33680555555555558</v>
      </c>
      <c r="I876" s="1">
        <v>-5</v>
      </c>
      <c r="J876" s="1">
        <v>3</v>
      </c>
      <c r="K876" s="1" t="s">
        <v>18</v>
      </c>
      <c r="L876" s="1" t="s">
        <v>19</v>
      </c>
      <c r="M876" s="1">
        <v>596</v>
      </c>
    </row>
    <row r="877" spans="1:13" x14ac:dyDescent="0.35">
      <c r="A877" s="1" t="s">
        <v>1484</v>
      </c>
      <c r="B877" s="2">
        <v>46210</v>
      </c>
      <c r="C877" s="1" t="s">
        <v>1110</v>
      </c>
      <c r="D877" s="1" t="s">
        <v>51</v>
      </c>
      <c r="E877" s="1" t="s">
        <v>50</v>
      </c>
      <c r="F877" s="1" t="s">
        <v>28</v>
      </c>
      <c r="G877" s="3">
        <v>0.3576388888888889</v>
      </c>
      <c r="H877" s="3">
        <v>0.3576388888888889</v>
      </c>
      <c r="I877" s="1">
        <v>0</v>
      </c>
      <c r="J877" s="1">
        <v>7</v>
      </c>
      <c r="K877" s="1" t="s">
        <v>18</v>
      </c>
      <c r="L877" s="1" t="s">
        <v>19</v>
      </c>
      <c r="M877" s="1">
        <v>730</v>
      </c>
    </row>
    <row r="878" spans="1:13" x14ac:dyDescent="0.35">
      <c r="A878" s="1" t="s">
        <v>1485</v>
      </c>
      <c r="B878" s="2">
        <v>46210</v>
      </c>
      <c r="C878" s="1" t="s">
        <v>1142</v>
      </c>
      <c r="D878" s="1" t="s">
        <v>50</v>
      </c>
      <c r="E878" s="1" t="s">
        <v>16</v>
      </c>
      <c r="F878" s="1" t="s">
        <v>24</v>
      </c>
      <c r="G878" s="3">
        <v>0.3576388888888889</v>
      </c>
      <c r="H878" s="3">
        <v>0.39652777777777781</v>
      </c>
      <c r="I878" s="1">
        <v>56</v>
      </c>
      <c r="J878" s="1">
        <v>42</v>
      </c>
      <c r="K878" s="1" t="s">
        <v>60</v>
      </c>
      <c r="L878" s="1" t="s">
        <v>19</v>
      </c>
      <c r="M878" s="1">
        <v>606</v>
      </c>
    </row>
    <row r="879" spans="1:13" x14ac:dyDescent="0.35">
      <c r="A879" s="1" t="s">
        <v>1486</v>
      </c>
      <c r="B879" s="2">
        <v>46210</v>
      </c>
      <c r="C879" s="1" t="s">
        <v>1487</v>
      </c>
      <c r="D879" s="1" t="s">
        <v>27</v>
      </c>
      <c r="E879" s="1" t="s">
        <v>31</v>
      </c>
      <c r="F879" s="1" t="s">
        <v>24</v>
      </c>
      <c r="G879" s="3">
        <v>0.65972222222222221</v>
      </c>
      <c r="H879" s="3">
        <v>0.7055555555555556</v>
      </c>
      <c r="I879" s="1">
        <v>66</v>
      </c>
      <c r="J879" s="1">
        <v>67</v>
      </c>
      <c r="K879" s="1" t="s">
        <v>303</v>
      </c>
      <c r="L879" s="1" t="s">
        <v>19</v>
      </c>
      <c r="M879" s="1">
        <v>1053</v>
      </c>
    </row>
    <row r="880" spans="1:13" x14ac:dyDescent="0.35">
      <c r="A880" s="1" t="s">
        <v>1488</v>
      </c>
      <c r="B880" s="2">
        <v>46210</v>
      </c>
      <c r="C880" s="1" t="s">
        <v>1489</v>
      </c>
      <c r="D880" s="1" t="s">
        <v>16</v>
      </c>
      <c r="E880" s="1" t="s">
        <v>22</v>
      </c>
      <c r="F880" s="1" t="s">
        <v>24</v>
      </c>
      <c r="G880" s="3">
        <v>0.78472222222222221</v>
      </c>
      <c r="H880" s="3">
        <v>0.78055555555555556</v>
      </c>
      <c r="I880" s="1">
        <v>-6</v>
      </c>
      <c r="J880" s="1">
        <v>-8</v>
      </c>
      <c r="K880" s="1" t="s">
        <v>18</v>
      </c>
      <c r="L880" s="1" t="s">
        <v>19</v>
      </c>
      <c r="M880" s="1">
        <v>738</v>
      </c>
    </row>
    <row r="881" spans="1:13" x14ac:dyDescent="0.35">
      <c r="A881" s="1" t="s">
        <v>1490</v>
      </c>
      <c r="B881" s="2">
        <v>46211</v>
      </c>
      <c r="C881" s="1" t="s">
        <v>804</v>
      </c>
      <c r="D881" s="1" t="s">
        <v>37</v>
      </c>
      <c r="E881" s="1" t="s">
        <v>44</v>
      </c>
      <c r="F881" s="1" t="s">
        <v>24</v>
      </c>
      <c r="G881" s="3">
        <v>0.40277777777777779</v>
      </c>
      <c r="H881" s="3">
        <v>0.40902777777777782</v>
      </c>
      <c r="I881" s="1">
        <v>9</v>
      </c>
      <c r="J881" s="1">
        <v>1</v>
      </c>
      <c r="K881" s="1"/>
      <c r="L881" s="1" t="s">
        <v>19</v>
      </c>
      <c r="M881" s="1">
        <v>2489</v>
      </c>
    </row>
    <row r="882" spans="1:13" x14ac:dyDescent="0.35">
      <c r="A882" s="1" t="s">
        <v>1491</v>
      </c>
      <c r="B882" s="2">
        <v>46211</v>
      </c>
      <c r="C882" s="1" t="s">
        <v>512</v>
      </c>
      <c r="D882" s="1" t="s">
        <v>16</v>
      </c>
      <c r="E882" s="1" t="s">
        <v>50</v>
      </c>
      <c r="F882" s="1" t="s">
        <v>17</v>
      </c>
      <c r="G882" s="3">
        <v>0.40277777777777779</v>
      </c>
      <c r="H882" s="3">
        <v>0.39861111111111108</v>
      </c>
      <c r="I882" s="1">
        <v>-6</v>
      </c>
      <c r="J882" s="1">
        <v>-12</v>
      </c>
      <c r="K882" s="1"/>
      <c r="L882" s="1" t="s">
        <v>19</v>
      </c>
      <c r="M882" s="1">
        <v>606</v>
      </c>
    </row>
    <row r="883" spans="1:13" x14ac:dyDescent="0.35">
      <c r="A883" s="1" t="s">
        <v>1492</v>
      </c>
      <c r="B883" s="2">
        <v>46211</v>
      </c>
      <c r="C883" s="1" t="s">
        <v>1131</v>
      </c>
      <c r="D883" s="1" t="s">
        <v>59</v>
      </c>
      <c r="E883" s="1" t="s">
        <v>31</v>
      </c>
      <c r="F883" s="1" t="s">
        <v>17</v>
      </c>
      <c r="G883" s="3">
        <v>0.72569444444444442</v>
      </c>
      <c r="H883" s="3">
        <v>0.81736111111111109</v>
      </c>
      <c r="I883" s="1">
        <v>132</v>
      </c>
      <c r="J883" s="1">
        <v>134</v>
      </c>
      <c r="K883" s="1" t="s">
        <v>149</v>
      </c>
      <c r="L883" s="1" t="s">
        <v>19</v>
      </c>
      <c r="M883" s="1">
        <v>1743</v>
      </c>
    </row>
    <row r="884" spans="1:13" x14ac:dyDescent="0.35">
      <c r="A884" s="1" t="s">
        <v>1493</v>
      </c>
      <c r="B884" s="2">
        <v>46211</v>
      </c>
      <c r="C884" s="1" t="s">
        <v>605</v>
      </c>
      <c r="D884" s="1" t="s">
        <v>22</v>
      </c>
      <c r="E884" s="1" t="s">
        <v>50</v>
      </c>
      <c r="F884" s="1" t="s">
        <v>24</v>
      </c>
      <c r="G884" s="3">
        <v>0.74305555555555558</v>
      </c>
      <c r="H884" s="3">
        <v>0.73888888888888893</v>
      </c>
      <c r="I884" s="1">
        <v>-6</v>
      </c>
      <c r="J884" s="1">
        <v>-8</v>
      </c>
      <c r="K884" s="1" t="s">
        <v>18</v>
      </c>
      <c r="L884" s="1" t="s">
        <v>19</v>
      </c>
      <c r="M884" s="1">
        <v>759</v>
      </c>
    </row>
    <row r="885" spans="1:13" x14ac:dyDescent="0.35">
      <c r="A885" s="1" t="s">
        <v>1494</v>
      </c>
      <c r="B885" s="2">
        <v>46211</v>
      </c>
      <c r="C885" s="1" t="s">
        <v>841</v>
      </c>
      <c r="D885" s="1" t="s">
        <v>50</v>
      </c>
      <c r="E885" s="1" t="s">
        <v>37</v>
      </c>
      <c r="F885" s="1" t="s">
        <v>24</v>
      </c>
      <c r="G885" s="3">
        <v>0.80208333333333337</v>
      </c>
      <c r="H885" s="3">
        <v>0.81388888888888888</v>
      </c>
      <c r="I885" s="1">
        <v>17</v>
      </c>
      <c r="J885" s="1">
        <v>17</v>
      </c>
      <c r="K885" s="1" t="s">
        <v>54</v>
      </c>
      <c r="L885" s="1" t="s">
        <v>19</v>
      </c>
      <c r="M885" s="1">
        <v>2178</v>
      </c>
    </row>
    <row r="886" spans="1:13" x14ac:dyDescent="0.35">
      <c r="A886" s="1" t="s">
        <v>1495</v>
      </c>
      <c r="B886" s="2">
        <v>46212</v>
      </c>
      <c r="C886" s="1" t="s">
        <v>677</v>
      </c>
      <c r="D886" s="1" t="s">
        <v>50</v>
      </c>
      <c r="E886" s="1" t="s">
        <v>23</v>
      </c>
      <c r="F886" s="1" t="s">
        <v>17</v>
      </c>
      <c r="G886" s="3">
        <v>0.57638888888888884</v>
      </c>
      <c r="H886" s="3">
        <v>0.57222222222222219</v>
      </c>
      <c r="I886" s="1">
        <v>-6</v>
      </c>
      <c r="J886" s="1">
        <v>-15</v>
      </c>
      <c r="K886" s="1" t="s">
        <v>18</v>
      </c>
      <c r="L886" s="1" t="s">
        <v>19</v>
      </c>
      <c r="M886" s="1">
        <v>1197</v>
      </c>
    </row>
    <row r="887" spans="1:13" x14ac:dyDescent="0.35">
      <c r="A887" s="1" t="s">
        <v>1496</v>
      </c>
      <c r="B887" s="2">
        <v>46212</v>
      </c>
      <c r="C887" s="1" t="s">
        <v>422</v>
      </c>
      <c r="D887" s="1" t="s">
        <v>695</v>
      </c>
      <c r="E887" s="1" t="s">
        <v>23</v>
      </c>
      <c r="F887" s="1" t="s">
        <v>24</v>
      </c>
      <c r="G887" s="3">
        <v>0.61805555555555558</v>
      </c>
      <c r="H887" s="3">
        <v>0.61319444444444449</v>
      </c>
      <c r="I887" s="1">
        <v>-7</v>
      </c>
      <c r="J887" s="1">
        <v>-6</v>
      </c>
      <c r="K887" s="1" t="s">
        <v>18</v>
      </c>
      <c r="L887" s="1" t="s">
        <v>19</v>
      </c>
      <c r="M887" s="1">
        <v>1023</v>
      </c>
    </row>
    <row r="888" spans="1:13" x14ac:dyDescent="0.35">
      <c r="A888" s="1" t="s">
        <v>1497</v>
      </c>
      <c r="B888" s="2">
        <v>46212</v>
      </c>
      <c r="C888" s="1" t="s">
        <v>1498</v>
      </c>
      <c r="D888" s="1" t="s">
        <v>50</v>
      </c>
      <c r="E888" s="1" t="s">
        <v>15</v>
      </c>
      <c r="F888" s="1" t="s">
        <v>17</v>
      </c>
      <c r="G888" s="3">
        <v>0.65625</v>
      </c>
      <c r="H888" s="3">
        <v>0.65763888888888888</v>
      </c>
      <c r="I888" s="1">
        <v>2</v>
      </c>
      <c r="J888" s="1">
        <v>3</v>
      </c>
      <c r="K888" s="1"/>
      <c r="L888" s="1" t="s">
        <v>19</v>
      </c>
      <c r="M888" s="1">
        <v>1942</v>
      </c>
    </row>
    <row r="889" spans="1:13" x14ac:dyDescent="0.35">
      <c r="A889" s="1" t="s">
        <v>1499</v>
      </c>
      <c r="B889" s="2">
        <v>46213</v>
      </c>
      <c r="C889" s="1" t="s">
        <v>273</v>
      </c>
      <c r="D889" s="1" t="s">
        <v>37</v>
      </c>
      <c r="E889" s="1" t="s">
        <v>31</v>
      </c>
      <c r="F889" s="1" t="s">
        <v>28</v>
      </c>
      <c r="G889" s="3">
        <v>0.65972222222222221</v>
      </c>
      <c r="H889" s="3">
        <v>0.68958333333333333</v>
      </c>
      <c r="I889" s="1">
        <v>43</v>
      </c>
      <c r="J889" s="1">
        <v>40</v>
      </c>
      <c r="K889" s="1" t="s">
        <v>129</v>
      </c>
      <c r="L889" s="1" t="s">
        <v>19</v>
      </c>
      <c r="M889" s="1">
        <v>867</v>
      </c>
    </row>
    <row r="890" spans="1:13" x14ac:dyDescent="0.35">
      <c r="A890" s="1" t="s">
        <v>1500</v>
      </c>
      <c r="B890" s="2">
        <v>46214</v>
      </c>
      <c r="C890" s="1" t="s">
        <v>49</v>
      </c>
      <c r="D890" s="1" t="s">
        <v>23</v>
      </c>
      <c r="E890" s="1" t="s">
        <v>78</v>
      </c>
      <c r="F890" s="1" t="s">
        <v>17</v>
      </c>
      <c r="G890" s="3">
        <v>0.52083333333333337</v>
      </c>
      <c r="H890" s="3">
        <v>0.52083333333333337</v>
      </c>
      <c r="I890" s="1">
        <v>0</v>
      </c>
      <c r="J890" s="1">
        <v>1</v>
      </c>
      <c r="K890" s="1" t="s">
        <v>18</v>
      </c>
      <c r="L890" s="1" t="s">
        <v>19</v>
      </c>
      <c r="M890" s="1">
        <v>602</v>
      </c>
    </row>
    <row r="891" spans="1:13" x14ac:dyDescent="0.35">
      <c r="A891" s="1" t="s">
        <v>1501</v>
      </c>
      <c r="B891" s="2">
        <v>46215</v>
      </c>
      <c r="C891" s="1" t="s">
        <v>1207</v>
      </c>
      <c r="D891" s="1" t="s">
        <v>78</v>
      </c>
      <c r="E891" s="1" t="s">
        <v>16</v>
      </c>
      <c r="F891" s="1" t="s">
        <v>38</v>
      </c>
      <c r="G891" s="3">
        <v>0.38541666666666669</v>
      </c>
      <c r="H891" s="3">
        <v>0.40069444444444452</v>
      </c>
      <c r="I891" s="1">
        <v>22</v>
      </c>
      <c r="J891" s="1">
        <v>7</v>
      </c>
      <c r="K891" s="1" t="s">
        <v>54</v>
      </c>
      <c r="L891" s="1" t="s">
        <v>19</v>
      </c>
      <c r="M891" s="1">
        <v>1438</v>
      </c>
    </row>
    <row r="892" spans="1:13" x14ac:dyDescent="0.35">
      <c r="A892" s="1" t="s">
        <v>1502</v>
      </c>
      <c r="B892" s="2">
        <v>46215</v>
      </c>
      <c r="C892" s="1" t="s">
        <v>1503</v>
      </c>
      <c r="D892" s="1" t="s">
        <v>22</v>
      </c>
      <c r="E892" s="1" t="s">
        <v>41</v>
      </c>
      <c r="F892" s="1" t="s">
        <v>28</v>
      </c>
      <c r="G892" s="3">
        <v>0.46875</v>
      </c>
      <c r="H892" s="3">
        <v>0.48472222222222222</v>
      </c>
      <c r="I892" s="1">
        <v>23</v>
      </c>
      <c r="J892" s="1">
        <v>9</v>
      </c>
      <c r="K892" s="1" t="s">
        <v>1020</v>
      </c>
      <c r="L892" s="1" t="s">
        <v>19</v>
      </c>
      <c r="M892" s="1">
        <v>1092</v>
      </c>
    </row>
    <row r="893" spans="1:13" x14ac:dyDescent="0.35">
      <c r="A893" s="1" t="s">
        <v>1504</v>
      </c>
      <c r="B893" s="2">
        <v>46215</v>
      </c>
      <c r="C893" s="1" t="s">
        <v>740</v>
      </c>
      <c r="D893" s="1" t="s">
        <v>16</v>
      </c>
      <c r="E893" s="1" t="s">
        <v>44</v>
      </c>
      <c r="F893" s="1" t="s">
        <v>28</v>
      </c>
      <c r="G893" s="3">
        <v>0.65625</v>
      </c>
      <c r="H893" s="3">
        <v>0.65208333333333335</v>
      </c>
      <c r="I893" s="1">
        <v>-6</v>
      </c>
      <c r="J893" s="1">
        <v>-6</v>
      </c>
      <c r="K893" s="1" t="s">
        <v>18</v>
      </c>
      <c r="L893" s="1" t="s">
        <v>19</v>
      </c>
      <c r="M893" s="1">
        <v>864</v>
      </c>
    </row>
    <row r="894" spans="1:13" x14ac:dyDescent="0.35">
      <c r="A894" s="1" t="s">
        <v>1505</v>
      </c>
      <c r="B894" s="2">
        <v>46217</v>
      </c>
      <c r="C894" s="1" t="s">
        <v>587</v>
      </c>
      <c r="D894" s="1" t="s">
        <v>23</v>
      </c>
      <c r="E894" s="1" t="s">
        <v>47</v>
      </c>
      <c r="F894" s="1" t="s">
        <v>17</v>
      </c>
      <c r="G894" s="3">
        <v>0.27777777777777779</v>
      </c>
      <c r="H894" s="3">
        <v>0.27986111111111112</v>
      </c>
      <c r="I894" s="1">
        <v>3</v>
      </c>
      <c r="J894" s="1">
        <v>-7</v>
      </c>
      <c r="K894" s="1" t="s">
        <v>18</v>
      </c>
      <c r="L894" s="1" t="s">
        <v>19</v>
      </c>
      <c r="M894" s="1">
        <v>965</v>
      </c>
    </row>
    <row r="895" spans="1:13" x14ac:dyDescent="0.35">
      <c r="A895" s="1" t="s">
        <v>1506</v>
      </c>
      <c r="B895" s="2">
        <v>46217</v>
      </c>
      <c r="C895" s="1" t="s">
        <v>1487</v>
      </c>
      <c r="D895" s="1" t="s">
        <v>555</v>
      </c>
      <c r="E895" s="1" t="s">
        <v>41</v>
      </c>
      <c r="F895" s="1" t="s">
        <v>17</v>
      </c>
      <c r="G895" s="3">
        <v>0.3263888888888889</v>
      </c>
      <c r="H895" s="3">
        <v>0.34236111111111112</v>
      </c>
      <c r="I895" s="1">
        <v>23</v>
      </c>
      <c r="J895" s="1">
        <v>26</v>
      </c>
      <c r="K895" s="1" t="s">
        <v>129</v>
      </c>
      <c r="L895" s="1" t="s">
        <v>19</v>
      </c>
      <c r="M895" s="1">
        <v>1199</v>
      </c>
    </row>
    <row r="896" spans="1:13" x14ac:dyDescent="0.35">
      <c r="A896" s="1" t="s">
        <v>1507</v>
      </c>
      <c r="B896" s="2">
        <v>46217</v>
      </c>
      <c r="C896" s="1" t="s">
        <v>262</v>
      </c>
      <c r="D896" s="1" t="s">
        <v>41</v>
      </c>
      <c r="E896" s="1" t="s">
        <v>78</v>
      </c>
      <c r="F896" s="1" t="s">
        <v>24</v>
      </c>
      <c r="G896" s="3">
        <v>0.61458333333333337</v>
      </c>
      <c r="H896" s="3">
        <v>0.61388888888888893</v>
      </c>
      <c r="I896" s="1">
        <v>-1</v>
      </c>
      <c r="J896" s="1">
        <v>6</v>
      </c>
      <c r="K896" s="1" t="s">
        <v>18</v>
      </c>
      <c r="L896" s="1" t="s">
        <v>19</v>
      </c>
      <c r="M896" s="1">
        <v>1969</v>
      </c>
    </row>
    <row r="897" spans="1:13" x14ac:dyDescent="0.35">
      <c r="A897" s="1" t="s">
        <v>1508</v>
      </c>
      <c r="B897" s="2">
        <v>46217</v>
      </c>
      <c r="C897" s="1" t="s">
        <v>607</v>
      </c>
      <c r="D897" s="1" t="s">
        <v>44</v>
      </c>
      <c r="E897" s="1" t="s">
        <v>16</v>
      </c>
      <c r="F897" s="1" t="s">
        <v>17</v>
      </c>
      <c r="G897" s="3">
        <v>0.74652777777777779</v>
      </c>
      <c r="H897" s="3">
        <v>0.76041666666666663</v>
      </c>
      <c r="I897" s="1">
        <v>20</v>
      </c>
      <c r="J897" s="1">
        <v>20</v>
      </c>
      <c r="K897" s="1" t="s">
        <v>98</v>
      </c>
      <c r="L897" s="1" t="s">
        <v>19</v>
      </c>
      <c r="M897" s="1">
        <v>864</v>
      </c>
    </row>
    <row r="898" spans="1:13" x14ac:dyDescent="0.35">
      <c r="A898" s="1" t="s">
        <v>1509</v>
      </c>
      <c r="B898" s="2">
        <v>46218</v>
      </c>
      <c r="C898" s="1" t="s">
        <v>483</v>
      </c>
      <c r="D898" s="1" t="s">
        <v>15</v>
      </c>
      <c r="E898" s="1" t="s">
        <v>555</v>
      </c>
      <c r="F898" s="1" t="s">
        <v>17</v>
      </c>
      <c r="G898" s="3">
        <v>0.65972222222222221</v>
      </c>
      <c r="H898" s="3">
        <v>0.6645833333333333</v>
      </c>
      <c r="I898" s="1">
        <v>7</v>
      </c>
      <c r="J898" s="1">
        <v>17</v>
      </c>
      <c r="K898" s="1" t="s">
        <v>18</v>
      </c>
      <c r="L898" s="1" t="s">
        <v>19</v>
      </c>
      <c r="M898" s="1">
        <v>1742</v>
      </c>
    </row>
    <row r="899" spans="1:13" x14ac:dyDescent="0.35">
      <c r="A899" s="1" t="s">
        <v>1510</v>
      </c>
      <c r="B899" s="2">
        <v>46219</v>
      </c>
      <c r="C899" s="1" t="s">
        <v>487</v>
      </c>
      <c r="D899" s="1" t="s">
        <v>15</v>
      </c>
      <c r="E899" s="1" t="s">
        <v>50</v>
      </c>
      <c r="F899" s="1" t="s">
        <v>17</v>
      </c>
      <c r="G899" s="3">
        <v>0.40277777777777779</v>
      </c>
      <c r="H899" s="3">
        <v>0.42777777777777781</v>
      </c>
      <c r="I899" s="1">
        <v>36</v>
      </c>
      <c r="J899" s="1">
        <v>41</v>
      </c>
      <c r="K899" s="1" t="s">
        <v>303</v>
      </c>
      <c r="L899" s="1" t="s">
        <v>19</v>
      </c>
      <c r="M899" s="1">
        <v>1942</v>
      </c>
    </row>
    <row r="900" spans="1:13" x14ac:dyDescent="0.35">
      <c r="A900" s="1" t="s">
        <v>1511</v>
      </c>
      <c r="B900" s="2">
        <v>46219</v>
      </c>
      <c r="C900" s="1" t="s">
        <v>1483</v>
      </c>
      <c r="D900" s="1" t="s">
        <v>44</v>
      </c>
      <c r="E900" s="1" t="s">
        <v>23</v>
      </c>
      <c r="F900" s="1" t="s">
        <v>38</v>
      </c>
      <c r="G900" s="3">
        <v>0.59722222222222221</v>
      </c>
      <c r="H900" s="3">
        <v>0.60486111111111107</v>
      </c>
      <c r="I900" s="1">
        <v>11</v>
      </c>
      <c r="J900" s="1">
        <v>5</v>
      </c>
      <c r="K900" s="1" t="s">
        <v>18</v>
      </c>
      <c r="L900" s="1" t="s">
        <v>19</v>
      </c>
      <c r="M900" s="1">
        <v>1749</v>
      </c>
    </row>
    <row r="901" spans="1:13" x14ac:dyDescent="0.35">
      <c r="A901" s="1" t="s">
        <v>1512</v>
      </c>
      <c r="B901" s="2">
        <v>46221</v>
      </c>
      <c r="C901" s="1" t="s">
        <v>835</v>
      </c>
      <c r="D901" s="1" t="s">
        <v>78</v>
      </c>
      <c r="E901" s="1" t="s">
        <v>27</v>
      </c>
      <c r="F901" s="1" t="s">
        <v>17</v>
      </c>
      <c r="G901" s="3">
        <v>0.78819444444444442</v>
      </c>
      <c r="H901" s="3">
        <v>0.79305555555555551</v>
      </c>
      <c r="I901" s="1">
        <v>7</v>
      </c>
      <c r="J901" s="1"/>
      <c r="K901" s="1" t="s">
        <v>18</v>
      </c>
      <c r="L901" s="1" t="s">
        <v>19</v>
      </c>
      <c r="M901" s="1">
        <v>866</v>
      </c>
    </row>
    <row r="902" spans="1:13" x14ac:dyDescent="0.35">
      <c r="A902" s="1" t="s">
        <v>1513</v>
      </c>
      <c r="B902" s="2">
        <v>46221</v>
      </c>
      <c r="C902" s="1" t="s">
        <v>417</v>
      </c>
      <c r="D902" s="1" t="s">
        <v>50</v>
      </c>
      <c r="E902" s="1" t="s">
        <v>47</v>
      </c>
      <c r="F902" s="1" t="s">
        <v>17</v>
      </c>
      <c r="G902" s="3">
        <v>0.79861111111111116</v>
      </c>
      <c r="H902" s="3">
        <v>0.87430555555555556</v>
      </c>
      <c r="I902" s="1">
        <v>109</v>
      </c>
      <c r="J902" s="1">
        <v>116</v>
      </c>
      <c r="K902" s="1" t="s">
        <v>129</v>
      </c>
      <c r="L902" s="1" t="s">
        <v>19</v>
      </c>
      <c r="M902" s="1">
        <v>2134</v>
      </c>
    </row>
    <row r="903" spans="1:13" x14ac:dyDescent="0.35">
      <c r="A903" s="1" t="s">
        <v>1514</v>
      </c>
      <c r="B903" s="2">
        <v>46223</v>
      </c>
      <c r="C903" s="1" t="s">
        <v>1195</v>
      </c>
      <c r="D903" s="1" t="s">
        <v>50</v>
      </c>
      <c r="E903" s="1" t="s">
        <v>1171</v>
      </c>
      <c r="F903" s="1" t="s">
        <v>28</v>
      </c>
      <c r="G903" s="3">
        <v>0.25</v>
      </c>
      <c r="H903" s="3">
        <v>0.24444444444444441</v>
      </c>
      <c r="I903" s="1">
        <v>-8</v>
      </c>
      <c r="J903" s="1">
        <v>-5</v>
      </c>
      <c r="K903" s="1" t="s">
        <v>18</v>
      </c>
      <c r="L903" s="1" t="s">
        <v>19</v>
      </c>
      <c r="M903" s="1">
        <v>1584</v>
      </c>
    </row>
    <row r="904" spans="1:13" x14ac:dyDescent="0.35">
      <c r="A904" s="1" t="s">
        <v>1515</v>
      </c>
      <c r="B904" s="2">
        <v>46223</v>
      </c>
      <c r="C904" s="1" t="s">
        <v>603</v>
      </c>
      <c r="D904" s="1" t="s">
        <v>44</v>
      </c>
      <c r="E904" s="1" t="s">
        <v>50</v>
      </c>
      <c r="F904" s="1" t="s">
        <v>24</v>
      </c>
      <c r="G904" s="3">
        <v>0.2638888888888889</v>
      </c>
      <c r="H904" s="3">
        <v>0.26597222222222222</v>
      </c>
      <c r="I904" s="1">
        <v>3</v>
      </c>
      <c r="J904" s="1">
        <v>-5</v>
      </c>
      <c r="K904" s="1" t="s">
        <v>18</v>
      </c>
      <c r="L904" s="1" t="s">
        <v>19</v>
      </c>
      <c r="M904" s="1">
        <v>945</v>
      </c>
    </row>
    <row r="905" spans="1:13" x14ac:dyDescent="0.35">
      <c r="A905" s="1" t="s">
        <v>1516</v>
      </c>
      <c r="B905" s="2">
        <v>46223</v>
      </c>
      <c r="C905" s="1" t="s">
        <v>1077</v>
      </c>
      <c r="D905" s="1" t="s">
        <v>16</v>
      </c>
      <c r="E905" s="1" t="s">
        <v>15</v>
      </c>
      <c r="F905" s="1" t="s">
        <v>38</v>
      </c>
      <c r="G905" s="3">
        <v>0.47569444444444442</v>
      </c>
      <c r="H905" s="3">
        <v>0.48333333333333328</v>
      </c>
      <c r="I905" s="1">
        <v>11</v>
      </c>
      <c r="J905" s="1">
        <v>11</v>
      </c>
      <c r="K905" s="1"/>
      <c r="L905" s="1" t="s">
        <v>19</v>
      </c>
      <c r="M905" s="1">
        <v>1742</v>
      </c>
    </row>
    <row r="906" spans="1:13" x14ac:dyDescent="0.35">
      <c r="A906" s="1" t="s">
        <v>1517</v>
      </c>
      <c r="B906" s="2">
        <v>46223</v>
      </c>
      <c r="C906" s="1" t="s">
        <v>1518</v>
      </c>
      <c r="D906" s="1" t="s">
        <v>16</v>
      </c>
      <c r="E906" s="1" t="s">
        <v>31</v>
      </c>
      <c r="F906" s="1" t="s">
        <v>17</v>
      </c>
      <c r="G906" s="3">
        <v>0.54513888888888884</v>
      </c>
      <c r="H906" s="3">
        <v>0.56805555555555554</v>
      </c>
      <c r="I906" s="1">
        <v>33</v>
      </c>
      <c r="J906" s="1">
        <v>31</v>
      </c>
      <c r="K906" s="1" t="s">
        <v>319</v>
      </c>
      <c r="L906" s="1" t="s">
        <v>19</v>
      </c>
      <c r="M906" s="1">
        <v>1511</v>
      </c>
    </row>
    <row r="907" spans="1:13" x14ac:dyDescent="0.35">
      <c r="A907" s="1" t="s">
        <v>1519</v>
      </c>
      <c r="B907" s="2">
        <v>46223</v>
      </c>
      <c r="C907" s="1" t="s">
        <v>789</v>
      </c>
      <c r="D907" s="1" t="s">
        <v>50</v>
      </c>
      <c r="E907" s="1" t="s">
        <v>23</v>
      </c>
      <c r="F907" s="1" t="s">
        <v>17</v>
      </c>
      <c r="G907" s="3">
        <v>0.69791666666666663</v>
      </c>
      <c r="H907" s="3">
        <v>0.7006944444444444</v>
      </c>
      <c r="I907" s="1">
        <v>4</v>
      </c>
      <c r="J907" s="1">
        <v>6</v>
      </c>
      <c r="K907" s="1" t="s">
        <v>18</v>
      </c>
      <c r="L907" s="1" t="s">
        <v>19</v>
      </c>
      <c r="M907" s="1">
        <v>1197</v>
      </c>
    </row>
    <row r="908" spans="1:13" x14ac:dyDescent="0.35">
      <c r="A908" s="1" t="s">
        <v>1520</v>
      </c>
      <c r="B908" s="2">
        <v>46224</v>
      </c>
      <c r="C908" s="1" t="s">
        <v>1521</v>
      </c>
      <c r="D908" s="1" t="s">
        <v>16</v>
      </c>
      <c r="E908" s="1" t="s">
        <v>15</v>
      </c>
      <c r="F908" s="1" t="s">
        <v>17</v>
      </c>
      <c r="G908" s="3">
        <v>0.69444444444444442</v>
      </c>
      <c r="H908" s="3">
        <v>0.69236111111111109</v>
      </c>
      <c r="I908" s="1">
        <v>-3</v>
      </c>
      <c r="J908" s="1">
        <v>7</v>
      </c>
      <c r="K908" s="1"/>
      <c r="L908" s="1" t="s">
        <v>19</v>
      </c>
      <c r="M908" s="1">
        <v>1742</v>
      </c>
    </row>
    <row r="909" spans="1:13" x14ac:dyDescent="0.35">
      <c r="A909" s="1" t="s">
        <v>1522</v>
      </c>
      <c r="B909" s="2">
        <v>46225</v>
      </c>
      <c r="C909" s="1" t="s">
        <v>654</v>
      </c>
      <c r="D909" s="1" t="s">
        <v>50</v>
      </c>
      <c r="E909" s="1" t="s">
        <v>15</v>
      </c>
      <c r="F909" s="1" t="s">
        <v>17</v>
      </c>
      <c r="G909" s="3">
        <v>0.24305555555555561</v>
      </c>
      <c r="H909" s="3">
        <v>0.24236111111111111</v>
      </c>
      <c r="I909" s="1">
        <v>-1</v>
      </c>
      <c r="J909" s="1">
        <v>1</v>
      </c>
      <c r="K909" s="1"/>
      <c r="L909" s="1" t="s">
        <v>19</v>
      </c>
      <c r="M909" s="1">
        <v>1942</v>
      </c>
    </row>
    <row r="910" spans="1:13" x14ac:dyDescent="0.35">
      <c r="A910" s="1" t="s">
        <v>1523</v>
      </c>
      <c r="B910" s="2">
        <v>46225</v>
      </c>
      <c r="C910" s="1" t="s">
        <v>1524</v>
      </c>
      <c r="D910" s="1" t="s">
        <v>22</v>
      </c>
      <c r="E910" s="1" t="s">
        <v>78</v>
      </c>
      <c r="F910" s="1" t="s">
        <v>28</v>
      </c>
      <c r="G910" s="3">
        <v>0.28819444444444442</v>
      </c>
      <c r="H910" s="3">
        <v>0.28472222222222221</v>
      </c>
      <c r="I910" s="1">
        <v>-5</v>
      </c>
      <c r="J910" s="1">
        <v>-13</v>
      </c>
      <c r="K910" s="1"/>
      <c r="L910" s="1" t="s">
        <v>19</v>
      </c>
      <c r="M910" s="1">
        <v>2149</v>
      </c>
    </row>
    <row r="911" spans="1:13" x14ac:dyDescent="0.35">
      <c r="A911" s="1" t="s">
        <v>1525</v>
      </c>
      <c r="B911" s="2">
        <v>46225</v>
      </c>
      <c r="C911" s="1" t="s">
        <v>1526</v>
      </c>
      <c r="D911" s="1" t="s">
        <v>15</v>
      </c>
      <c r="E911" s="1" t="s">
        <v>50</v>
      </c>
      <c r="F911" s="1" t="s">
        <v>38</v>
      </c>
      <c r="G911" s="3">
        <v>0.375</v>
      </c>
      <c r="H911" s="3">
        <v>0.45347222222222222</v>
      </c>
      <c r="I911" s="1">
        <v>113</v>
      </c>
      <c r="J911" s="1">
        <v>105</v>
      </c>
      <c r="K911" s="1" t="s">
        <v>617</v>
      </c>
      <c r="L911" s="1" t="s">
        <v>19</v>
      </c>
      <c r="M911" s="1">
        <v>1942</v>
      </c>
    </row>
    <row r="912" spans="1:13" x14ac:dyDescent="0.35">
      <c r="A912" s="1" t="s">
        <v>1527</v>
      </c>
      <c r="B912" s="2">
        <v>46225</v>
      </c>
      <c r="C912" s="1" t="s">
        <v>1503</v>
      </c>
      <c r="D912" s="1" t="s">
        <v>44</v>
      </c>
      <c r="E912" s="1" t="s">
        <v>50</v>
      </c>
      <c r="F912" s="1" t="s">
        <v>17</v>
      </c>
      <c r="G912" s="3">
        <v>0.47916666666666669</v>
      </c>
      <c r="H912" s="1"/>
      <c r="I912" s="1">
        <v>158</v>
      </c>
      <c r="J912" s="1">
        <v>149</v>
      </c>
      <c r="K912" s="1" t="s">
        <v>477</v>
      </c>
      <c r="L912" s="1" t="s">
        <v>19</v>
      </c>
      <c r="M912" s="1">
        <v>945</v>
      </c>
    </row>
    <row r="913" spans="1:13" x14ac:dyDescent="0.35">
      <c r="A913" s="1" t="s">
        <v>1528</v>
      </c>
      <c r="B913" s="2">
        <v>46225</v>
      </c>
      <c r="C913" s="1" t="s">
        <v>378</v>
      </c>
      <c r="D913" s="1" t="s">
        <v>50</v>
      </c>
      <c r="E913" s="1" t="s">
        <v>22</v>
      </c>
      <c r="F913" s="1" t="s">
        <v>38</v>
      </c>
      <c r="G913" s="3">
        <v>0.625</v>
      </c>
      <c r="H913" s="1"/>
      <c r="I913" s="1"/>
      <c r="J913" s="1"/>
      <c r="K913" s="1" t="s">
        <v>129</v>
      </c>
      <c r="L913" s="1" t="s">
        <v>254</v>
      </c>
      <c r="M913" s="1">
        <v>759</v>
      </c>
    </row>
    <row r="914" spans="1:13" x14ac:dyDescent="0.35">
      <c r="A914" s="1" t="s">
        <v>1529</v>
      </c>
      <c r="B914" s="2">
        <v>46227</v>
      </c>
      <c r="C914" s="1" t="s">
        <v>383</v>
      </c>
      <c r="D914" s="1" t="s">
        <v>50</v>
      </c>
      <c r="E914" s="1" t="s">
        <v>22</v>
      </c>
      <c r="F914" s="1" t="s">
        <v>24</v>
      </c>
      <c r="G914" s="3">
        <v>0.5625</v>
      </c>
      <c r="H914" s="3">
        <v>0.57361111111111107</v>
      </c>
      <c r="I914" s="1">
        <v>16</v>
      </c>
      <c r="J914" s="1">
        <v>20</v>
      </c>
      <c r="K914" s="1" t="s">
        <v>174</v>
      </c>
      <c r="L914" s="1" t="s">
        <v>19</v>
      </c>
      <c r="M914" s="1">
        <v>759</v>
      </c>
    </row>
    <row r="915" spans="1:13" x14ac:dyDescent="0.35">
      <c r="A915" s="1" t="s">
        <v>1530</v>
      </c>
      <c r="B915" s="2">
        <v>46227</v>
      </c>
      <c r="C915" s="1" t="s">
        <v>1531</v>
      </c>
      <c r="D915" s="1" t="s">
        <v>44</v>
      </c>
      <c r="E915" s="1" t="s">
        <v>16</v>
      </c>
      <c r="F915" s="1" t="s">
        <v>17</v>
      </c>
      <c r="G915" s="3">
        <v>0.67708333333333337</v>
      </c>
      <c r="H915" s="3">
        <v>0.67847222222222225</v>
      </c>
      <c r="I915" s="1">
        <v>2</v>
      </c>
      <c r="J915" s="1">
        <v>4</v>
      </c>
      <c r="K915" s="1" t="s">
        <v>18</v>
      </c>
      <c r="L915" s="1" t="s">
        <v>19</v>
      </c>
      <c r="M915" s="1">
        <v>864</v>
      </c>
    </row>
    <row r="916" spans="1:13" x14ac:dyDescent="0.35">
      <c r="A916" s="1" t="s">
        <v>1532</v>
      </c>
      <c r="B916" s="2">
        <v>46228</v>
      </c>
      <c r="C916" s="1" t="s">
        <v>100</v>
      </c>
      <c r="D916" s="1" t="s">
        <v>22</v>
      </c>
      <c r="E916" s="1" t="s">
        <v>41</v>
      </c>
      <c r="F916" s="1" t="s">
        <v>24</v>
      </c>
      <c r="G916" s="3">
        <v>0.2361111111111111</v>
      </c>
      <c r="H916" s="3">
        <v>0.25972222222222219</v>
      </c>
      <c r="I916" s="1">
        <v>34</v>
      </c>
      <c r="J916" s="1">
        <v>28</v>
      </c>
      <c r="K916" s="1" t="s">
        <v>617</v>
      </c>
      <c r="L916" s="1" t="s">
        <v>19</v>
      </c>
      <c r="M916" s="1">
        <v>1092</v>
      </c>
    </row>
    <row r="917" spans="1:13" x14ac:dyDescent="0.35">
      <c r="A917" s="1" t="s">
        <v>1533</v>
      </c>
      <c r="B917" s="2">
        <v>46228</v>
      </c>
      <c r="C917" s="1" t="s">
        <v>847</v>
      </c>
      <c r="D917" s="1" t="s">
        <v>50</v>
      </c>
      <c r="E917" s="1" t="s">
        <v>16</v>
      </c>
      <c r="F917" s="1" t="s">
        <v>17</v>
      </c>
      <c r="G917" s="3">
        <v>0.46875</v>
      </c>
      <c r="H917" s="3">
        <v>0.46666666666666667</v>
      </c>
      <c r="I917" s="1">
        <v>-3</v>
      </c>
      <c r="J917" s="1">
        <v>-4</v>
      </c>
      <c r="K917" s="1" t="s">
        <v>18</v>
      </c>
      <c r="L917" s="1" t="s">
        <v>19</v>
      </c>
      <c r="M917" s="1">
        <v>606</v>
      </c>
    </row>
    <row r="918" spans="1:13" x14ac:dyDescent="0.35">
      <c r="A918" s="1" t="s">
        <v>1534</v>
      </c>
      <c r="B918" s="2">
        <v>46228</v>
      </c>
      <c r="C918" s="1" t="s">
        <v>837</v>
      </c>
      <c r="D918" s="1" t="s">
        <v>78</v>
      </c>
      <c r="E918" s="1" t="s">
        <v>16</v>
      </c>
      <c r="F918" s="1" t="s">
        <v>38</v>
      </c>
      <c r="G918" s="3">
        <v>0.53125</v>
      </c>
      <c r="H918" s="3">
        <v>0.56805555555555554</v>
      </c>
      <c r="I918" s="1">
        <v>53</v>
      </c>
      <c r="J918" s="1">
        <v>38</v>
      </c>
      <c r="K918" s="1" t="s">
        <v>174</v>
      </c>
      <c r="L918" s="1" t="s">
        <v>19</v>
      </c>
      <c r="M918" s="1">
        <v>1438</v>
      </c>
    </row>
    <row r="919" spans="1:13" x14ac:dyDescent="0.35">
      <c r="A919" s="1" t="s">
        <v>1535</v>
      </c>
      <c r="B919" s="2">
        <v>46229</v>
      </c>
      <c r="C919" s="1" t="s">
        <v>1536</v>
      </c>
      <c r="D919" s="1" t="s">
        <v>16</v>
      </c>
      <c r="E919" s="1" t="s">
        <v>31</v>
      </c>
      <c r="F919" s="1" t="s">
        <v>24</v>
      </c>
      <c r="G919" s="3">
        <v>0.42708333333333331</v>
      </c>
      <c r="H919" s="3">
        <v>0.4465277777777778</v>
      </c>
      <c r="I919" s="1">
        <v>28</v>
      </c>
      <c r="J919" s="1"/>
      <c r="K919" s="1" t="s">
        <v>60</v>
      </c>
      <c r="L919" s="1" t="s">
        <v>19</v>
      </c>
      <c r="M919" s="1">
        <v>1511</v>
      </c>
    </row>
    <row r="920" spans="1:13" x14ac:dyDescent="0.35">
      <c r="A920" s="1" t="s">
        <v>1537</v>
      </c>
      <c r="B920" s="2">
        <v>46229</v>
      </c>
      <c r="C920" s="1" t="s">
        <v>942</v>
      </c>
      <c r="D920" s="1" t="s">
        <v>328</v>
      </c>
      <c r="E920" s="1" t="s">
        <v>27</v>
      </c>
      <c r="F920" s="1" t="s">
        <v>17</v>
      </c>
      <c r="G920" s="3">
        <v>0.70138888888888884</v>
      </c>
      <c r="H920" s="3">
        <v>0.70694444444444449</v>
      </c>
      <c r="I920" s="1">
        <v>8</v>
      </c>
      <c r="J920" s="1">
        <v>9</v>
      </c>
      <c r="K920" s="1" t="s">
        <v>18</v>
      </c>
      <c r="L920" s="1" t="s">
        <v>19</v>
      </c>
      <c r="M920" s="1">
        <v>1389</v>
      </c>
    </row>
    <row r="921" spans="1:13" x14ac:dyDescent="0.35">
      <c r="A921" s="1" t="s">
        <v>1538</v>
      </c>
      <c r="B921" s="2">
        <v>46229</v>
      </c>
      <c r="C921" s="1" t="s">
        <v>1105</v>
      </c>
      <c r="D921" s="1" t="s">
        <v>50</v>
      </c>
      <c r="E921" s="1" t="s">
        <v>31</v>
      </c>
      <c r="F921" s="1" t="s">
        <v>17</v>
      </c>
      <c r="G921" s="3">
        <v>0.77777777777777779</v>
      </c>
      <c r="H921" s="3">
        <v>0.77847222222222223</v>
      </c>
      <c r="I921" s="1">
        <v>1</v>
      </c>
      <c r="J921" s="1">
        <v>5</v>
      </c>
      <c r="K921" s="1" t="s">
        <v>18</v>
      </c>
      <c r="L921" s="1" t="s">
        <v>19</v>
      </c>
      <c r="M921" s="1">
        <v>1743</v>
      </c>
    </row>
    <row r="922" spans="1:13" x14ac:dyDescent="0.35">
      <c r="A922" s="1" t="s">
        <v>1539</v>
      </c>
      <c r="B922" s="2">
        <v>46230</v>
      </c>
      <c r="C922" s="1" t="s">
        <v>21</v>
      </c>
      <c r="D922" s="1" t="s">
        <v>123</v>
      </c>
      <c r="E922" s="1" t="s">
        <v>41</v>
      </c>
      <c r="F922" s="1" t="s">
        <v>24</v>
      </c>
      <c r="G922" s="3">
        <v>0.52083333333333337</v>
      </c>
      <c r="H922" s="3">
        <v>0.53194444444444444</v>
      </c>
      <c r="I922" s="1">
        <v>16</v>
      </c>
      <c r="J922" s="1">
        <v>8</v>
      </c>
      <c r="K922" s="1" t="s">
        <v>174</v>
      </c>
      <c r="L922" s="1" t="s">
        <v>19</v>
      </c>
      <c r="M922" s="1">
        <v>596</v>
      </c>
    </row>
    <row r="923" spans="1:13" x14ac:dyDescent="0.35">
      <c r="A923" s="1" t="s">
        <v>1540</v>
      </c>
      <c r="B923" s="2">
        <v>46230</v>
      </c>
      <c r="C923" s="1" t="s">
        <v>1343</v>
      </c>
      <c r="D923" s="1" t="s">
        <v>50</v>
      </c>
      <c r="E923" s="1" t="s">
        <v>27</v>
      </c>
      <c r="F923" s="1" t="s">
        <v>28</v>
      </c>
      <c r="G923" s="3">
        <v>0.53125</v>
      </c>
      <c r="H923" s="3">
        <v>0.52638888888888891</v>
      </c>
      <c r="I923" s="1">
        <v>-7</v>
      </c>
      <c r="J923" s="1"/>
      <c r="K923" s="1"/>
      <c r="L923" s="1" t="s">
        <v>19</v>
      </c>
      <c r="M923" s="1">
        <v>730</v>
      </c>
    </row>
    <row r="924" spans="1:13" x14ac:dyDescent="0.35">
      <c r="A924" s="1" t="s">
        <v>1541</v>
      </c>
      <c r="B924" s="2">
        <v>46230</v>
      </c>
      <c r="C924" s="1" t="s">
        <v>90</v>
      </c>
      <c r="D924" s="1" t="s">
        <v>27</v>
      </c>
      <c r="E924" s="1" t="s">
        <v>126</v>
      </c>
      <c r="F924" s="1" t="s">
        <v>17</v>
      </c>
      <c r="G924" s="3">
        <v>0.68402777777777779</v>
      </c>
      <c r="H924" s="3">
        <v>0.67986111111111114</v>
      </c>
      <c r="I924" s="1">
        <v>-600</v>
      </c>
      <c r="J924" s="1">
        <v>-14</v>
      </c>
      <c r="K924" s="1" t="s">
        <v>18</v>
      </c>
      <c r="L924" s="1" t="s">
        <v>19</v>
      </c>
      <c r="M924" s="1">
        <v>1053</v>
      </c>
    </row>
    <row r="925" spans="1:13" x14ac:dyDescent="0.35">
      <c r="A925" s="1" t="s">
        <v>1542</v>
      </c>
      <c r="B925" s="2">
        <v>46230</v>
      </c>
      <c r="C925" s="1" t="s">
        <v>1543</v>
      </c>
      <c r="D925" s="1" t="s">
        <v>50</v>
      </c>
      <c r="E925" s="1" t="s">
        <v>22</v>
      </c>
      <c r="F925" s="1" t="s">
        <v>28</v>
      </c>
      <c r="G925" s="3">
        <v>0.90972222222222221</v>
      </c>
      <c r="H925" s="3">
        <v>0.90486111111111112</v>
      </c>
      <c r="I925" s="1">
        <v>-7</v>
      </c>
      <c r="J925" s="1">
        <v>-3</v>
      </c>
      <c r="K925" s="1" t="s">
        <v>18</v>
      </c>
      <c r="L925" s="1" t="s">
        <v>19</v>
      </c>
      <c r="M925" s="1">
        <v>759</v>
      </c>
    </row>
    <row r="926" spans="1:13" x14ac:dyDescent="0.35">
      <c r="A926" s="1" t="s">
        <v>1544</v>
      </c>
      <c r="B926" s="2">
        <v>46231</v>
      </c>
      <c r="C926" s="1" t="s">
        <v>1545</v>
      </c>
      <c r="D926" s="1" t="s">
        <v>44</v>
      </c>
      <c r="E926" s="1" t="s">
        <v>41</v>
      </c>
      <c r="F926" s="1" t="s">
        <v>38</v>
      </c>
      <c r="G926" s="3">
        <v>0.28125</v>
      </c>
      <c r="H926" s="3">
        <v>0.28333333333333333</v>
      </c>
      <c r="I926" s="1">
        <v>3</v>
      </c>
      <c r="J926" s="1">
        <v>0</v>
      </c>
      <c r="K926" s="1" t="s">
        <v>18</v>
      </c>
      <c r="L926" s="1" t="s">
        <v>19</v>
      </c>
      <c r="M926" s="1">
        <v>1260</v>
      </c>
    </row>
    <row r="927" spans="1:13" x14ac:dyDescent="0.35">
      <c r="A927" s="1" t="s">
        <v>1546</v>
      </c>
      <c r="B927" s="2">
        <v>46231</v>
      </c>
      <c r="C927" s="1" t="s">
        <v>1547</v>
      </c>
      <c r="D927" s="1" t="s">
        <v>15</v>
      </c>
      <c r="E927" s="1" t="s">
        <v>23</v>
      </c>
      <c r="F927" s="1" t="s">
        <v>28</v>
      </c>
      <c r="G927" s="3">
        <v>0.34375</v>
      </c>
      <c r="H927" s="3">
        <v>0.35</v>
      </c>
      <c r="I927" s="1">
        <v>9</v>
      </c>
      <c r="J927" s="1">
        <v>-2</v>
      </c>
      <c r="K927" s="1" t="s">
        <v>18</v>
      </c>
      <c r="L927" s="1" t="s">
        <v>19</v>
      </c>
      <c r="M927" s="1">
        <v>861</v>
      </c>
    </row>
    <row r="928" spans="1:13" x14ac:dyDescent="0.35">
      <c r="A928" s="1" t="s">
        <v>1548</v>
      </c>
      <c r="B928" s="2">
        <v>46231</v>
      </c>
      <c r="C928" s="1" t="s">
        <v>66</v>
      </c>
      <c r="D928" s="1" t="s">
        <v>1549</v>
      </c>
      <c r="E928" s="1" t="s">
        <v>41</v>
      </c>
      <c r="F928" s="1" t="s">
        <v>38</v>
      </c>
      <c r="G928" s="3">
        <v>0.53819444444444442</v>
      </c>
      <c r="H928" s="3">
        <v>0.53611111111111109</v>
      </c>
      <c r="I928" s="1">
        <v>-3</v>
      </c>
      <c r="J928" s="1">
        <v>6</v>
      </c>
      <c r="K928" s="1"/>
      <c r="L928" s="1" t="s">
        <v>19</v>
      </c>
      <c r="M928" s="1">
        <v>1260</v>
      </c>
    </row>
    <row r="929" spans="1:13" x14ac:dyDescent="0.35">
      <c r="A929" s="1" t="s">
        <v>1550</v>
      </c>
      <c r="B929" s="2">
        <v>46231</v>
      </c>
      <c r="C929" s="1" t="s">
        <v>1551</v>
      </c>
      <c r="D929" s="1" t="s">
        <v>31</v>
      </c>
      <c r="E929" s="1" t="s">
        <v>15</v>
      </c>
      <c r="F929" s="1" t="s">
        <v>24</v>
      </c>
      <c r="G929" s="3">
        <v>0.85069444444444442</v>
      </c>
      <c r="H929" s="3">
        <v>0.85</v>
      </c>
      <c r="I929" s="1">
        <v>-1</v>
      </c>
      <c r="J929" s="1">
        <v>-11</v>
      </c>
      <c r="K929" s="1" t="s">
        <v>18</v>
      </c>
      <c r="L929" s="1" t="s">
        <v>19</v>
      </c>
      <c r="M929" s="1">
        <v>236</v>
      </c>
    </row>
    <row r="930" spans="1:13" x14ac:dyDescent="0.35">
      <c r="A930" s="1" t="s">
        <v>1552</v>
      </c>
      <c r="B930" s="2">
        <v>46231</v>
      </c>
      <c r="C930" s="1" t="s">
        <v>406</v>
      </c>
      <c r="D930" s="1" t="s">
        <v>23</v>
      </c>
      <c r="E930" s="1" t="s">
        <v>15</v>
      </c>
      <c r="F930" s="1" t="s">
        <v>17</v>
      </c>
      <c r="G930" s="3">
        <v>0.91319444444444442</v>
      </c>
      <c r="H930" s="3">
        <v>0.96458333333333335</v>
      </c>
      <c r="I930" s="1">
        <v>74</v>
      </c>
      <c r="J930" s="1">
        <v>72</v>
      </c>
      <c r="K930" s="1" t="s">
        <v>54</v>
      </c>
      <c r="L930" s="1" t="s">
        <v>19</v>
      </c>
      <c r="M930" s="1">
        <v>861</v>
      </c>
    </row>
    <row r="931" spans="1:13" x14ac:dyDescent="0.35">
      <c r="A931" s="1" t="s">
        <v>1553</v>
      </c>
      <c r="B931" s="2">
        <v>46232</v>
      </c>
      <c r="C931" s="1" t="s">
        <v>1554</v>
      </c>
      <c r="D931" s="1" t="s">
        <v>22</v>
      </c>
      <c r="E931" s="1" t="s">
        <v>15</v>
      </c>
      <c r="F931" s="1" t="s">
        <v>38</v>
      </c>
      <c r="G931" s="3">
        <v>0.71527777777777779</v>
      </c>
      <c r="H931" s="3">
        <v>0.71319444444444446</v>
      </c>
      <c r="I931" s="1">
        <v>-3</v>
      </c>
      <c r="J931" s="1">
        <v>-8</v>
      </c>
      <c r="K931" s="1" t="s">
        <v>18</v>
      </c>
      <c r="L931" s="1" t="s">
        <v>19</v>
      </c>
      <c r="M931" s="1">
        <v>2470</v>
      </c>
    </row>
    <row r="932" spans="1:13" x14ac:dyDescent="0.35">
      <c r="A932" s="1" t="s">
        <v>1555</v>
      </c>
      <c r="B932" s="2">
        <v>46232</v>
      </c>
      <c r="C932" s="1" t="s">
        <v>567</v>
      </c>
      <c r="D932" s="1" t="s">
        <v>41</v>
      </c>
      <c r="E932" s="1" t="s">
        <v>16</v>
      </c>
      <c r="F932" s="1" t="s">
        <v>28</v>
      </c>
      <c r="G932" s="3">
        <v>0.91319444444444442</v>
      </c>
      <c r="H932" s="3">
        <v>0.91180555555555554</v>
      </c>
      <c r="I932" s="1">
        <v>-2</v>
      </c>
      <c r="J932" s="1">
        <v>-6</v>
      </c>
      <c r="K932" s="1" t="s">
        <v>18</v>
      </c>
      <c r="L932" s="1" t="s">
        <v>19</v>
      </c>
      <c r="M932" s="1">
        <v>1199</v>
      </c>
    </row>
    <row r="933" spans="1:13" x14ac:dyDescent="0.35">
      <c r="A933" s="1" t="s">
        <v>1556</v>
      </c>
      <c r="B933" s="2">
        <v>46232</v>
      </c>
      <c r="C933" s="1" t="s">
        <v>1557</v>
      </c>
      <c r="D933" s="1" t="s">
        <v>32</v>
      </c>
      <c r="E933" s="1" t="s">
        <v>23</v>
      </c>
      <c r="F933" s="1" t="s">
        <v>28</v>
      </c>
      <c r="G933" s="3">
        <v>0.93402777777777779</v>
      </c>
      <c r="H933" s="3">
        <v>0.93680555555555556</v>
      </c>
      <c r="I933" s="1">
        <v>4</v>
      </c>
      <c r="J933" s="1">
        <v>-4</v>
      </c>
      <c r="K933" s="1" t="s">
        <v>18</v>
      </c>
      <c r="L933" s="1" t="s">
        <v>19</v>
      </c>
      <c r="M933" s="1">
        <v>1622</v>
      </c>
    </row>
    <row r="934" spans="1:13" x14ac:dyDescent="0.35">
      <c r="A934" s="1" t="s">
        <v>1558</v>
      </c>
      <c r="B934" s="2">
        <v>46233</v>
      </c>
      <c r="C934" s="1" t="s">
        <v>394</v>
      </c>
      <c r="D934" s="1" t="s">
        <v>41</v>
      </c>
      <c r="E934" s="1" t="s">
        <v>16</v>
      </c>
      <c r="F934" s="1" t="s">
        <v>17</v>
      </c>
      <c r="G934" s="3">
        <v>0.32291666666666669</v>
      </c>
      <c r="H934" s="3">
        <v>0.32500000000000001</v>
      </c>
      <c r="I934" s="1">
        <v>3</v>
      </c>
      <c r="J934" s="1">
        <v>-7</v>
      </c>
      <c r="K934" s="1" t="s">
        <v>18</v>
      </c>
      <c r="L934" s="1" t="s">
        <v>19</v>
      </c>
      <c r="M934" s="1">
        <v>1199</v>
      </c>
    </row>
    <row r="935" spans="1:13" x14ac:dyDescent="0.35">
      <c r="A935" s="1" t="s">
        <v>1559</v>
      </c>
      <c r="B935" s="2">
        <v>46233</v>
      </c>
      <c r="C935" s="1" t="s">
        <v>1560</v>
      </c>
      <c r="D935" s="1" t="s">
        <v>44</v>
      </c>
      <c r="E935" s="1" t="s">
        <v>41</v>
      </c>
      <c r="F935" s="1" t="s">
        <v>28</v>
      </c>
      <c r="G935" s="3">
        <v>0.67708333333333337</v>
      </c>
      <c r="H935" s="3">
        <v>0.69236111111111109</v>
      </c>
      <c r="I935" s="1">
        <v>22</v>
      </c>
      <c r="J935" s="1">
        <v>16</v>
      </c>
      <c r="K935" s="1" t="s">
        <v>174</v>
      </c>
      <c r="L935" s="1" t="s">
        <v>19</v>
      </c>
      <c r="M935" s="1">
        <v>1260</v>
      </c>
    </row>
    <row r="936" spans="1:13" x14ac:dyDescent="0.35">
      <c r="A936" s="1" t="s">
        <v>1561</v>
      </c>
      <c r="B936" s="2">
        <v>46234</v>
      </c>
      <c r="C936" s="1" t="s">
        <v>1562</v>
      </c>
      <c r="D936" s="1" t="s">
        <v>22</v>
      </c>
      <c r="E936" s="1" t="s">
        <v>16</v>
      </c>
      <c r="F936" s="1" t="s">
        <v>28</v>
      </c>
      <c r="G936" s="3">
        <v>0.27083333333333331</v>
      </c>
      <c r="H936" s="3">
        <v>0.2673611111111111</v>
      </c>
      <c r="I936" s="1">
        <v>-5</v>
      </c>
      <c r="J936" s="1">
        <v>-3</v>
      </c>
      <c r="K936" s="1" t="s">
        <v>18</v>
      </c>
      <c r="L936" s="1" t="s">
        <v>19</v>
      </c>
      <c r="M936" s="1">
        <v>738</v>
      </c>
    </row>
    <row r="937" spans="1:13" x14ac:dyDescent="0.35">
      <c r="A937" s="1" t="s">
        <v>1563</v>
      </c>
      <c r="B937" s="2">
        <v>46234</v>
      </c>
      <c r="C937" s="1" t="s">
        <v>316</v>
      </c>
      <c r="D937" s="1" t="s">
        <v>16</v>
      </c>
      <c r="E937" s="1" t="s">
        <v>44</v>
      </c>
      <c r="F937" s="1" t="s">
        <v>17</v>
      </c>
      <c r="G937" s="3">
        <v>0.69791666666666663</v>
      </c>
      <c r="H937" s="3">
        <v>0.75277777777777777</v>
      </c>
      <c r="I937" s="1">
        <v>79</v>
      </c>
      <c r="J937" s="1">
        <v>84</v>
      </c>
      <c r="K937" s="1" t="s">
        <v>174</v>
      </c>
      <c r="L937" s="1" t="s">
        <v>19</v>
      </c>
      <c r="M937" s="1">
        <v>864</v>
      </c>
    </row>
    <row r="938" spans="1:13" x14ac:dyDescent="0.35">
      <c r="A938" s="1" t="s">
        <v>1564</v>
      </c>
      <c r="B938" s="2">
        <v>46235</v>
      </c>
      <c r="C938" s="1" t="s">
        <v>682</v>
      </c>
      <c r="D938" s="1" t="s">
        <v>44</v>
      </c>
      <c r="E938" s="1" t="s">
        <v>27</v>
      </c>
      <c r="F938" s="1" t="s">
        <v>38</v>
      </c>
      <c r="G938" s="3">
        <v>0.5</v>
      </c>
      <c r="H938" s="3">
        <v>0.50208333333333333</v>
      </c>
      <c r="I938" s="1">
        <v>3</v>
      </c>
      <c r="J938" s="1">
        <v>8</v>
      </c>
      <c r="K938" s="1" t="s">
        <v>18</v>
      </c>
      <c r="L938" s="1" t="s">
        <v>19</v>
      </c>
      <c r="M938" s="1">
        <v>1559</v>
      </c>
    </row>
    <row r="939" spans="1:13" x14ac:dyDescent="0.35">
      <c r="A939" s="1" t="s">
        <v>1565</v>
      </c>
      <c r="B939" s="2">
        <v>46235</v>
      </c>
      <c r="C939" s="1" t="s">
        <v>512</v>
      </c>
      <c r="D939" s="1" t="s">
        <v>50</v>
      </c>
      <c r="E939" s="1" t="s">
        <v>16</v>
      </c>
      <c r="F939" s="1" t="s">
        <v>24</v>
      </c>
      <c r="G939" s="3">
        <v>0.64930555555555558</v>
      </c>
      <c r="H939" s="3">
        <v>0.65069444444444446</v>
      </c>
      <c r="I939" s="1">
        <v>2</v>
      </c>
      <c r="J939" s="1">
        <v>-2</v>
      </c>
      <c r="K939" s="1" t="s">
        <v>18</v>
      </c>
      <c r="L939" s="1" t="s">
        <v>19</v>
      </c>
      <c r="M939" s="1">
        <v>606</v>
      </c>
    </row>
    <row r="940" spans="1:13" x14ac:dyDescent="0.35">
      <c r="A940" s="1" t="s">
        <v>1566</v>
      </c>
      <c r="B940" s="2">
        <v>46235</v>
      </c>
      <c r="C940" s="1" t="s">
        <v>962</v>
      </c>
      <c r="D940" s="1" t="s">
        <v>50</v>
      </c>
      <c r="E940" s="1" t="s">
        <v>16</v>
      </c>
      <c r="F940" s="1" t="s">
        <v>24</v>
      </c>
      <c r="G940" s="3">
        <v>0.71527777777777779</v>
      </c>
      <c r="H940" s="3">
        <v>0.73472222222222228</v>
      </c>
      <c r="I940" s="1">
        <v>28</v>
      </c>
      <c r="J940" s="1">
        <v>34</v>
      </c>
      <c r="K940" s="1" t="s">
        <v>54</v>
      </c>
      <c r="L940" s="1" t="s">
        <v>19</v>
      </c>
      <c r="M940" s="1">
        <v>606</v>
      </c>
    </row>
    <row r="941" spans="1:13" x14ac:dyDescent="0.35">
      <c r="A941" s="1" t="s">
        <v>1567</v>
      </c>
      <c r="B941" s="2">
        <v>46235</v>
      </c>
      <c r="C941" s="1" t="s">
        <v>106</v>
      </c>
      <c r="D941" s="1" t="s">
        <v>47</v>
      </c>
      <c r="E941" s="1" t="s">
        <v>806</v>
      </c>
      <c r="F941" s="1" t="s">
        <v>24</v>
      </c>
      <c r="G941" s="3">
        <v>0.72569444444444442</v>
      </c>
      <c r="H941" s="3">
        <v>0.72430555555555554</v>
      </c>
      <c r="I941" s="1">
        <v>-2</v>
      </c>
      <c r="J941" s="1">
        <v>-10</v>
      </c>
      <c r="K941" s="1" t="s">
        <v>18</v>
      </c>
      <c r="L941" s="1" t="s">
        <v>19</v>
      </c>
      <c r="M941" s="1">
        <v>338</v>
      </c>
    </row>
    <row r="942" spans="1:13" x14ac:dyDescent="0.35">
      <c r="A942" s="1" t="s">
        <v>1568</v>
      </c>
      <c r="B942" s="2">
        <v>46236</v>
      </c>
      <c r="C942" s="1" t="s">
        <v>1569</v>
      </c>
      <c r="D942" s="1" t="s">
        <v>31</v>
      </c>
      <c r="E942" s="1" t="s">
        <v>50</v>
      </c>
      <c r="F942" s="1" t="s">
        <v>28</v>
      </c>
      <c r="G942" s="3">
        <v>0.4513888888888889</v>
      </c>
      <c r="H942" s="3">
        <v>0.44930555555555562</v>
      </c>
      <c r="I942" s="1">
        <v>-3</v>
      </c>
      <c r="J942" s="1">
        <v>-12</v>
      </c>
      <c r="K942" s="1" t="s">
        <v>18</v>
      </c>
      <c r="L942" s="1" t="s">
        <v>19</v>
      </c>
      <c r="M942" s="1">
        <v>1743</v>
      </c>
    </row>
    <row r="943" spans="1:13" x14ac:dyDescent="0.35">
      <c r="A943" s="1" t="s">
        <v>1570</v>
      </c>
      <c r="B943" s="2">
        <v>46236</v>
      </c>
      <c r="C943" s="1" t="s">
        <v>760</v>
      </c>
      <c r="D943" s="1" t="s">
        <v>78</v>
      </c>
      <c r="E943" s="1" t="s">
        <v>15</v>
      </c>
      <c r="F943" s="1" t="s">
        <v>24</v>
      </c>
      <c r="G943" s="3">
        <v>0.66319444444444442</v>
      </c>
      <c r="H943" s="3">
        <v>0.66319444444444442</v>
      </c>
      <c r="I943" s="1">
        <v>0</v>
      </c>
      <c r="J943" s="1">
        <v>8</v>
      </c>
      <c r="K943" s="1" t="s">
        <v>18</v>
      </c>
      <c r="L943" s="1" t="s">
        <v>19</v>
      </c>
      <c r="M943" s="1">
        <v>370</v>
      </c>
    </row>
    <row r="944" spans="1:13" x14ac:dyDescent="0.35">
      <c r="A944" s="1" t="s">
        <v>1571</v>
      </c>
      <c r="B944" s="2">
        <v>46236</v>
      </c>
      <c r="C944" s="1" t="s">
        <v>487</v>
      </c>
      <c r="D944" s="1" t="s">
        <v>31</v>
      </c>
      <c r="E944" s="1" t="s">
        <v>15</v>
      </c>
      <c r="F944" s="1" t="s">
        <v>38</v>
      </c>
      <c r="G944" s="3">
        <v>0.875</v>
      </c>
      <c r="H944" s="3">
        <v>0.87708333333333333</v>
      </c>
      <c r="I944" s="1">
        <v>3</v>
      </c>
      <c r="J944" s="1">
        <v>6</v>
      </c>
      <c r="K944" s="1"/>
      <c r="L944" s="1" t="s">
        <v>19</v>
      </c>
      <c r="M944" s="1">
        <v>236</v>
      </c>
    </row>
    <row r="945" spans="1:13" x14ac:dyDescent="0.35">
      <c r="A945" s="1" t="s">
        <v>1572</v>
      </c>
      <c r="B945" s="2">
        <v>46237</v>
      </c>
      <c r="C945" s="1" t="s">
        <v>778</v>
      </c>
      <c r="D945" s="1" t="s">
        <v>44</v>
      </c>
      <c r="E945" s="1" t="s">
        <v>50</v>
      </c>
      <c r="F945" s="1" t="s">
        <v>24</v>
      </c>
      <c r="G945" s="3">
        <v>0.55555555555555558</v>
      </c>
      <c r="H945" s="3">
        <v>0.56874999999999998</v>
      </c>
      <c r="I945" s="1">
        <v>19</v>
      </c>
      <c r="J945" s="1">
        <v>17</v>
      </c>
      <c r="K945" s="1" t="s">
        <v>60</v>
      </c>
      <c r="L945" s="1" t="s">
        <v>19</v>
      </c>
      <c r="M945" s="1">
        <v>945</v>
      </c>
    </row>
    <row r="946" spans="1:13" x14ac:dyDescent="0.35">
      <c r="A946" s="1" t="s">
        <v>1573</v>
      </c>
      <c r="B946" s="2">
        <v>46238</v>
      </c>
      <c r="C946" s="1" t="s">
        <v>1040</v>
      </c>
      <c r="D946" s="1" t="s">
        <v>16</v>
      </c>
      <c r="E946" s="1" t="s">
        <v>78</v>
      </c>
      <c r="F946" s="1" t="s">
        <v>24</v>
      </c>
      <c r="G946" s="3">
        <v>0.38194444444444442</v>
      </c>
      <c r="H946" s="3">
        <v>0.37847222222222221</v>
      </c>
      <c r="I946" s="1">
        <v>-5</v>
      </c>
      <c r="J946" s="1">
        <v>-11</v>
      </c>
      <c r="K946" s="1" t="s">
        <v>18</v>
      </c>
      <c r="L946" s="1" t="s">
        <v>19</v>
      </c>
      <c r="M946" s="1">
        <v>1438</v>
      </c>
    </row>
    <row r="947" spans="1:13" x14ac:dyDescent="0.35">
      <c r="A947" s="1" t="s">
        <v>1574</v>
      </c>
      <c r="B947" s="2">
        <v>46238</v>
      </c>
      <c r="C947" s="1" t="s">
        <v>1575</v>
      </c>
      <c r="D947" s="1" t="s">
        <v>15</v>
      </c>
      <c r="E947" s="1" t="s">
        <v>22</v>
      </c>
      <c r="F947" s="1" t="s">
        <v>28</v>
      </c>
      <c r="G947" s="3">
        <v>0.51388888888888884</v>
      </c>
      <c r="H947" s="3">
        <v>0.53472222222222221</v>
      </c>
      <c r="I947" s="1">
        <v>30</v>
      </c>
      <c r="J947" s="1">
        <v>37</v>
      </c>
      <c r="K947" s="1" t="s">
        <v>60</v>
      </c>
      <c r="L947" s="1" t="s">
        <v>19</v>
      </c>
      <c r="M947" s="1">
        <v>2470</v>
      </c>
    </row>
    <row r="948" spans="1:13" x14ac:dyDescent="0.35">
      <c r="A948" s="1" t="s">
        <v>1576</v>
      </c>
      <c r="B948" s="2">
        <v>46238</v>
      </c>
      <c r="C948" s="1" t="s">
        <v>716</v>
      </c>
      <c r="D948" s="1" t="s">
        <v>37</v>
      </c>
      <c r="E948" s="1" t="s">
        <v>16</v>
      </c>
      <c r="F948" s="1" t="s">
        <v>38</v>
      </c>
      <c r="G948" s="3">
        <v>0.65972222222222221</v>
      </c>
      <c r="H948" s="3">
        <v>0.66527777777777775</v>
      </c>
      <c r="I948" s="1">
        <v>8</v>
      </c>
      <c r="J948" s="1">
        <v>5</v>
      </c>
      <c r="K948" s="1"/>
      <c r="L948" s="1" t="s">
        <v>19</v>
      </c>
      <c r="M948" s="1">
        <v>1717</v>
      </c>
    </row>
    <row r="949" spans="1:13" x14ac:dyDescent="0.35">
      <c r="A949" s="1" t="s">
        <v>1577</v>
      </c>
      <c r="B949" s="2">
        <v>46238</v>
      </c>
      <c r="C949" s="1" t="s">
        <v>440</v>
      </c>
      <c r="D949" s="1" t="s">
        <v>50</v>
      </c>
      <c r="E949" s="1" t="s">
        <v>41</v>
      </c>
      <c r="F949" s="1" t="s">
        <v>38</v>
      </c>
      <c r="G949" s="3">
        <v>0.82291666666666663</v>
      </c>
      <c r="H949" s="3">
        <v>0.8256944444444444</v>
      </c>
      <c r="I949" s="1">
        <v>4</v>
      </c>
      <c r="J949" s="1">
        <v>3</v>
      </c>
      <c r="K949" s="1" t="s">
        <v>18</v>
      </c>
      <c r="L949" s="1" t="s">
        <v>19</v>
      </c>
      <c r="M949" s="1">
        <v>596</v>
      </c>
    </row>
    <row r="950" spans="1:13" x14ac:dyDescent="0.35">
      <c r="A950" s="1" t="s">
        <v>1578</v>
      </c>
      <c r="B950" s="2">
        <v>46240</v>
      </c>
      <c r="C950" s="1" t="s">
        <v>394</v>
      </c>
      <c r="D950" s="1" t="s">
        <v>27</v>
      </c>
      <c r="E950" s="1" t="s">
        <v>78</v>
      </c>
      <c r="F950" s="1" t="s">
        <v>17</v>
      </c>
      <c r="G950" s="3">
        <v>0.3923611111111111</v>
      </c>
      <c r="H950" s="3">
        <v>0.43194444444444452</v>
      </c>
      <c r="I950" s="1">
        <v>57</v>
      </c>
      <c r="J950" s="1">
        <v>45</v>
      </c>
      <c r="K950" s="1" t="s">
        <v>54</v>
      </c>
      <c r="L950" s="1" t="s">
        <v>19</v>
      </c>
      <c r="M950" s="1">
        <v>866</v>
      </c>
    </row>
    <row r="951" spans="1:13" x14ac:dyDescent="0.35">
      <c r="A951" s="1" t="s">
        <v>1579</v>
      </c>
      <c r="B951" s="2">
        <v>46240</v>
      </c>
      <c r="C951" s="1" t="s">
        <v>1580</v>
      </c>
      <c r="D951" s="1" t="s">
        <v>16</v>
      </c>
      <c r="E951" s="1" t="s">
        <v>22</v>
      </c>
      <c r="F951" s="1" t="s">
        <v>24</v>
      </c>
      <c r="G951" s="3">
        <v>0.92013888888888884</v>
      </c>
      <c r="H951" s="3">
        <v>0.92152777777777772</v>
      </c>
      <c r="I951" s="1">
        <v>2</v>
      </c>
      <c r="J951" s="1">
        <v>5</v>
      </c>
      <c r="K951" s="1"/>
      <c r="L951" s="1" t="s">
        <v>19</v>
      </c>
      <c r="M951" s="1">
        <v>738</v>
      </c>
    </row>
    <row r="952" spans="1:13" x14ac:dyDescent="0.35">
      <c r="A952" s="1" t="s">
        <v>1581</v>
      </c>
      <c r="B952" s="2">
        <v>46241</v>
      </c>
      <c r="C952" s="1" t="s">
        <v>1369</v>
      </c>
      <c r="D952" s="1" t="s">
        <v>23</v>
      </c>
      <c r="E952" s="1" t="s">
        <v>37</v>
      </c>
      <c r="F952" s="1" t="s">
        <v>17</v>
      </c>
      <c r="G952" s="3">
        <v>0.55902777777777779</v>
      </c>
      <c r="H952" s="3">
        <v>0.58680555555555558</v>
      </c>
      <c r="I952" s="1">
        <v>40</v>
      </c>
      <c r="J952" s="1">
        <v>29</v>
      </c>
      <c r="K952" s="1" t="s">
        <v>54</v>
      </c>
      <c r="L952" s="1" t="s">
        <v>19</v>
      </c>
      <c r="M952" s="1">
        <v>1023</v>
      </c>
    </row>
    <row r="953" spans="1:13" x14ac:dyDescent="0.35">
      <c r="A953" s="1" t="s">
        <v>1582</v>
      </c>
      <c r="B953" s="2">
        <v>46242</v>
      </c>
      <c r="C953" s="1" t="s">
        <v>1229</v>
      </c>
      <c r="D953" s="1" t="s">
        <v>50</v>
      </c>
      <c r="E953" s="1" t="s">
        <v>31</v>
      </c>
      <c r="F953" s="1" t="s">
        <v>28</v>
      </c>
      <c r="G953" s="3">
        <v>0.57986111111111116</v>
      </c>
      <c r="H953" s="3">
        <v>0.59305555555555556</v>
      </c>
      <c r="I953" s="1">
        <v>19</v>
      </c>
      <c r="J953" s="1">
        <v>13</v>
      </c>
      <c r="K953" s="1" t="s">
        <v>303</v>
      </c>
      <c r="L953" s="1" t="s">
        <v>19</v>
      </c>
      <c r="M953" s="1">
        <v>1743</v>
      </c>
    </row>
    <row r="954" spans="1:13" x14ac:dyDescent="0.35">
      <c r="A954" s="1" t="s">
        <v>1583</v>
      </c>
      <c r="B954" s="2">
        <v>46242</v>
      </c>
      <c r="C954" s="1" t="s">
        <v>1575</v>
      </c>
      <c r="D954" s="1" t="s">
        <v>23</v>
      </c>
      <c r="E954" s="1" t="s">
        <v>27</v>
      </c>
      <c r="F954" s="1" t="s">
        <v>17</v>
      </c>
      <c r="G954" s="3">
        <v>0.77083333333333337</v>
      </c>
      <c r="H954" s="3">
        <v>0.77847222222222223</v>
      </c>
      <c r="I954" s="1">
        <v>11</v>
      </c>
      <c r="J954" s="1">
        <v>9</v>
      </c>
      <c r="K954" s="1" t="s">
        <v>18</v>
      </c>
      <c r="L954" s="1" t="s">
        <v>19</v>
      </c>
      <c r="M954" s="1">
        <v>641</v>
      </c>
    </row>
    <row r="955" spans="1:13" x14ac:dyDescent="0.35">
      <c r="A955" s="1" t="s">
        <v>1584</v>
      </c>
      <c r="B955" s="2">
        <v>46243</v>
      </c>
      <c r="C955" s="1" t="s">
        <v>1585</v>
      </c>
      <c r="D955" s="1" t="s">
        <v>44</v>
      </c>
      <c r="E955" s="1" t="s">
        <v>50</v>
      </c>
      <c r="F955" s="1" t="s">
        <v>17</v>
      </c>
      <c r="G955" s="3">
        <v>0.27083333333333331</v>
      </c>
      <c r="H955" s="3">
        <v>0.26874999999999999</v>
      </c>
      <c r="I955" s="1">
        <v>-3</v>
      </c>
      <c r="J955" s="1">
        <v>-14</v>
      </c>
      <c r="K955" s="1" t="s">
        <v>18</v>
      </c>
      <c r="L955" s="1" t="s">
        <v>19</v>
      </c>
      <c r="M955" s="1">
        <v>945</v>
      </c>
    </row>
    <row r="956" spans="1:13" x14ac:dyDescent="0.35">
      <c r="A956" s="1" t="s">
        <v>1586</v>
      </c>
      <c r="B956" s="2">
        <v>46243</v>
      </c>
      <c r="C956" s="1" t="s">
        <v>1079</v>
      </c>
      <c r="D956" s="1" t="s">
        <v>123</v>
      </c>
      <c r="E956" s="1" t="s">
        <v>23</v>
      </c>
      <c r="F956" s="1" t="s">
        <v>28</v>
      </c>
      <c r="G956" s="3">
        <v>0.52083333333333337</v>
      </c>
      <c r="H956" s="3">
        <v>0.54583333333333328</v>
      </c>
      <c r="I956" s="1">
        <v>36</v>
      </c>
      <c r="J956" s="1">
        <v>35</v>
      </c>
      <c r="K956" s="1" t="s">
        <v>129</v>
      </c>
      <c r="L956" s="1" t="s">
        <v>19</v>
      </c>
      <c r="M956" s="1">
        <v>1197</v>
      </c>
    </row>
    <row r="957" spans="1:13" x14ac:dyDescent="0.35">
      <c r="A957" s="1" t="s">
        <v>1587</v>
      </c>
      <c r="B957" s="2">
        <v>46243</v>
      </c>
      <c r="C957" s="1" t="s">
        <v>616</v>
      </c>
      <c r="D957" s="1" t="s">
        <v>22</v>
      </c>
      <c r="E957" s="1" t="s">
        <v>1126</v>
      </c>
      <c r="F957" s="1" t="s">
        <v>38</v>
      </c>
      <c r="G957" s="3">
        <v>0.58333333333333337</v>
      </c>
      <c r="H957" s="1"/>
      <c r="I957" s="1">
        <v>-8</v>
      </c>
      <c r="J957" s="1">
        <v>-19</v>
      </c>
      <c r="K957" s="1"/>
      <c r="L957" s="1" t="s">
        <v>19</v>
      </c>
      <c r="M957" s="1">
        <v>2149</v>
      </c>
    </row>
    <row r="958" spans="1:13" x14ac:dyDescent="0.35">
      <c r="A958" s="1" t="s">
        <v>1588</v>
      </c>
      <c r="B958" s="2">
        <v>46243</v>
      </c>
      <c r="C958" s="1" t="s">
        <v>1589</v>
      </c>
      <c r="D958" s="1" t="s">
        <v>126</v>
      </c>
      <c r="E958" s="1" t="s">
        <v>50</v>
      </c>
      <c r="F958" s="1" t="s">
        <v>17</v>
      </c>
      <c r="G958" s="3">
        <v>0.69097222222222221</v>
      </c>
      <c r="H958" s="3">
        <v>0.69236111111111109</v>
      </c>
      <c r="I958" s="1">
        <v>2</v>
      </c>
      <c r="J958" s="1">
        <v>-3</v>
      </c>
      <c r="K958" s="1" t="s">
        <v>18</v>
      </c>
      <c r="L958" s="1" t="s">
        <v>19</v>
      </c>
      <c r="M958" s="1">
        <v>1743</v>
      </c>
    </row>
    <row r="959" spans="1:13" x14ac:dyDescent="0.35">
      <c r="A959" s="1" t="s">
        <v>1590</v>
      </c>
      <c r="B959" s="2">
        <v>46243</v>
      </c>
      <c r="C959" s="1" t="s">
        <v>1591</v>
      </c>
      <c r="D959" s="1" t="s">
        <v>50</v>
      </c>
      <c r="E959" s="1" t="s">
        <v>37</v>
      </c>
      <c r="F959" s="1" t="s">
        <v>17</v>
      </c>
      <c r="G959" s="3">
        <v>0.77430555555555558</v>
      </c>
      <c r="H959" s="3">
        <v>0.78749999999999998</v>
      </c>
      <c r="I959" s="1">
        <v>19</v>
      </c>
      <c r="J959" s="1">
        <v>16</v>
      </c>
      <c r="K959" s="1" t="s">
        <v>54</v>
      </c>
      <c r="L959" s="1" t="s">
        <v>19</v>
      </c>
      <c r="M959" s="1">
        <v>2178</v>
      </c>
    </row>
    <row r="960" spans="1:13" x14ac:dyDescent="0.35">
      <c r="A960" s="1" t="s">
        <v>1592</v>
      </c>
      <c r="B960" s="2">
        <v>46243</v>
      </c>
      <c r="C960" s="1" t="s">
        <v>1451</v>
      </c>
      <c r="D960" s="1" t="s">
        <v>16</v>
      </c>
      <c r="E960" s="1" t="s">
        <v>23</v>
      </c>
      <c r="F960" s="1" t="s">
        <v>24</v>
      </c>
      <c r="G960" s="3">
        <v>0.85763888888888884</v>
      </c>
      <c r="H960" s="3">
        <v>0.92083333333333328</v>
      </c>
      <c r="I960" s="1">
        <v>91</v>
      </c>
      <c r="J960" s="1">
        <v>89</v>
      </c>
      <c r="K960" s="1" t="s">
        <v>149</v>
      </c>
      <c r="L960" s="1" t="s">
        <v>19</v>
      </c>
      <c r="M960" s="1">
        <v>886</v>
      </c>
    </row>
    <row r="961" spans="1:13" x14ac:dyDescent="0.35">
      <c r="A961" s="1" t="s">
        <v>1593</v>
      </c>
      <c r="B961" s="2">
        <v>46244</v>
      </c>
      <c r="C961" s="1" t="s">
        <v>256</v>
      </c>
      <c r="D961" s="1" t="s">
        <v>78</v>
      </c>
      <c r="E961" s="1" t="s">
        <v>50</v>
      </c>
      <c r="F961" s="1" t="s">
        <v>17</v>
      </c>
      <c r="G961" s="3">
        <v>0.25694444444444442</v>
      </c>
      <c r="H961" s="3">
        <v>0.25347222222222221</v>
      </c>
      <c r="I961" s="1">
        <v>-5</v>
      </c>
      <c r="J961" s="1">
        <v>-10</v>
      </c>
      <c r="K961" s="1" t="s">
        <v>18</v>
      </c>
      <c r="L961" s="1" t="s">
        <v>19</v>
      </c>
      <c r="M961" s="1">
        <v>1584</v>
      </c>
    </row>
    <row r="962" spans="1:13" x14ac:dyDescent="0.35">
      <c r="A962" s="1" t="s">
        <v>1593</v>
      </c>
      <c r="B962" s="2">
        <v>46244</v>
      </c>
      <c r="C962" s="1" t="s">
        <v>256</v>
      </c>
      <c r="D962" s="1" t="s">
        <v>78</v>
      </c>
      <c r="E962" s="1" t="s">
        <v>50</v>
      </c>
      <c r="F962" s="1" t="s">
        <v>17</v>
      </c>
      <c r="G962" s="3">
        <v>0.25694444444444442</v>
      </c>
      <c r="H962" s="3">
        <v>0.25347222222222221</v>
      </c>
      <c r="I962" s="1">
        <v>-5</v>
      </c>
      <c r="J962" s="1">
        <v>-10</v>
      </c>
      <c r="K962" s="1" t="s">
        <v>18</v>
      </c>
      <c r="L962" s="1" t="s">
        <v>19</v>
      </c>
      <c r="M962" s="1">
        <v>1584</v>
      </c>
    </row>
    <row r="963" spans="1:13" x14ac:dyDescent="0.35">
      <c r="A963" s="1" t="s">
        <v>1594</v>
      </c>
      <c r="B963" s="2">
        <v>46245</v>
      </c>
      <c r="C963" s="1" t="s">
        <v>541</v>
      </c>
      <c r="D963" s="1" t="s">
        <v>37</v>
      </c>
      <c r="E963" s="1" t="s">
        <v>50</v>
      </c>
      <c r="F963" s="1" t="s">
        <v>24</v>
      </c>
      <c r="G963" s="3">
        <v>0.22569444444444439</v>
      </c>
      <c r="H963" s="3">
        <v>0.22847222222222219</v>
      </c>
      <c r="I963" s="1">
        <v>4</v>
      </c>
      <c r="J963" s="1">
        <v>11</v>
      </c>
      <c r="K963" s="1" t="s">
        <v>18</v>
      </c>
      <c r="L963" s="1" t="s">
        <v>19</v>
      </c>
      <c r="M963" s="1">
        <v>2178</v>
      </c>
    </row>
    <row r="964" spans="1:13" x14ac:dyDescent="0.35">
      <c r="A964" s="1" t="s">
        <v>1595</v>
      </c>
      <c r="B964" s="2">
        <v>46245</v>
      </c>
      <c r="C964" s="1" t="s">
        <v>1118</v>
      </c>
      <c r="D964" s="1" t="s">
        <v>16</v>
      </c>
      <c r="E964" s="1" t="s">
        <v>50</v>
      </c>
      <c r="F964" s="1" t="s">
        <v>28</v>
      </c>
      <c r="G964" s="3">
        <v>0.30208333333333331</v>
      </c>
      <c r="H964" s="3">
        <v>0.31041666666666667</v>
      </c>
      <c r="I964" s="1">
        <v>12</v>
      </c>
      <c r="J964" s="1">
        <v>2</v>
      </c>
      <c r="K964" s="1" t="s">
        <v>18</v>
      </c>
      <c r="L964" s="1" t="s">
        <v>19</v>
      </c>
      <c r="M964" s="1">
        <v>606</v>
      </c>
    </row>
    <row r="965" spans="1:13" x14ac:dyDescent="0.35">
      <c r="A965" s="1" t="s">
        <v>1596</v>
      </c>
      <c r="B965" s="2">
        <v>46245</v>
      </c>
      <c r="C965" s="1" t="s">
        <v>481</v>
      </c>
      <c r="D965" s="1" t="s">
        <v>23</v>
      </c>
      <c r="E965" s="1" t="s">
        <v>50</v>
      </c>
      <c r="F965" s="1" t="s">
        <v>24</v>
      </c>
      <c r="G965" s="3">
        <v>0.33680555555555558</v>
      </c>
      <c r="H965" s="3">
        <v>0.34375</v>
      </c>
      <c r="I965" s="1">
        <v>10</v>
      </c>
      <c r="J965" s="1">
        <v>19</v>
      </c>
      <c r="K965" s="1"/>
      <c r="L965" s="1" t="s">
        <v>19</v>
      </c>
      <c r="M965" s="1">
        <v>1197</v>
      </c>
    </row>
    <row r="966" spans="1:13" x14ac:dyDescent="0.35">
      <c r="A966" s="1" t="s">
        <v>1597</v>
      </c>
      <c r="B966" s="2">
        <v>46246</v>
      </c>
      <c r="C966" s="1" t="s">
        <v>1598</v>
      </c>
      <c r="D966" s="1" t="s">
        <v>27</v>
      </c>
      <c r="E966" s="1" t="s">
        <v>50</v>
      </c>
      <c r="F966" s="1" t="s">
        <v>38</v>
      </c>
      <c r="G966" s="3">
        <v>0.35416666666666669</v>
      </c>
      <c r="H966" s="3">
        <v>0.37569444444444439</v>
      </c>
      <c r="I966" s="1">
        <v>31</v>
      </c>
      <c r="J966" s="1">
        <v>39</v>
      </c>
      <c r="K966" s="1" t="s">
        <v>319</v>
      </c>
      <c r="L966" s="1" t="s">
        <v>19</v>
      </c>
      <c r="M966" s="1">
        <v>730</v>
      </c>
    </row>
    <row r="967" spans="1:13" x14ac:dyDescent="0.35">
      <c r="A967" s="1" t="s">
        <v>1599</v>
      </c>
      <c r="B967" s="2">
        <v>46246</v>
      </c>
      <c r="C967" s="1" t="s">
        <v>88</v>
      </c>
      <c r="D967" s="1" t="s">
        <v>31</v>
      </c>
      <c r="E967" s="1" t="s">
        <v>27</v>
      </c>
      <c r="F967" s="1" t="s">
        <v>28</v>
      </c>
      <c r="G967" s="3">
        <v>0.37847222222222221</v>
      </c>
      <c r="H967" s="3">
        <v>0.37777777777777782</v>
      </c>
      <c r="I967" s="1">
        <v>-1</v>
      </c>
      <c r="J967" s="1">
        <v>-13</v>
      </c>
      <c r="K967" s="1"/>
      <c r="L967" s="1" t="s">
        <v>19</v>
      </c>
      <c r="M967" s="1">
        <v>1053</v>
      </c>
    </row>
    <row r="968" spans="1:13" x14ac:dyDescent="0.35">
      <c r="A968" s="1" t="s">
        <v>1600</v>
      </c>
      <c r="B968" s="2">
        <v>46247</v>
      </c>
      <c r="C968" s="1" t="s">
        <v>1601</v>
      </c>
      <c r="D968" s="1" t="s">
        <v>27</v>
      </c>
      <c r="E968" s="1" t="s">
        <v>31</v>
      </c>
      <c r="F968" s="1" t="s">
        <v>24</v>
      </c>
      <c r="G968" s="3">
        <v>0.51041666666666663</v>
      </c>
      <c r="H968" s="3">
        <v>0.5444444444444444</v>
      </c>
      <c r="I968" s="1">
        <v>49</v>
      </c>
      <c r="J968" s="1">
        <v>41</v>
      </c>
      <c r="K968" s="1" t="s">
        <v>60</v>
      </c>
      <c r="L968" s="1" t="s">
        <v>19</v>
      </c>
      <c r="M968" s="1">
        <v>1053</v>
      </c>
    </row>
    <row r="969" spans="1:13" x14ac:dyDescent="0.35">
      <c r="A969" s="1" t="s">
        <v>1602</v>
      </c>
      <c r="B969" s="2">
        <v>46247</v>
      </c>
      <c r="C969" s="1" t="s">
        <v>355</v>
      </c>
      <c r="D969" s="1" t="s">
        <v>50</v>
      </c>
      <c r="E969" s="1" t="s">
        <v>15</v>
      </c>
      <c r="F969" s="1" t="s">
        <v>17</v>
      </c>
      <c r="G969" s="3">
        <v>0.625</v>
      </c>
      <c r="H969" s="3">
        <v>0.62430555555555556</v>
      </c>
      <c r="I969" s="1">
        <v>-1</v>
      </c>
      <c r="J969" s="1"/>
      <c r="K969" s="1" t="s">
        <v>18</v>
      </c>
      <c r="L969" s="1" t="s">
        <v>19</v>
      </c>
      <c r="M969" s="1">
        <v>1942</v>
      </c>
    </row>
    <row r="970" spans="1:13" x14ac:dyDescent="0.35">
      <c r="A970" s="1" t="s">
        <v>1603</v>
      </c>
      <c r="B970" s="2">
        <v>46247</v>
      </c>
      <c r="C970" s="1" t="s">
        <v>983</v>
      </c>
      <c r="D970" s="1" t="s">
        <v>1604</v>
      </c>
      <c r="E970" s="1" t="s">
        <v>37</v>
      </c>
      <c r="F970" s="1" t="s">
        <v>38</v>
      </c>
      <c r="G970" s="3">
        <v>0.72916666666666663</v>
      </c>
      <c r="H970" s="3">
        <v>0.73402777777777772</v>
      </c>
      <c r="I970" s="1">
        <v>7</v>
      </c>
      <c r="J970" s="1">
        <v>-1</v>
      </c>
      <c r="K970" s="1" t="s">
        <v>18</v>
      </c>
      <c r="L970" s="1" t="s">
        <v>19</v>
      </c>
      <c r="M970" s="1">
        <v>679</v>
      </c>
    </row>
    <row r="971" spans="1:13" x14ac:dyDescent="0.35">
      <c r="A971" s="1" t="s">
        <v>1605</v>
      </c>
      <c r="B971" s="2">
        <v>46247</v>
      </c>
      <c r="C971" s="1" t="s">
        <v>1606</v>
      </c>
      <c r="D971" s="1" t="s">
        <v>44</v>
      </c>
      <c r="E971" s="1" t="s">
        <v>78</v>
      </c>
      <c r="F971" s="1" t="s">
        <v>38</v>
      </c>
      <c r="G971" s="3">
        <v>0.83680555555555558</v>
      </c>
      <c r="H971" s="3">
        <v>0.83888888888888891</v>
      </c>
      <c r="I971" s="1">
        <v>3</v>
      </c>
      <c r="J971" s="1">
        <v>1</v>
      </c>
      <c r="K971" s="1" t="s">
        <v>18</v>
      </c>
      <c r="L971" s="1" t="s">
        <v>19</v>
      </c>
      <c r="M971" s="1">
        <v>2295</v>
      </c>
    </row>
    <row r="972" spans="1:13" x14ac:dyDescent="0.35">
      <c r="A972" s="1" t="s">
        <v>1607</v>
      </c>
      <c r="B972" s="2">
        <v>46248</v>
      </c>
      <c r="C972" s="1" t="s">
        <v>991</v>
      </c>
      <c r="D972" s="1" t="s">
        <v>27</v>
      </c>
      <c r="E972" s="1" t="s">
        <v>47</v>
      </c>
      <c r="F972" s="1" t="s">
        <v>17</v>
      </c>
      <c r="G972" s="3">
        <v>0.28125</v>
      </c>
      <c r="H972" s="3">
        <v>0.27986111111111112</v>
      </c>
      <c r="I972" s="1">
        <v>-2</v>
      </c>
      <c r="J972" s="1">
        <v>5</v>
      </c>
      <c r="K972" s="1" t="s">
        <v>18</v>
      </c>
      <c r="L972" s="1" t="s">
        <v>19</v>
      </c>
      <c r="M972" s="1">
        <v>1462</v>
      </c>
    </row>
    <row r="973" spans="1:13" x14ac:dyDescent="0.35">
      <c r="A973" s="1" t="s">
        <v>1608</v>
      </c>
      <c r="B973" s="2">
        <v>46248</v>
      </c>
      <c r="C973" s="1" t="s">
        <v>1105</v>
      </c>
      <c r="D973" s="1" t="s">
        <v>50</v>
      </c>
      <c r="E973" s="1" t="s">
        <v>78</v>
      </c>
      <c r="F973" s="1" t="s">
        <v>38</v>
      </c>
      <c r="G973" s="3">
        <v>0.36458333333333331</v>
      </c>
      <c r="H973" s="3">
        <v>0.36736111111111108</v>
      </c>
      <c r="I973" s="1">
        <v>4</v>
      </c>
      <c r="J973" s="1"/>
      <c r="K973" s="1" t="s">
        <v>18</v>
      </c>
      <c r="L973" s="1" t="s">
        <v>19</v>
      </c>
      <c r="M973" s="1">
        <v>1584</v>
      </c>
    </row>
    <row r="974" spans="1:13" x14ac:dyDescent="0.35">
      <c r="A974" s="1" t="s">
        <v>1609</v>
      </c>
      <c r="B974" s="2">
        <v>46248</v>
      </c>
      <c r="C974" s="1" t="s">
        <v>1610</v>
      </c>
      <c r="D974" s="1" t="s">
        <v>23</v>
      </c>
      <c r="E974" s="1" t="s">
        <v>27</v>
      </c>
      <c r="F974" s="1" t="s">
        <v>17</v>
      </c>
      <c r="G974" s="3">
        <v>0.40972222222222221</v>
      </c>
      <c r="H974" s="3">
        <v>0.41388888888888892</v>
      </c>
      <c r="I974" s="1">
        <v>6</v>
      </c>
      <c r="J974" s="1">
        <v>-6</v>
      </c>
      <c r="K974" s="1" t="s">
        <v>18</v>
      </c>
      <c r="L974" s="1" t="s">
        <v>19</v>
      </c>
      <c r="M974" s="1">
        <v>641</v>
      </c>
    </row>
    <row r="975" spans="1:13" x14ac:dyDescent="0.35">
      <c r="A975" s="1" t="s">
        <v>1611</v>
      </c>
      <c r="B975" s="2">
        <v>46248</v>
      </c>
      <c r="C975" s="1" t="s">
        <v>603</v>
      </c>
      <c r="D975" s="1" t="s">
        <v>78</v>
      </c>
      <c r="E975" s="1" t="s">
        <v>37</v>
      </c>
      <c r="F975" s="1" t="s">
        <v>24</v>
      </c>
      <c r="G975" s="3">
        <v>0.82291666666666663</v>
      </c>
      <c r="H975" s="3">
        <v>0.81874999999999998</v>
      </c>
      <c r="I975" s="1">
        <v>-6</v>
      </c>
      <c r="J975" s="1">
        <v>-7</v>
      </c>
      <c r="K975" s="1" t="s">
        <v>18</v>
      </c>
      <c r="L975" s="1" t="s">
        <v>19</v>
      </c>
      <c r="M975" s="1">
        <v>1108</v>
      </c>
    </row>
    <row r="976" spans="1:13" x14ac:dyDescent="0.35">
      <c r="A976" s="1" t="s">
        <v>1612</v>
      </c>
      <c r="B976" s="2">
        <v>46248</v>
      </c>
      <c r="C976" s="1" t="s">
        <v>1613</v>
      </c>
      <c r="D976" s="1" t="s">
        <v>50</v>
      </c>
      <c r="E976" s="1" t="s">
        <v>37</v>
      </c>
      <c r="F976" s="1" t="s">
        <v>17</v>
      </c>
      <c r="G976" s="3">
        <v>0.85416666666666663</v>
      </c>
      <c r="H976" s="3">
        <v>0.86527777777777781</v>
      </c>
      <c r="I976" s="1">
        <v>16</v>
      </c>
      <c r="J976" s="1">
        <v>2</v>
      </c>
      <c r="K976" s="1" t="s">
        <v>60</v>
      </c>
      <c r="L976" s="1" t="s">
        <v>19</v>
      </c>
      <c r="M976" s="1">
        <v>2178</v>
      </c>
    </row>
    <row r="977" spans="1:13" x14ac:dyDescent="0.35">
      <c r="A977" s="1" t="s">
        <v>1614</v>
      </c>
      <c r="B977" s="2">
        <v>46249</v>
      </c>
      <c r="C977" s="1" t="s">
        <v>868</v>
      </c>
      <c r="D977" s="1" t="s">
        <v>15</v>
      </c>
      <c r="E977" s="1" t="s">
        <v>37</v>
      </c>
      <c r="F977" s="1" t="s">
        <v>17</v>
      </c>
      <c r="G977" s="3">
        <v>0.3888888888888889</v>
      </c>
      <c r="H977" s="3">
        <v>0.38611111111111113</v>
      </c>
      <c r="I977" s="1">
        <v>-4</v>
      </c>
      <c r="J977" s="1">
        <v>-1</v>
      </c>
      <c r="K977" s="1" t="s">
        <v>18</v>
      </c>
      <c r="L977" s="1" t="s">
        <v>19</v>
      </c>
      <c r="M977" s="1">
        <v>955</v>
      </c>
    </row>
    <row r="978" spans="1:13" x14ac:dyDescent="0.35">
      <c r="A978" s="1" t="s">
        <v>1615</v>
      </c>
      <c r="B978" s="2">
        <v>46249</v>
      </c>
      <c r="C978" s="1" t="s">
        <v>1616</v>
      </c>
      <c r="D978" s="1" t="s">
        <v>555</v>
      </c>
      <c r="E978" s="1" t="s">
        <v>44</v>
      </c>
      <c r="F978" s="1" t="s">
        <v>17</v>
      </c>
      <c r="G978" s="3">
        <v>0.74652777777777779</v>
      </c>
      <c r="H978" s="3">
        <v>0.74513888888888891</v>
      </c>
      <c r="I978" s="1">
        <v>-2</v>
      </c>
      <c r="J978" s="1">
        <v>7</v>
      </c>
      <c r="K978" s="1" t="s">
        <v>18</v>
      </c>
      <c r="L978" s="1" t="s">
        <v>19</v>
      </c>
      <c r="M978" s="1">
        <v>864</v>
      </c>
    </row>
    <row r="979" spans="1:13" x14ac:dyDescent="0.35">
      <c r="A979" s="1" t="s">
        <v>1617</v>
      </c>
      <c r="B979" s="2">
        <v>46250</v>
      </c>
      <c r="C979" s="1" t="s">
        <v>424</v>
      </c>
      <c r="D979" s="1" t="s">
        <v>41</v>
      </c>
      <c r="E979" s="1" t="s">
        <v>50</v>
      </c>
      <c r="F979" s="1" t="s">
        <v>24</v>
      </c>
      <c r="G979" s="3">
        <v>0.28125</v>
      </c>
      <c r="H979" s="3">
        <v>0.27569444444444452</v>
      </c>
      <c r="I979" s="1">
        <v>-8</v>
      </c>
      <c r="J979" s="1">
        <v>-6</v>
      </c>
      <c r="K979" s="1"/>
      <c r="L979" s="1" t="s">
        <v>19</v>
      </c>
      <c r="M979" s="1">
        <v>596</v>
      </c>
    </row>
    <row r="980" spans="1:13" x14ac:dyDescent="0.35">
      <c r="A980" s="1" t="s">
        <v>1618</v>
      </c>
      <c r="B980" s="2">
        <v>46250</v>
      </c>
      <c r="C980" s="1" t="s">
        <v>851</v>
      </c>
      <c r="D980" s="1" t="s">
        <v>1171</v>
      </c>
      <c r="E980" s="1" t="s">
        <v>16</v>
      </c>
      <c r="F980" s="1" t="s">
        <v>17</v>
      </c>
      <c r="G980" s="3">
        <v>0.67708333333333337</v>
      </c>
      <c r="H980" s="3">
        <v>0.69444444444444442</v>
      </c>
      <c r="I980" s="1">
        <v>25</v>
      </c>
      <c r="J980" s="1">
        <v>27</v>
      </c>
      <c r="K980" s="1" t="s">
        <v>263</v>
      </c>
      <c r="L980" s="1" t="s">
        <v>19</v>
      </c>
      <c r="M980" s="1">
        <v>1438</v>
      </c>
    </row>
    <row r="981" spans="1:13" x14ac:dyDescent="0.35">
      <c r="A981" s="1" t="s">
        <v>1619</v>
      </c>
      <c r="B981" s="2">
        <v>46250</v>
      </c>
      <c r="C981" s="1" t="s">
        <v>686</v>
      </c>
      <c r="D981" s="1" t="s">
        <v>22</v>
      </c>
      <c r="E981" s="1" t="s">
        <v>47</v>
      </c>
      <c r="F981" s="1" t="s">
        <v>17</v>
      </c>
      <c r="G981" s="3">
        <v>0.68402777777777779</v>
      </c>
      <c r="H981" s="3">
        <v>0.6875</v>
      </c>
      <c r="I981" s="1">
        <v>5</v>
      </c>
      <c r="J981" s="1">
        <v>-1</v>
      </c>
      <c r="K981" s="1" t="s">
        <v>18</v>
      </c>
      <c r="L981" s="1" t="s">
        <v>19</v>
      </c>
      <c r="M981" s="1">
        <v>2580</v>
      </c>
    </row>
    <row r="982" spans="1:13" x14ac:dyDescent="0.35">
      <c r="A982" s="1" t="s">
        <v>1620</v>
      </c>
      <c r="B982" s="2">
        <v>46251</v>
      </c>
      <c r="C982" s="1" t="s">
        <v>760</v>
      </c>
      <c r="D982" s="1" t="s">
        <v>31</v>
      </c>
      <c r="E982" s="1" t="s">
        <v>16</v>
      </c>
      <c r="F982" s="1" t="s">
        <v>24</v>
      </c>
      <c r="G982" s="3">
        <v>0.71527777777777779</v>
      </c>
      <c r="H982" s="3">
        <v>0.72013888888888888</v>
      </c>
      <c r="I982" s="1">
        <v>7</v>
      </c>
      <c r="J982" s="1">
        <v>0</v>
      </c>
      <c r="K982" s="1" t="s">
        <v>18</v>
      </c>
      <c r="L982" s="1" t="s">
        <v>19</v>
      </c>
      <c r="M982" s="1">
        <v>1511</v>
      </c>
    </row>
    <row r="983" spans="1:13" x14ac:dyDescent="0.35">
      <c r="A983" s="1" t="s">
        <v>1621</v>
      </c>
      <c r="B983" s="2">
        <v>46251</v>
      </c>
      <c r="C983" s="1" t="s">
        <v>1014</v>
      </c>
      <c r="D983" s="1" t="s">
        <v>22</v>
      </c>
      <c r="E983" s="1" t="s">
        <v>37</v>
      </c>
      <c r="F983" s="1" t="s">
        <v>17</v>
      </c>
      <c r="G983" s="3">
        <v>0.81944444444444442</v>
      </c>
      <c r="H983" s="3">
        <v>0.8208333333333333</v>
      </c>
      <c r="I983" s="1">
        <v>2</v>
      </c>
      <c r="J983" s="1">
        <v>8</v>
      </c>
      <c r="K983" s="1" t="s">
        <v>18</v>
      </c>
      <c r="L983" s="1" t="s">
        <v>19</v>
      </c>
      <c r="M983" s="1">
        <v>2415</v>
      </c>
    </row>
    <row r="984" spans="1:13" x14ac:dyDescent="0.35">
      <c r="A984" s="1" t="s">
        <v>1622</v>
      </c>
      <c r="B984" s="2">
        <v>46251</v>
      </c>
      <c r="C984" s="1" t="s">
        <v>271</v>
      </c>
      <c r="D984" s="1" t="s">
        <v>226</v>
      </c>
      <c r="E984" s="1" t="s">
        <v>78</v>
      </c>
      <c r="F984" s="1" t="s">
        <v>24</v>
      </c>
      <c r="G984" s="3">
        <v>0.875</v>
      </c>
      <c r="H984" s="3">
        <v>0.87847222222222221</v>
      </c>
      <c r="I984" s="1">
        <v>5</v>
      </c>
      <c r="J984" s="1">
        <v>5</v>
      </c>
      <c r="K984" s="1" t="s">
        <v>18</v>
      </c>
      <c r="L984" s="1" t="s">
        <v>19</v>
      </c>
      <c r="M984" s="1">
        <v>602</v>
      </c>
    </row>
    <row r="985" spans="1:13" x14ac:dyDescent="0.35">
      <c r="A985" s="1" t="s">
        <v>1623</v>
      </c>
      <c r="B985" s="2">
        <v>46252</v>
      </c>
      <c r="C985" s="1" t="s">
        <v>1554</v>
      </c>
      <c r="D985" s="1" t="s">
        <v>27</v>
      </c>
      <c r="E985" s="1" t="s">
        <v>22</v>
      </c>
      <c r="F985" s="1" t="s">
        <v>17</v>
      </c>
      <c r="G985" s="3">
        <v>0.2986111111111111</v>
      </c>
      <c r="H985" s="3">
        <v>0.29791666666666672</v>
      </c>
      <c r="I985" s="1">
        <v>-1</v>
      </c>
      <c r="J985" s="1">
        <v>-8</v>
      </c>
      <c r="K985" s="1" t="s">
        <v>18</v>
      </c>
      <c r="L985" s="1" t="s">
        <v>19</v>
      </c>
      <c r="M985" s="1">
        <v>1389</v>
      </c>
    </row>
    <row r="986" spans="1:13" x14ac:dyDescent="0.35">
      <c r="A986" s="1" t="s">
        <v>1624</v>
      </c>
      <c r="B986" s="2">
        <v>46252</v>
      </c>
      <c r="C986" s="1" t="s">
        <v>139</v>
      </c>
      <c r="D986" s="1" t="s">
        <v>22</v>
      </c>
      <c r="E986" s="1" t="s">
        <v>15</v>
      </c>
      <c r="F986" s="1" t="s">
        <v>17</v>
      </c>
      <c r="G986" s="3">
        <v>0.71180555555555558</v>
      </c>
      <c r="H986" s="3">
        <v>0.70625000000000004</v>
      </c>
      <c r="I986" s="1">
        <v>-8</v>
      </c>
      <c r="J986" s="1">
        <v>-7</v>
      </c>
      <c r="K986" s="1" t="s">
        <v>18</v>
      </c>
      <c r="L986" s="1" t="s">
        <v>19</v>
      </c>
      <c r="M986" s="1">
        <v>2470</v>
      </c>
    </row>
    <row r="987" spans="1:13" x14ac:dyDescent="0.35">
      <c r="A987" s="1" t="s">
        <v>1625</v>
      </c>
      <c r="B987" s="2">
        <v>46253</v>
      </c>
      <c r="C987" s="1" t="s">
        <v>322</v>
      </c>
      <c r="D987" s="1" t="s">
        <v>44</v>
      </c>
      <c r="E987" s="1" t="s">
        <v>41</v>
      </c>
      <c r="F987" s="1" t="s">
        <v>17</v>
      </c>
      <c r="G987" s="3">
        <v>0.74652777777777779</v>
      </c>
      <c r="H987" s="3">
        <v>0.75763888888888886</v>
      </c>
      <c r="I987" s="1">
        <v>16</v>
      </c>
      <c r="J987" s="1">
        <v>10</v>
      </c>
      <c r="K987" s="1" t="s">
        <v>129</v>
      </c>
      <c r="L987" s="1" t="s">
        <v>19</v>
      </c>
      <c r="M987" s="1">
        <v>1260</v>
      </c>
    </row>
    <row r="988" spans="1:13" x14ac:dyDescent="0.35">
      <c r="A988" s="1" t="s">
        <v>1626</v>
      </c>
      <c r="B988" s="2">
        <v>46254</v>
      </c>
      <c r="C988" s="1" t="s">
        <v>1585</v>
      </c>
      <c r="D988" s="1" t="s">
        <v>50</v>
      </c>
      <c r="E988" s="1" t="s">
        <v>78</v>
      </c>
      <c r="F988" s="1" t="s">
        <v>17</v>
      </c>
      <c r="G988" s="3">
        <v>0.63541666666666663</v>
      </c>
      <c r="H988" s="3">
        <v>0.63958333333333328</v>
      </c>
      <c r="I988" s="1">
        <v>6</v>
      </c>
      <c r="J988" s="1">
        <v>6</v>
      </c>
      <c r="K988" s="1" t="s">
        <v>18</v>
      </c>
      <c r="L988" s="1" t="s">
        <v>19</v>
      </c>
      <c r="M988" s="1">
        <v>1584</v>
      </c>
    </row>
    <row r="989" spans="1:13" x14ac:dyDescent="0.35">
      <c r="A989" s="1" t="s">
        <v>1627</v>
      </c>
      <c r="B989" s="2">
        <v>46255</v>
      </c>
      <c r="C989" s="1" t="s">
        <v>663</v>
      </c>
      <c r="D989" s="1" t="s">
        <v>23</v>
      </c>
      <c r="E989" s="1" t="s">
        <v>50</v>
      </c>
      <c r="F989" s="1" t="s">
        <v>24</v>
      </c>
      <c r="G989" s="3">
        <v>0.35416666666666669</v>
      </c>
      <c r="H989" s="3">
        <v>0.35555555555555562</v>
      </c>
      <c r="I989" s="1">
        <v>2</v>
      </c>
      <c r="J989" s="1">
        <v>10</v>
      </c>
      <c r="K989" s="1" t="s">
        <v>18</v>
      </c>
      <c r="L989" s="1" t="s">
        <v>19</v>
      </c>
      <c r="M989" s="1">
        <v>1197</v>
      </c>
    </row>
    <row r="990" spans="1:13" x14ac:dyDescent="0.35">
      <c r="A990" s="1" t="s">
        <v>1628</v>
      </c>
      <c r="B990" s="2">
        <v>46255</v>
      </c>
      <c r="C990" s="1" t="s">
        <v>647</v>
      </c>
      <c r="D990" s="1" t="s">
        <v>806</v>
      </c>
      <c r="E990" s="1" t="s">
        <v>16</v>
      </c>
      <c r="F990" s="1" t="s">
        <v>17</v>
      </c>
      <c r="G990" s="3">
        <v>0.53819444444444442</v>
      </c>
      <c r="H990" s="3">
        <v>0.53819444444444442</v>
      </c>
      <c r="I990" s="1">
        <v>0</v>
      </c>
      <c r="J990" s="1">
        <v>-4</v>
      </c>
      <c r="K990" s="1" t="s">
        <v>18</v>
      </c>
      <c r="L990" s="1" t="s">
        <v>19</v>
      </c>
      <c r="M990" s="1">
        <v>1742</v>
      </c>
    </row>
    <row r="991" spans="1:13" x14ac:dyDescent="0.35">
      <c r="A991" s="1" t="s">
        <v>1629</v>
      </c>
      <c r="B991" s="2">
        <v>46255</v>
      </c>
      <c r="C991" s="1" t="s">
        <v>357</v>
      </c>
      <c r="D991" s="1" t="s">
        <v>78</v>
      </c>
      <c r="E991" s="1" t="s">
        <v>15</v>
      </c>
      <c r="F991" s="1" t="s">
        <v>24</v>
      </c>
      <c r="G991" s="3">
        <v>0.57986111111111116</v>
      </c>
      <c r="H991" s="3">
        <v>0.64375000000000004</v>
      </c>
      <c r="I991" s="1">
        <v>92</v>
      </c>
      <c r="J991" s="1">
        <v>85</v>
      </c>
      <c r="K991" s="1" t="s">
        <v>60</v>
      </c>
      <c r="L991" s="1" t="s">
        <v>19</v>
      </c>
      <c r="M991" s="1">
        <v>370</v>
      </c>
    </row>
    <row r="992" spans="1:13" x14ac:dyDescent="0.35">
      <c r="A992" s="1" t="s">
        <v>1630</v>
      </c>
      <c r="B992" s="2">
        <v>46255</v>
      </c>
      <c r="C992" s="1" t="s">
        <v>438</v>
      </c>
      <c r="D992" s="1" t="s">
        <v>27</v>
      </c>
      <c r="E992" s="1" t="s">
        <v>23</v>
      </c>
      <c r="F992" s="1" t="s">
        <v>24</v>
      </c>
      <c r="G992" s="3">
        <v>0.70486111111111116</v>
      </c>
      <c r="H992" s="3">
        <v>0.74236111111111114</v>
      </c>
      <c r="I992" s="1">
        <v>54</v>
      </c>
      <c r="J992" s="1">
        <v>42</v>
      </c>
      <c r="K992" s="1" t="s">
        <v>1020</v>
      </c>
      <c r="L992" s="1" t="s">
        <v>19</v>
      </c>
      <c r="M992" s="1">
        <v>641</v>
      </c>
    </row>
    <row r="993" spans="1:13" x14ac:dyDescent="0.35">
      <c r="A993" s="1" t="s">
        <v>1631</v>
      </c>
      <c r="B993" s="2">
        <v>46256</v>
      </c>
      <c r="C993" s="1" t="s">
        <v>496</v>
      </c>
      <c r="D993" s="1" t="s">
        <v>50</v>
      </c>
      <c r="E993" s="1" t="s">
        <v>41</v>
      </c>
      <c r="F993" s="1" t="s">
        <v>38</v>
      </c>
      <c r="G993" s="3">
        <v>0.46875</v>
      </c>
      <c r="H993" s="3">
        <v>0.47499999999999998</v>
      </c>
      <c r="I993" s="1">
        <v>9</v>
      </c>
      <c r="J993" s="1"/>
      <c r="K993" s="1" t="s">
        <v>18</v>
      </c>
      <c r="L993" s="1" t="s">
        <v>19</v>
      </c>
      <c r="M993" s="1">
        <v>596</v>
      </c>
    </row>
    <row r="994" spans="1:13" x14ac:dyDescent="0.35">
      <c r="A994" s="1" t="s">
        <v>1632</v>
      </c>
      <c r="B994" s="2">
        <v>46256</v>
      </c>
      <c r="C994" s="1" t="s">
        <v>424</v>
      </c>
      <c r="D994" s="1" t="s">
        <v>15</v>
      </c>
      <c r="E994" s="1" t="s">
        <v>16</v>
      </c>
      <c r="F994" s="1" t="s">
        <v>28</v>
      </c>
      <c r="G994" s="3">
        <v>0.60763888888888884</v>
      </c>
      <c r="H994" s="3">
        <v>0.60416666666666663</v>
      </c>
      <c r="I994" s="1">
        <v>-5</v>
      </c>
      <c r="J994" s="1">
        <v>-10</v>
      </c>
      <c r="K994" s="1" t="s">
        <v>18</v>
      </c>
      <c r="L994" s="1" t="s">
        <v>19</v>
      </c>
      <c r="M994" s="1">
        <v>1742</v>
      </c>
    </row>
    <row r="995" spans="1:13" x14ac:dyDescent="0.35">
      <c r="A995" s="1" t="s">
        <v>1633</v>
      </c>
      <c r="B995" s="2">
        <v>46256</v>
      </c>
      <c r="C995" s="1" t="s">
        <v>159</v>
      </c>
      <c r="D995" s="1" t="s">
        <v>50</v>
      </c>
      <c r="E995" s="1" t="s">
        <v>23</v>
      </c>
      <c r="F995" s="1" t="s">
        <v>28</v>
      </c>
      <c r="G995" s="3">
        <v>0.87847222222222221</v>
      </c>
      <c r="H995" s="3">
        <v>0.87430555555555556</v>
      </c>
      <c r="I995" s="1">
        <v>-6</v>
      </c>
      <c r="J995" s="1">
        <v>-2</v>
      </c>
      <c r="K995" s="1" t="s">
        <v>18</v>
      </c>
      <c r="L995" s="1" t="s">
        <v>19</v>
      </c>
      <c r="M995" s="1">
        <v>1197</v>
      </c>
    </row>
    <row r="996" spans="1:13" x14ac:dyDescent="0.35">
      <c r="A996" s="1" t="s">
        <v>1634</v>
      </c>
      <c r="B996" s="2">
        <v>46257</v>
      </c>
      <c r="C996" s="1" t="s">
        <v>1210</v>
      </c>
      <c r="D996" s="1" t="s">
        <v>50</v>
      </c>
      <c r="E996" s="1" t="s">
        <v>31</v>
      </c>
      <c r="F996" s="1" t="s">
        <v>17</v>
      </c>
      <c r="G996" s="3">
        <v>0.37847222222222221</v>
      </c>
      <c r="H996" s="3">
        <v>0.37708333333333333</v>
      </c>
      <c r="I996" s="1">
        <v>-2</v>
      </c>
      <c r="J996" s="1">
        <v>-8</v>
      </c>
      <c r="K996" s="1"/>
      <c r="L996" s="1" t="s">
        <v>19</v>
      </c>
      <c r="M996" s="1">
        <v>1743</v>
      </c>
    </row>
    <row r="997" spans="1:13" x14ac:dyDescent="0.35">
      <c r="A997" s="1" t="s">
        <v>1635</v>
      </c>
      <c r="B997" s="2">
        <v>46257</v>
      </c>
      <c r="C997" s="1" t="s">
        <v>1075</v>
      </c>
      <c r="D997" s="1" t="s">
        <v>23</v>
      </c>
      <c r="E997" s="1" t="s">
        <v>41</v>
      </c>
      <c r="F997" s="1" t="s">
        <v>17</v>
      </c>
      <c r="G997" s="3">
        <v>0.94791666666666663</v>
      </c>
      <c r="H997" s="3">
        <v>0.95347222222222228</v>
      </c>
      <c r="I997" s="1">
        <v>8</v>
      </c>
      <c r="J997" s="1">
        <v>16</v>
      </c>
      <c r="K997" s="1"/>
      <c r="L997" s="1" t="s">
        <v>19</v>
      </c>
      <c r="M997" s="1">
        <v>1708</v>
      </c>
    </row>
    <row r="998" spans="1:13" x14ac:dyDescent="0.35">
      <c r="A998" s="1" t="s">
        <v>1636</v>
      </c>
      <c r="B998" s="2">
        <v>46258</v>
      </c>
      <c r="C998" s="1" t="s">
        <v>122</v>
      </c>
      <c r="D998" s="1" t="s">
        <v>15</v>
      </c>
      <c r="E998" s="1" t="s">
        <v>23</v>
      </c>
      <c r="F998" s="1" t="s">
        <v>24</v>
      </c>
      <c r="G998" s="3">
        <v>0.25694444444444442</v>
      </c>
      <c r="H998" s="3">
        <v>0.25138888888888888</v>
      </c>
      <c r="I998" s="1">
        <v>-8</v>
      </c>
      <c r="J998" s="1">
        <v>-9</v>
      </c>
      <c r="K998" s="1" t="s">
        <v>18</v>
      </c>
      <c r="L998" s="1" t="s">
        <v>19</v>
      </c>
      <c r="M998" s="1">
        <v>861</v>
      </c>
    </row>
    <row r="999" spans="1:13" x14ac:dyDescent="0.35">
      <c r="A999" s="1" t="s">
        <v>1637</v>
      </c>
      <c r="B999" s="2">
        <v>46258</v>
      </c>
      <c r="C999" s="1" t="s">
        <v>1638</v>
      </c>
      <c r="D999" s="1" t="s">
        <v>27</v>
      </c>
      <c r="E999" s="1" t="s">
        <v>37</v>
      </c>
      <c r="F999" s="1" t="s">
        <v>17</v>
      </c>
      <c r="G999" s="3">
        <v>0.34722222222222221</v>
      </c>
      <c r="H999" s="3">
        <v>0.37986111111111109</v>
      </c>
      <c r="I999" s="1">
        <v>47</v>
      </c>
      <c r="J999" s="1">
        <v>35</v>
      </c>
      <c r="K999" s="1" t="s">
        <v>54</v>
      </c>
      <c r="L999" s="1" t="s">
        <v>19</v>
      </c>
      <c r="M999" s="1">
        <v>1658</v>
      </c>
    </row>
    <row r="1000" spans="1:13" x14ac:dyDescent="0.35">
      <c r="A1000" s="1" t="s">
        <v>1639</v>
      </c>
      <c r="B1000" s="2">
        <v>46258</v>
      </c>
      <c r="C1000" s="1" t="s">
        <v>479</v>
      </c>
      <c r="D1000" s="1" t="s">
        <v>22</v>
      </c>
      <c r="E1000" s="1" t="s">
        <v>37</v>
      </c>
      <c r="F1000" s="1" t="s">
        <v>17</v>
      </c>
      <c r="G1000" s="3">
        <v>0.86458333333333337</v>
      </c>
      <c r="H1000" s="3">
        <v>0.87222222222222223</v>
      </c>
      <c r="I1000" s="1">
        <v>11</v>
      </c>
      <c r="J1000" s="1">
        <v>4</v>
      </c>
      <c r="K1000" s="1"/>
      <c r="L1000" s="1" t="s">
        <v>19</v>
      </c>
      <c r="M1000" s="1">
        <v>2415</v>
      </c>
    </row>
    <row r="1001" spans="1:13" x14ac:dyDescent="0.35">
      <c r="A1001" s="1" t="s">
        <v>1640</v>
      </c>
      <c r="B1001" s="2">
        <v>46259</v>
      </c>
      <c r="C1001" s="1" t="s">
        <v>207</v>
      </c>
      <c r="D1001" s="1" t="s">
        <v>328</v>
      </c>
      <c r="E1001" s="1" t="s">
        <v>27</v>
      </c>
      <c r="F1001" s="1" t="s">
        <v>17</v>
      </c>
      <c r="G1001" s="3">
        <v>0.32291666666666669</v>
      </c>
      <c r="H1001" s="3">
        <v>0.32222222222222219</v>
      </c>
      <c r="I1001" s="1">
        <v>-1</v>
      </c>
      <c r="J1001" s="1">
        <v>-4</v>
      </c>
      <c r="K1001" s="1"/>
      <c r="L1001" s="1" t="s">
        <v>19</v>
      </c>
      <c r="M1001" s="1">
        <v>1389</v>
      </c>
    </row>
    <row r="1002" spans="1:13" x14ac:dyDescent="0.35">
      <c r="A1002" s="1" t="s">
        <v>1641</v>
      </c>
      <c r="B1002" s="2">
        <v>46259</v>
      </c>
      <c r="C1002" s="1" t="s">
        <v>721</v>
      </c>
      <c r="D1002" s="1" t="s">
        <v>15</v>
      </c>
      <c r="E1002" s="1" t="s">
        <v>41</v>
      </c>
      <c r="F1002" s="1" t="s">
        <v>17</v>
      </c>
      <c r="G1002" s="3">
        <v>0.64930555555555558</v>
      </c>
      <c r="H1002" s="3">
        <v>0.65069444444444446</v>
      </c>
      <c r="I1002" s="1">
        <v>2</v>
      </c>
      <c r="J1002" s="1">
        <v>-9</v>
      </c>
      <c r="K1002" s="1" t="s">
        <v>18</v>
      </c>
      <c r="L1002" s="1" t="s">
        <v>19</v>
      </c>
      <c r="M1002" s="1">
        <v>2338</v>
      </c>
    </row>
    <row r="1003" spans="1:13" x14ac:dyDescent="0.35">
      <c r="A1003" s="1" t="s">
        <v>1642</v>
      </c>
      <c r="B1003" s="2">
        <v>46261</v>
      </c>
      <c r="C1003" s="1" t="s">
        <v>1075</v>
      </c>
      <c r="D1003" s="1" t="s">
        <v>41</v>
      </c>
      <c r="E1003" s="1" t="s">
        <v>16</v>
      </c>
      <c r="F1003" s="1" t="s">
        <v>24</v>
      </c>
      <c r="G1003" s="3">
        <v>0.3125</v>
      </c>
      <c r="H1003" s="3">
        <v>0.31319444444444439</v>
      </c>
      <c r="I1003" s="1">
        <v>1</v>
      </c>
      <c r="J1003" s="1">
        <v>7</v>
      </c>
      <c r="K1003" s="1" t="s">
        <v>18</v>
      </c>
      <c r="L1003" s="1" t="s">
        <v>19</v>
      </c>
      <c r="M1003" s="1">
        <v>1199</v>
      </c>
    </row>
    <row r="1004" spans="1:13" x14ac:dyDescent="0.35">
      <c r="A1004" s="1" t="s">
        <v>1643</v>
      </c>
      <c r="B1004" s="2">
        <v>46261</v>
      </c>
      <c r="C1004" s="1" t="s">
        <v>494</v>
      </c>
      <c r="D1004" s="1" t="s">
        <v>31</v>
      </c>
      <c r="E1004" s="1" t="s">
        <v>22</v>
      </c>
      <c r="F1004" s="1" t="s">
        <v>38</v>
      </c>
      <c r="G1004" s="3">
        <v>0.61805555555555558</v>
      </c>
      <c r="H1004" s="3">
        <v>0.61527777777777781</v>
      </c>
      <c r="I1004" s="1">
        <v>-4</v>
      </c>
      <c r="J1004" s="1">
        <v>-8</v>
      </c>
      <c r="K1004" s="1"/>
      <c r="L1004" s="1" t="s">
        <v>19</v>
      </c>
      <c r="M1004" s="1">
        <v>2243</v>
      </c>
    </row>
    <row r="1005" spans="1:13" x14ac:dyDescent="0.35">
      <c r="A1005" s="1" t="s">
        <v>1644</v>
      </c>
      <c r="B1005" s="2">
        <v>46261</v>
      </c>
      <c r="C1005" s="1" t="s">
        <v>176</v>
      </c>
      <c r="D1005" s="1" t="s">
        <v>37</v>
      </c>
      <c r="E1005" s="1" t="s">
        <v>22</v>
      </c>
      <c r="F1005" s="1" t="s">
        <v>28</v>
      </c>
      <c r="G1005" s="3">
        <v>0.62847222222222221</v>
      </c>
      <c r="H1005" s="3">
        <v>0.62777777777777777</v>
      </c>
      <c r="I1005" s="1">
        <v>-1</v>
      </c>
      <c r="J1005" s="1">
        <v>-8</v>
      </c>
      <c r="K1005" s="1" t="s">
        <v>18</v>
      </c>
      <c r="L1005" s="1" t="s">
        <v>19</v>
      </c>
      <c r="M1005" s="1">
        <v>2415</v>
      </c>
    </row>
    <row r="1006" spans="1:13" x14ac:dyDescent="0.35">
      <c r="A1006" s="1" t="s">
        <v>1645</v>
      </c>
      <c r="B1006" s="2">
        <v>46262</v>
      </c>
      <c r="C1006" s="1" t="s">
        <v>118</v>
      </c>
      <c r="D1006" s="1" t="s">
        <v>16</v>
      </c>
      <c r="E1006" s="1" t="s">
        <v>44</v>
      </c>
      <c r="F1006" s="1" t="s">
        <v>17</v>
      </c>
      <c r="G1006" s="3">
        <v>0.51388888888888884</v>
      </c>
      <c r="H1006" s="3">
        <v>0.6118055555555556</v>
      </c>
      <c r="I1006" s="1">
        <v>141</v>
      </c>
      <c r="J1006" s="1">
        <v>126</v>
      </c>
      <c r="K1006" s="1" t="s">
        <v>60</v>
      </c>
      <c r="L1006" s="1" t="s">
        <v>19</v>
      </c>
      <c r="M1006" s="1">
        <v>864</v>
      </c>
    </row>
    <row r="1007" spans="1:13" x14ac:dyDescent="0.35">
      <c r="A1007" s="1" t="s">
        <v>1646</v>
      </c>
      <c r="B1007" s="2">
        <v>46262</v>
      </c>
      <c r="C1007" s="1" t="s">
        <v>598</v>
      </c>
      <c r="D1007" s="1" t="s">
        <v>50</v>
      </c>
      <c r="E1007" s="1" t="s">
        <v>16</v>
      </c>
      <c r="F1007" s="1" t="s">
        <v>28</v>
      </c>
      <c r="G1007" s="3">
        <v>0.68055555555555558</v>
      </c>
      <c r="H1007" s="1"/>
      <c r="I1007" s="1">
        <v>57</v>
      </c>
      <c r="J1007" s="1">
        <v>57</v>
      </c>
      <c r="K1007" s="1" t="s">
        <v>174</v>
      </c>
      <c r="L1007" s="1" t="s">
        <v>19</v>
      </c>
      <c r="M1007" s="1">
        <v>606</v>
      </c>
    </row>
    <row r="1008" spans="1:13" x14ac:dyDescent="0.35">
      <c r="A1008" s="1" t="s">
        <v>1647</v>
      </c>
      <c r="B1008" s="2">
        <v>46263</v>
      </c>
      <c r="C1008" s="1" t="s">
        <v>583</v>
      </c>
      <c r="D1008" s="1" t="s">
        <v>50</v>
      </c>
      <c r="E1008" s="1" t="s">
        <v>41</v>
      </c>
      <c r="F1008" s="1" t="s">
        <v>17</v>
      </c>
      <c r="G1008" s="3">
        <v>0.32291666666666669</v>
      </c>
      <c r="H1008" s="3">
        <v>0.43472222222222218</v>
      </c>
      <c r="I1008" s="1">
        <v>161</v>
      </c>
      <c r="J1008" s="1">
        <v>165</v>
      </c>
      <c r="K1008" s="1" t="s">
        <v>60</v>
      </c>
      <c r="L1008" s="1" t="s">
        <v>19</v>
      </c>
      <c r="M1008" s="1">
        <v>596</v>
      </c>
    </row>
    <row r="1009" spans="1:13" x14ac:dyDescent="0.35">
      <c r="A1009" s="1" t="s">
        <v>1648</v>
      </c>
      <c r="B1009" s="2">
        <v>46264</v>
      </c>
      <c r="C1009" s="1" t="s">
        <v>14</v>
      </c>
      <c r="D1009" s="1" t="s">
        <v>31</v>
      </c>
      <c r="E1009" s="1" t="s">
        <v>16</v>
      </c>
      <c r="F1009" s="1" t="s">
        <v>17</v>
      </c>
      <c r="G1009" s="3">
        <v>0.43055555555555558</v>
      </c>
      <c r="H1009" s="1"/>
      <c r="I1009" s="1">
        <v>3</v>
      </c>
      <c r="J1009" s="1">
        <v>0</v>
      </c>
      <c r="K1009" s="1"/>
      <c r="L1009" s="1" t="s">
        <v>19</v>
      </c>
      <c r="M1009" s="1">
        <v>1511</v>
      </c>
    </row>
    <row r="1010" spans="1:13" x14ac:dyDescent="0.35">
      <c r="A1010" s="1" t="s">
        <v>1649</v>
      </c>
      <c r="B1010" s="2">
        <v>46264</v>
      </c>
      <c r="C1010" s="1" t="s">
        <v>218</v>
      </c>
      <c r="D1010" s="1" t="s">
        <v>27</v>
      </c>
      <c r="E1010" s="1" t="s">
        <v>16</v>
      </c>
      <c r="F1010" s="1" t="s">
        <v>28</v>
      </c>
      <c r="G1010" s="3">
        <v>0.78125</v>
      </c>
      <c r="H1010" s="3">
        <v>0.77986111111111112</v>
      </c>
      <c r="I1010" s="1">
        <v>-2</v>
      </c>
      <c r="J1010" s="1">
        <v>-4</v>
      </c>
      <c r="K1010" s="1" t="s">
        <v>18</v>
      </c>
      <c r="L1010" s="1" t="s">
        <v>19</v>
      </c>
      <c r="M1010" s="1">
        <v>802</v>
      </c>
    </row>
    <row r="1011" spans="1:13" x14ac:dyDescent="0.35">
      <c r="A1011" s="1" t="s">
        <v>1650</v>
      </c>
      <c r="B1011" s="2">
        <v>46264</v>
      </c>
      <c r="C1011" s="1" t="s">
        <v>300</v>
      </c>
      <c r="D1011" s="1" t="s">
        <v>78</v>
      </c>
      <c r="E1011" s="1" t="s">
        <v>50</v>
      </c>
      <c r="F1011" s="1" t="s">
        <v>24</v>
      </c>
      <c r="G1011" s="3">
        <v>0.82291666666666663</v>
      </c>
      <c r="H1011" s="3">
        <v>0.82777777777777772</v>
      </c>
      <c r="I1011" s="1">
        <v>7</v>
      </c>
      <c r="J1011" s="1">
        <v>2</v>
      </c>
      <c r="K1011" s="1" t="s">
        <v>18</v>
      </c>
      <c r="L1011" s="1" t="s">
        <v>19</v>
      </c>
      <c r="M1011" s="1">
        <v>1584</v>
      </c>
    </row>
    <row r="1012" spans="1:13" x14ac:dyDescent="0.35">
      <c r="A1012" s="1" t="s">
        <v>1651</v>
      </c>
      <c r="B1012" s="2">
        <v>46265</v>
      </c>
      <c r="C1012" s="1" t="s">
        <v>1091</v>
      </c>
      <c r="D1012" s="1" t="s">
        <v>27</v>
      </c>
      <c r="E1012" s="1" t="s">
        <v>37</v>
      </c>
      <c r="F1012" s="1" t="s">
        <v>24</v>
      </c>
      <c r="G1012" s="3">
        <v>0.70833333333333337</v>
      </c>
      <c r="H1012" s="3">
        <v>0.73541666666666672</v>
      </c>
      <c r="I1012" s="1">
        <v>39</v>
      </c>
      <c r="J1012" s="1">
        <v>36</v>
      </c>
      <c r="K1012" s="1" t="s">
        <v>303</v>
      </c>
      <c r="L1012" s="1" t="s">
        <v>19</v>
      </c>
      <c r="M1012" s="1">
        <v>1658</v>
      </c>
    </row>
    <row r="1013" spans="1:13" x14ac:dyDescent="0.35">
      <c r="A1013" s="1" t="s">
        <v>1652</v>
      </c>
      <c r="B1013" s="2">
        <v>46265</v>
      </c>
      <c r="C1013" s="1" t="s">
        <v>269</v>
      </c>
      <c r="D1013" s="1" t="s">
        <v>50</v>
      </c>
      <c r="E1013" s="1" t="s">
        <v>16</v>
      </c>
      <c r="F1013" s="1" t="s">
        <v>38</v>
      </c>
      <c r="G1013" s="3">
        <v>0.78125</v>
      </c>
      <c r="H1013" s="3">
        <v>0.80555555555555558</v>
      </c>
      <c r="I1013" s="1">
        <v>35</v>
      </c>
      <c r="J1013" s="1">
        <v>26</v>
      </c>
      <c r="K1013" s="1" t="s">
        <v>60</v>
      </c>
      <c r="L1013" s="1" t="s">
        <v>19</v>
      </c>
      <c r="M1013" s="1">
        <v>606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3"/>
  <sheetViews>
    <sheetView tabSelected="1" topLeftCell="B1" workbookViewId="0">
      <pane ySplit="1" topLeftCell="A4" activePane="bottomLeft" state="frozen"/>
      <selection pane="bottomLeft" activeCell="B1" sqref="B1:B1048576"/>
    </sheetView>
  </sheetViews>
  <sheetFormatPr defaultRowHeight="14.5" x14ac:dyDescent="0.35"/>
  <cols>
    <col min="1" max="1" width="11" customWidth="1"/>
    <col min="2" max="2" width="12" customWidth="1"/>
    <col min="3" max="3" width="13" customWidth="1"/>
    <col min="4" max="5" width="14" customWidth="1"/>
    <col min="6" max="6" width="16" customWidth="1"/>
    <col min="7" max="7" width="18" customWidth="1"/>
    <col min="8" max="8" width="16" customWidth="1"/>
    <col min="9" max="9" width="18" customWidth="1"/>
    <col min="10" max="10" width="16" customWidth="1"/>
    <col min="11" max="11" width="20" customWidth="1"/>
    <col min="12" max="12" width="11" customWidth="1"/>
    <col min="13" max="13" width="14" customWidth="1"/>
  </cols>
  <sheetData>
    <row r="1" spans="1:13" x14ac:dyDescent="0.35">
      <c r="A1" s="4" t="s">
        <v>0</v>
      </c>
      <c r="B1" s="4" t="s">
        <v>1</v>
      </c>
      <c r="C1" s="4" t="s">
        <v>2</v>
      </c>
      <c r="D1" s="4" t="s">
        <v>3</v>
      </c>
      <c r="E1" s="4" t="s">
        <v>4</v>
      </c>
      <c r="F1" s="4" t="s">
        <v>5</v>
      </c>
      <c r="G1" s="4" t="s">
        <v>6</v>
      </c>
      <c r="H1" s="4" t="s">
        <v>7</v>
      </c>
      <c r="I1" s="4" t="s">
        <v>8</v>
      </c>
      <c r="J1" s="4" t="s">
        <v>9</v>
      </c>
      <c r="K1" s="4" t="s">
        <v>10</v>
      </c>
      <c r="L1" s="4" t="s">
        <v>11</v>
      </c>
      <c r="M1" s="4" t="s">
        <v>12</v>
      </c>
    </row>
    <row r="2" spans="1:13" x14ac:dyDescent="0.35">
      <c r="A2" s="1" t="s">
        <v>13</v>
      </c>
      <c r="B2" s="2">
        <v>45901</v>
      </c>
      <c r="C2" s="1" t="s">
        <v>14</v>
      </c>
      <c r="D2" s="1" t="s">
        <v>15</v>
      </c>
      <c r="E2" s="1" t="s">
        <v>16</v>
      </c>
      <c r="F2" s="1" t="s">
        <v>17</v>
      </c>
      <c r="G2" s="3">
        <v>0.28819444444444442</v>
      </c>
      <c r="H2" s="3">
        <v>0.28680555555555548</v>
      </c>
      <c r="I2" s="1">
        <v>-2</v>
      </c>
      <c r="J2" s="1">
        <v>-12</v>
      </c>
      <c r="K2" s="1" t="s">
        <v>18</v>
      </c>
      <c r="L2" s="1" t="s">
        <v>19</v>
      </c>
      <c r="M2" s="1">
        <v>1742</v>
      </c>
    </row>
    <row r="3" spans="1:13" x14ac:dyDescent="0.35">
      <c r="A3" s="1" t="s">
        <v>20</v>
      </c>
      <c r="B3" s="2">
        <v>45901</v>
      </c>
      <c r="C3" s="1" t="s">
        <v>21</v>
      </c>
      <c r="D3" s="1" t="s">
        <v>22</v>
      </c>
      <c r="E3" s="1" t="s">
        <v>23</v>
      </c>
      <c r="F3" s="1" t="s">
        <v>24</v>
      </c>
      <c r="G3" s="3">
        <v>0.375</v>
      </c>
      <c r="H3" s="3">
        <v>0.38333333333333341</v>
      </c>
      <c r="I3" s="1">
        <v>12</v>
      </c>
      <c r="J3" s="1">
        <v>22</v>
      </c>
      <c r="K3" s="1" t="s">
        <v>18</v>
      </c>
      <c r="L3" s="1" t="s">
        <v>19</v>
      </c>
      <c r="M3" s="1">
        <v>1622</v>
      </c>
    </row>
    <row r="4" spans="1:13" x14ac:dyDescent="0.35">
      <c r="A4" s="1" t="s">
        <v>25</v>
      </c>
      <c r="B4" s="2">
        <v>45901</v>
      </c>
      <c r="C4" s="1" t="s">
        <v>26</v>
      </c>
      <c r="D4" s="1" t="s">
        <v>27</v>
      </c>
      <c r="E4" s="1" t="s">
        <v>15</v>
      </c>
      <c r="F4" s="1" t="s">
        <v>28</v>
      </c>
      <c r="G4" s="3">
        <v>0.40625</v>
      </c>
      <c r="H4" s="3">
        <v>0.40486111111111112</v>
      </c>
      <c r="I4" s="1">
        <v>-2</v>
      </c>
      <c r="J4" s="1">
        <v>-3</v>
      </c>
      <c r="K4" s="1" t="s">
        <v>18</v>
      </c>
      <c r="L4" s="1" t="s">
        <v>19</v>
      </c>
      <c r="M4" s="1">
        <v>1232</v>
      </c>
    </row>
    <row r="5" spans="1:13" x14ac:dyDescent="0.35">
      <c r="A5" s="1" t="s">
        <v>29</v>
      </c>
      <c r="B5" s="2">
        <v>45902</v>
      </c>
      <c r="C5" s="1" t="s">
        <v>30</v>
      </c>
      <c r="D5" s="1" t="s">
        <v>31</v>
      </c>
      <c r="E5" s="1" t="s">
        <v>32</v>
      </c>
      <c r="F5" s="1" t="s">
        <v>17</v>
      </c>
      <c r="G5" s="3">
        <v>0.44444444444444442</v>
      </c>
      <c r="H5" s="3">
        <v>0.44166666666666671</v>
      </c>
      <c r="I5" s="1">
        <v>-4</v>
      </c>
      <c r="J5" s="1">
        <v>4</v>
      </c>
      <c r="K5" s="1" t="s">
        <v>18</v>
      </c>
      <c r="L5" s="1" t="s">
        <v>19</v>
      </c>
      <c r="M5" s="1">
        <v>2243</v>
      </c>
    </row>
    <row r="6" spans="1:13" x14ac:dyDescent="0.35">
      <c r="A6" s="1" t="s">
        <v>33</v>
      </c>
      <c r="B6" s="2">
        <v>45903</v>
      </c>
      <c r="C6" s="1" t="s">
        <v>34</v>
      </c>
      <c r="D6" s="1" t="s">
        <v>22</v>
      </c>
      <c r="E6" s="1" t="s">
        <v>23</v>
      </c>
      <c r="F6" s="1" t="s">
        <v>17</v>
      </c>
      <c r="G6" s="3">
        <v>0.26041666666666669</v>
      </c>
      <c r="H6" s="3">
        <v>0.26180555555555562</v>
      </c>
      <c r="I6" s="1">
        <v>2</v>
      </c>
      <c r="J6" s="1">
        <v>-1</v>
      </c>
      <c r="K6" s="1" t="s">
        <v>18</v>
      </c>
      <c r="L6" s="1" t="s">
        <v>19</v>
      </c>
      <c r="M6" s="1">
        <v>1622</v>
      </c>
    </row>
    <row r="7" spans="1:13" x14ac:dyDescent="0.35">
      <c r="A7" s="1" t="s">
        <v>35</v>
      </c>
      <c r="B7" s="2">
        <v>45903</v>
      </c>
      <c r="C7" s="1" t="s">
        <v>36</v>
      </c>
      <c r="D7" s="1" t="s">
        <v>37</v>
      </c>
      <c r="E7" s="1" t="s">
        <v>22</v>
      </c>
      <c r="F7" s="1" t="s">
        <v>38</v>
      </c>
      <c r="G7" s="3">
        <v>0.41319444444444442</v>
      </c>
      <c r="H7" s="3">
        <v>0.41944444444444451</v>
      </c>
      <c r="I7" s="1">
        <v>9</v>
      </c>
      <c r="J7" s="1">
        <v>-2</v>
      </c>
      <c r="K7" s="1" t="s">
        <v>18</v>
      </c>
      <c r="L7" s="1" t="s">
        <v>19</v>
      </c>
      <c r="M7" s="1">
        <v>2415</v>
      </c>
    </row>
    <row r="8" spans="1:13" x14ac:dyDescent="0.35">
      <c r="A8" s="1" t="s">
        <v>39</v>
      </c>
      <c r="B8" s="2">
        <v>45903</v>
      </c>
      <c r="C8" s="1" t="s">
        <v>40</v>
      </c>
      <c r="D8" s="1" t="s">
        <v>16</v>
      </c>
      <c r="E8" s="1" t="s">
        <v>41</v>
      </c>
      <c r="F8" s="1" t="s">
        <v>38</v>
      </c>
      <c r="G8" s="3">
        <v>0.44791666666666669</v>
      </c>
      <c r="H8" s="3">
        <v>0.45624999999999999</v>
      </c>
      <c r="I8" s="1">
        <v>12</v>
      </c>
      <c r="J8" s="1">
        <v>2</v>
      </c>
      <c r="K8" s="1" t="s">
        <v>18</v>
      </c>
      <c r="L8" s="1" t="s">
        <v>19</v>
      </c>
      <c r="M8" s="1">
        <v>1199</v>
      </c>
    </row>
    <row r="9" spans="1:13" x14ac:dyDescent="0.35">
      <c r="A9" s="1" t="s">
        <v>42</v>
      </c>
      <c r="B9" s="2">
        <v>45903</v>
      </c>
      <c r="C9" s="1" t="s">
        <v>43</v>
      </c>
      <c r="D9" s="1" t="s">
        <v>31</v>
      </c>
      <c r="E9" s="1" t="s">
        <v>44</v>
      </c>
      <c r="F9" s="1" t="s">
        <v>28</v>
      </c>
      <c r="G9" s="3">
        <v>0.51736111111111116</v>
      </c>
      <c r="H9" s="3">
        <v>0.51597222222222228</v>
      </c>
      <c r="I9" s="1">
        <v>-2</v>
      </c>
      <c r="J9" s="1">
        <v>1</v>
      </c>
      <c r="K9" s="1" t="s">
        <v>18</v>
      </c>
      <c r="L9" s="1" t="s">
        <v>19</v>
      </c>
      <c r="M9" s="1">
        <v>2375</v>
      </c>
    </row>
    <row r="10" spans="1:13" x14ac:dyDescent="0.35">
      <c r="A10" s="1" t="s">
        <v>45</v>
      </c>
      <c r="B10" s="2">
        <v>45904</v>
      </c>
      <c r="C10" s="1" t="s">
        <v>46</v>
      </c>
      <c r="D10" s="1" t="s">
        <v>47</v>
      </c>
      <c r="E10" s="1" t="s">
        <v>23</v>
      </c>
      <c r="F10" s="1" t="s">
        <v>28</v>
      </c>
      <c r="G10" s="3">
        <v>0.27430555555555558</v>
      </c>
      <c r="H10" s="3">
        <v>0.27152777777777781</v>
      </c>
      <c r="I10" s="1">
        <v>-4</v>
      </c>
      <c r="J10" s="1">
        <v>-10</v>
      </c>
      <c r="K10" s="1"/>
      <c r="L10" s="1" t="s">
        <v>19</v>
      </c>
      <c r="M10" s="1">
        <v>965</v>
      </c>
    </row>
    <row r="11" spans="1:13" x14ac:dyDescent="0.35">
      <c r="A11" s="1" t="s">
        <v>48</v>
      </c>
      <c r="B11" s="2">
        <v>45904</v>
      </c>
      <c r="C11" s="1" t="s">
        <v>49</v>
      </c>
      <c r="D11" s="1" t="s">
        <v>50</v>
      </c>
      <c r="E11" s="1" t="s">
        <v>51</v>
      </c>
      <c r="F11" s="1" t="s">
        <v>38</v>
      </c>
      <c r="G11" s="3">
        <v>0.34722222222222221</v>
      </c>
      <c r="H11" s="3">
        <v>0.35555555555555562</v>
      </c>
      <c r="I11" s="1">
        <v>12</v>
      </c>
      <c r="J11" s="1">
        <v>21</v>
      </c>
      <c r="K11" s="1" t="s">
        <v>18</v>
      </c>
      <c r="L11" s="1" t="s">
        <v>19</v>
      </c>
      <c r="M11" s="1">
        <v>730</v>
      </c>
    </row>
    <row r="12" spans="1:13" x14ac:dyDescent="0.35">
      <c r="A12" s="1" t="s">
        <v>52</v>
      </c>
      <c r="B12" s="2">
        <v>45904</v>
      </c>
      <c r="C12" s="1" t="s">
        <v>53</v>
      </c>
      <c r="D12" s="1" t="s">
        <v>15</v>
      </c>
      <c r="E12" s="1" t="s">
        <v>22</v>
      </c>
      <c r="F12" s="1" t="s">
        <v>17</v>
      </c>
      <c r="G12" s="3">
        <v>0.55555555555555558</v>
      </c>
      <c r="H12" s="3">
        <v>0.60972222222222228</v>
      </c>
      <c r="I12" s="1">
        <v>78</v>
      </c>
      <c r="J12" s="1">
        <v>76</v>
      </c>
      <c r="K12" s="1" t="s">
        <v>54</v>
      </c>
      <c r="L12" s="1" t="s">
        <v>19</v>
      </c>
      <c r="M12" s="1">
        <v>2470</v>
      </c>
    </row>
    <row r="13" spans="1:13" x14ac:dyDescent="0.35">
      <c r="A13" s="1" t="s">
        <v>55</v>
      </c>
      <c r="B13" s="2">
        <v>45904</v>
      </c>
      <c r="C13" s="1" t="s">
        <v>56</v>
      </c>
      <c r="D13" s="1" t="s">
        <v>15</v>
      </c>
      <c r="E13" s="1" t="s">
        <v>27</v>
      </c>
      <c r="F13" s="1" t="s">
        <v>17</v>
      </c>
      <c r="G13" s="3">
        <v>0.57291666666666663</v>
      </c>
      <c r="H13" s="3">
        <v>0.56944444444444442</v>
      </c>
      <c r="I13" s="1">
        <v>-5</v>
      </c>
      <c r="J13" s="1">
        <v>0</v>
      </c>
      <c r="K13" s="1" t="s">
        <v>18</v>
      </c>
      <c r="L13" s="1" t="s">
        <v>19</v>
      </c>
      <c r="M13" s="1">
        <v>1232</v>
      </c>
    </row>
    <row r="14" spans="1:13" x14ac:dyDescent="0.35">
      <c r="A14" s="1" t="s">
        <v>57</v>
      </c>
      <c r="B14" s="2">
        <v>45904</v>
      </c>
      <c r="C14" s="1" t="s">
        <v>58</v>
      </c>
      <c r="D14" s="1" t="s">
        <v>59</v>
      </c>
      <c r="E14" s="1" t="s">
        <v>44</v>
      </c>
      <c r="F14" s="1" t="s">
        <v>24</v>
      </c>
      <c r="G14" s="3">
        <v>0.80555555555555558</v>
      </c>
      <c r="H14" s="3">
        <v>0.81736111111111109</v>
      </c>
      <c r="I14" s="1">
        <v>17</v>
      </c>
      <c r="J14" s="1">
        <v>23</v>
      </c>
      <c r="K14" s="1" t="s">
        <v>60</v>
      </c>
      <c r="L14" s="1" t="s">
        <v>19</v>
      </c>
      <c r="M14" s="1">
        <v>945</v>
      </c>
    </row>
    <row r="15" spans="1:13" x14ac:dyDescent="0.35">
      <c r="A15" s="1" t="s">
        <v>61</v>
      </c>
      <c r="B15" s="2">
        <v>45904</v>
      </c>
      <c r="C15" s="1" t="s">
        <v>62</v>
      </c>
      <c r="D15" s="1" t="s">
        <v>22</v>
      </c>
      <c r="E15" s="1" t="s">
        <v>15</v>
      </c>
      <c r="F15" s="1" t="s">
        <v>28</v>
      </c>
      <c r="G15" s="3">
        <v>0.82638888888888884</v>
      </c>
      <c r="H15" s="3">
        <v>0.83472222222222225</v>
      </c>
      <c r="I15" s="1">
        <v>12</v>
      </c>
      <c r="J15" s="1">
        <v>13</v>
      </c>
      <c r="K15" s="1" t="s">
        <v>18</v>
      </c>
      <c r="L15" s="1" t="s">
        <v>19</v>
      </c>
      <c r="M15" s="1">
        <v>2470</v>
      </c>
    </row>
    <row r="16" spans="1:13" x14ac:dyDescent="0.35">
      <c r="A16" s="1" t="s">
        <v>63</v>
      </c>
      <c r="B16" s="2">
        <v>45905</v>
      </c>
      <c r="C16" s="1" t="s">
        <v>64</v>
      </c>
      <c r="D16" s="1" t="s">
        <v>22</v>
      </c>
      <c r="E16" s="1" t="s">
        <v>50</v>
      </c>
      <c r="F16" s="1" t="s">
        <v>24</v>
      </c>
      <c r="G16" s="3">
        <v>0.58680555555555558</v>
      </c>
      <c r="H16" s="3">
        <v>0.59444444444444444</v>
      </c>
      <c r="I16" s="1">
        <v>11</v>
      </c>
      <c r="J16" s="1">
        <v>2</v>
      </c>
      <c r="K16" s="1" t="s">
        <v>18</v>
      </c>
      <c r="L16" s="1" t="s">
        <v>19</v>
      </c>
      <c r="M16" s="1">
        <v>759</v>
      </c>
    </row>
    <row r="17" spans="1:13" x14ac:dyDescent="0.35">
      <c r="A17" s="1" t="s">
        <v>65</v>
      </c>
      <c r="B17" s="2">
        <v>45905</v>
      </c>
      <c r="C17" s="1" t="s">
        <v>66</v>
      </c>
      <c r="D17" s="1" t="s">
        <v>47</v>
      </c>
      <c r="E17" s="1" t="s">
        <v>50</v>
      </c>
      <c r="F17" s="1" t="s">
        <v>38</v>
      </c>
      <c r="G17" s="3">
        <v>0.69097222222222221</v>
      </c>
      <c r="H17" s="1"/>
      <c r="I17" s="1">
        <v>6</v>
      </c>
      <c r="J17" s="1">
        <v>10</v>
      </c>
      <c r="K17" s="1" t="s">
        <v>18</v>
      </c>
      <c r="L17" s="1" t="s">
        <v>19</v>
      </c>
      <c r="M17" s="1">
        <v>2134</v>
      </c>
    </row>
    <row r="18" spans="1:13" x14ac:dyDescent="0.35">
      <c r="A18" s="1" t="s">
        <v>67</v>
      </c>
      <c r="B18" s="2">
        <v>45906</v>
      </c>
      <c r="C18" s="1" t="s">
        <v>68</v>
      </c>
      <c r="D18" s="1" t="s">
        <v>44</v>
      </c>
      <c r="E18" s="1" t="s">
        <v>15</v>
      </c>
      <c r="F18" s="1" t="s">
        <v>28</v>
      </c>
      <c r="G18" s="3">
        <v>0.52777777777777779</v>
      </c>
      <c r="H18" s="3">
        <v>0.52222222222222225</v>
      </c>
      <c r="I18" s="1">
        <v>-8</v>
      </c>
      <c r="J18" s="1">
        <v>-13</v>
      </c>
      <c r="K18" s="1" t="s">
        <v>18</v>
      </c>
      <c r="L18" s="1" t="s">
        <v>19</v>
      </c>
      <c r="M18" s="1">
        <v>2606</v>
      </c>
    </row>
    <row r="19" spans="1:13" x14ac:dyDescent="0.35">
      <c r="A19" s="1" t="s">
        <v>69</v>
      </c>
      <c r="B19" s="2">
        <v>45906</v>
      </c>
      <c r="C19" s="1" t="s">
        <v>70</v>
      </c>
      <c r="D19" s="1" t="s">
        <v>23</v>
      </c>
      <c r="E19" s="1" t="s">
        <v>71</v>
      </c>
      <c r="F19" s="1" t="s">
        <v>38</v>
      </c>
      <c r="G19" s="3">
        <v>0.56944444444444442</v>
      </c>
      <c r="H19" s="3">
        <v>0.56527777777777777</v>
      </c>
      <c r="I19" s="1">
        <v>-6</v>
      </c>
      <c r="J19" s="1">
        <v>-13</v>
      </c>
      <c r="K19" s="1" t="s">
        <v>18</v>
      </c>
      <c r="L19" s="1" t="s">
        <v>19</v>
      </c>
      <c r="M19" s="1">
        <v>886</v>
      </c>
    </row>
    <row r="20" spans="1:13" x14ac:dyDescent="0.35">
      <c r="A20" s="1" t="s">
        <v>72</v>
      </c>
      <c r="B20" s="2">
        <v>45906</v>
      </c>
      <c r="C20" s="1" t="s">
        <v>73</v>
      </c>
      <c r="D20" s="1" t="s">
        <v>23</v>
      </c>
      <c r="E20" s="1" t="s">
        <v>16</v>
      </c>
      <c r="F20" s="1" t="s">
        <v>17</v>
      </c>
      <c r="G20" s="3">
        <v>0.72569444444444442</v>
      </c>
      <c r="H20" s="3">
        <v>0.73055555555555551</v>
      </c>
      <c r="I20" s="1">
        <v>7</v>
      </c>
      <c r="J20" s="1">
        <v>-2</v>
      </c>
      <c r="K20" s="1" t="s">
        <v>18</v>
      </c>
      <c r="L20" s="1" t="s">
        <v>19</v>
      </c>
      <c r="M20" s="1">
        <v>886</v>
      </c>
    </row>
    <row r="21" spans="1:13" x14ac:dyDescent="0.35">
      <c r="A21" s="1" t="s">
        <v>74</v>
      </c>
      <c r="B21" s="2">
        <v>45907</v>
      </c>
      <c r="C21" s="1" t="s">
        <v>75</v>
      </c>
      <c r="D21" s="1" t="s">
        <v>31</v>
      </c>
      <c r="E21" s="1" t="s">
        <v>32</v>
      </c>
      <c r="F21" s="1" t="s">
        <v>28</v>
      </c>
      <c r="G21" s="3">
        <v>0.375</v>
      </c>
      <c r="H21" s="3">
        <v>0.38055555555555548</v>
      </c>
      <c r="I21" s="1">
        <v>8</v>
      </c>
      <c r="J21" s="1">
        <v>-1</v>
      </c>
      <c r="K21" s="1" t="s">
        <v>18</v>
      </c>
      <c r="L21" s="1" t="s">
        <v>19</v>
      </c>
      <c r="M21" s="1">
        <v>2243</v>
      </c>
    </row>
    <row r="22" spans="1:13" x14ac:dyDescent="0.35">
      <c r="A22" s="1" t="s">
        <v>74</v>
      </c>
      <c r="B22" s="2">
        <v>45907</v>
      </c>
      <c r="C22" s="1" t="s">
        <v>75</v>
      </c>
      <c r="D22" s="1" t="s">
        <v>31</v>
      </c>
      <c r="E22" s="1" t="s">
        <v>32</v>
      </c>
      <c r="F22" s="1" t="s">
        <v>28</v>
      </c>
      <c r="G22" s="3">
        <v>0.375</v>
      </c>
      <c r="H22" s="3">
        <v>0.38055555555555548</v>
      </c>
      <c r="I22" s="1">
        <v>8</v>
      </c>
      <c r="J22" s="1">
        <v>-1</v>
      </c>
      <c r="K22" s="1" t="s">
        <v>18</v>
      </c>
      <c r="L22" s="1" t="s">
        <v>19</v>
      </c>
      <c r="M22" s="1">
        <v>2243</v>
      </c>
    </row>
    <row r="23" spans="1:13" x14ac:dyDescent="0.35">
      <c r="A23" s="1" t="s">
        <v>76</v>
      </c>
      <c r="B23" s="2">
        <v>45908</v>
      </c>
      <c r="C23" s="1" t="s">
        <v>77</v>
      </c>
      <c r="D23" s="1" t="s">
        <v>78</v>
      </c>
      <c r="E23" s="1" t="s">
        <v>79</v>
      </c>
      <c r="F23" s="1" t="s">
        <v>17</v>
      </c>
      <c r="G23" s="3">
        <v>0.47569444444444442</v>
      </c>
      <c r="H23" s="3">
        <v>0.47152777777777782</v>
      </c>
      <c r="I23" s="1">
        <v>-6</v>
      </c>
      <c r="J23" s="1">
        <v>-9</v>
      </c>
      <c r="K23" s="1"/>
      <c r="L23" s="1" t="s">
        <v>19</v>
      </c>
      <c r="M23" s="1">
        <v>1584</v>
      </c>
    </row>
    <row r="24" spans="1:13" x14ac:dyDescent="0.35">
      <c r="A24" s="1" t="s">
        <v>80</v>
      </c>
      <c r="B24" s="2">
        <v>45908</v>
      </c>
      <c r="C24" s="1" t="s">
        <v>81</v>
      </c>
      <c r="D24" s="1" t="s">
        <v>27</v>
      </c>
      <c r="E24" s="1" t="s">
        <v>23</v>
      </c>
      <c r="F24" s="1" t="s">
        <v>38</v>
      </c>
      <c r="G24" s="3">
        <v>0.63541666666666663</v>
      </c>
      <c r="H24" s="1"/>
      <c r="I24" s="1">
        <v>0</v>
      </c>
      <c r="J24" s="1">
        <v>-9</v>
      </c>
      <c r="K24" s="1" t="s">
        <v>18</v>
      </c>
      <c r="L24" s="1" t="s">
        <v>19</v>
      </c>
      <c r="M24" s="1">
        <v>641</v>
      </c>
    </row>
    <row r="25" spans="1:13" x14ac:dyDescent="0.35">
      <c r="A25" s="1" t="s">
        <v>82</v>
      </c>
      <c r="B25" s="2">
        <v>45908</v>
      </c>
      <c r="C25" s="1" t="s">
        <v>83</v>
      </c>
      <c r="D25" s="1" t="s">
        <v>84</v>
      </c>
      <c r="E25" s="1" t="s">
        <v>16</v>
      </c>
      <c r="F25" s="1" t="s">
        <v>24</v>
      </c>
      <c r="G25" s="3">
        <v>0.81597222222222221</v>
      </c>
      <c r="H25" s="3">
        <v>0.81874999999999998</v>
      </c>
      <c r="I25" s="1">
        <v>4</v>
      </c>
      <c r="J25" s="1"/>
      <c r="K25" s="1"/>
      <c r="L25" s="1" t="s">
        <v>19</v>
      </c>
      <c r="M25" s="1">
        <v>1717</v>
      </c>
    </row>
    <row r="26" spans="1:13" x14ac:dyDescent="0.35">
      <c r="A26" s="1" t="s">
        <v>85</v>
      </c>
      <c r="B26" s="2">
        <v>45909</v>
      </c>
      <c r="C26" s="1" t="s">
        <v>86</v>
      </c>
      <c r="D26" s="1" t="s">
        <v>78</v>
      </c>
      <c r="E26" s="1" t="s">
        <v>44</v>
      </c>
      <c r="F26" s="1" t="s">
        <v>28</v>
      </c>
      <c r="G26" s="3">
        <v>0.40972222222222221</v>
      </c>
      <c r="H26" s="3">
        <v>0.5229166666666667</v>
      </c>
      <c r="I26" s="1">
        <v>163</v>
      </c>
      <c r="J26" s="1">
        <v>160</v>
      </c>
      <c r="K26" s="1" t="s">
        <v>60</v>
      </c>
      <c r="L26" s="1" t="s">
        <v>19</v>
      </c>
      <c r="M26" s="1">
        <v>2295</v>
      </c>
    </row>
    <row r="27" spans="1:13" x14ac:dyDescent="0.35">
      <c r="A27" s="1" t="s">
        <v>87</v>
      </c>
      <c r="B27" s="2">
        <v>45909</v>
      </c>
      <c r="C27" s="1" t="s">
        <v>88</v>
      </c>
      <c r="D27" s="1" t="s">
        <v>16</v>
      </c>
      <c r="E27" s="1" t="s">
        <v>41</v>
      </c>
      <c r="F27" s="1" t="s">
        <v>24</v>
      </c>
      <c r="G27" s="3">
        <v>0.56944444444444442</v>
      </c>
      <c r="H27" s="3">
        <v>0.56388888888888888</v>
      </c>
      <c r="I27" s="1">
        <v>-8</v>
      </c>
      <c r="J27" s="1">
        <v>-2</v>
      </c>
      <c r="K27" s="1" t="s">
        <v>18</v>
      </c>
      <c r="L27" s="1" t="s">
        <v>19</v>
      </c>
      <c r="M27" s="1">
        <v>1199</v>
      </c>
    </row>
    <row r="28" spans="1:13" x14ac:dyDescent="0.35">
      <c r="A28" s="1" t="s">
        <v>89</v>
      </c>
      <c r="B28" s="2">
        <v>45909</v>
      </c>
      <c r="C28" s="1" t="s">
        <v>90</v>
      </c>
      <c r="D28" s="1" t="s">
        <v>47</v>
      </c>
      <c r="E28" s="1" t="s">
        <v>44</v>
      </c>
      <c r="F28" s="1" t="s">
        <v>28</v>
      </c>
      <c r="G28" s="3">
        <v>0.59375</v>
      </c>
      <c r="H28" s="3">
        <v>0.59097222222222223</v>
      </c>
      <c r="I28" s="1">
        <v>-4</v>
      </c>
      <c r="J28" s="1">
        <v>-5</v>
      </c>
      <c r="K28" s="1" t="s">
        <v>18</v>
      </c>
      <c r="L28" s="1" t="s">
        <v>19</v>
      </c>
      <c r="M28" s="1">
        <v>2698</v>
      </c>
    </row>
    <row r="29" spans="1:13" x14ac:dyDescent="0.35">
      <c r="A29" s="1" t="s">
        <v>91</v>
      </c>
      <c r="B29" s="2">
        <v>45909</v>
      </c>
      <c r="C29" s="1" t="s">
        <v>92</v>
      </c>
      <c r="D29" s="1" t="s">
        <v>93</v>
      </c>
      <c r="E29" s="1" t="s">
        <v>27</v>
      </c>
      <c r="F29" s="1" t="s">
        <v>24</v>
      </c>
      <c r="G29" s="3">
        <v>0.70486111111111116</v>
      </c>
      <c r="H29" s="3">
        <v>0.7</v>
      </c>
      <c r="I29" s="1">
        <v>-7</v>
      </c>
      <c r="J29" s="1">
        <v>-15</v>
      </c>
      <c r="K29" s="1" t="s">
        <v>18</v>
      </c>
      <c r="L29" s="1" t="s">
        <v>19</v>
      </c>
      <c r="M29" s="1">
        <v>802</v>
      </c>
    </row>
    <row r="30" spans="1:13" x14ac:dyDescent="0.35">
      <c r="A30" s="1" t="s">
        <v>94</v>
      </c>
      <c r="B30" s="2">
        <v>45910</v>
      </c>
      <c r="C30" s="1" t="s">
        <v>95</v>
      </c>
      <c r="D30" s="1" t="s">
        <v>23</v>
      </c>
      <c r="E30" s="1" t="s">
        <v>78</v>
      </c>
      <c r="F30" s="1" t="s">
        <v>17</v>
      </c>
      <c r="G30" s="3">
        <v>0.3576388888888889</v>
      </c>
      <c r="H30" s="3">
        <v>0.3611111111111111</v>
      </c>
      <c r="I30" s="1">
        <v>5</v>
      </c>
      <c r="J30" s="1">
        <v>-3</v>
      </c>
      <c r="K30" s="1" t="s">
        <v>18</v>
      </c>
      <c r="L30" s="1" t="s">
        <v>19</v>
      </c>
      <c r="M30" s="1">
        <v>602</v>
      </c>
    </row>
    <row r="31" spans="1:13" x14ac:dyDescent="0.35">
      <c r="A31" s="1" t="s">
        <v>96</v>
      </c>
      <c r="B31" s="2">
        <v>45910</v>
      </c>
      <c r="C31" s="1" t="s">
        <v>34</v>
      </c>
      <c r="D31" s="1" t="s">
        <v>97</v>
      </c>
      <c r="E31" s="1" t="s">
        <v>37</v>
      </c>
      <c r="F31" s="1" t="s">
        <v>24</v>
      </c>
      <c r="G31" s="3">
        <v>0.64236111111111116</v>
      </c>
      <c r="H31" s="3">
        <v>0.65902777777777777</v>
      </c>
      <c r="I31" s="1">
        <v>24</v>
      </c>
      <c r="J31" s="1">
        <v>13</v>
      </c>
      <c r="K31" s="1" t="s">
        <v>98</v>
      </c>
      <c r="L31" s="1" t="s">
        <v>19</v>
      </c>
      <c r="M31" s="1">
        <v>1023</v>
      </c>
    </row>
    <row r="32" spans="1:13" x14ac:dyDescent="0.35">
      <c r="A32" s="1" t="s">
        <v>99</v>
      </c>
      <c r="B32" s="2">
        <v>45910</v>
      </c>
      <c r="C32" s="1" t="s">
        <v>100</v>
      </c>
      <c r="D32" s="1" t="s">
        <v>23</v>
      </c>
      <c r="E32" s="1" t="s">
        <v>50</v>
      </c>
      <c r="F32" s="1" t="s">
        <v>28</v>
      </c>
      <c r="G32" s="3">
        <v>0.67361111111111116</v>
      </c>
      <c r="H32" s="3">
        <v>0.67638888888888893</v>
      </c>
      <c r="I32" s="1">
        <v>4</v>
      </c>
      <c r="J32" s="1">
        <v>5</v>
      </c>
      <c r="K32" s="1" t="s">
        <v>18</v>
      </c>
      <c r="L32" s="1" t="s">
        <v>19</v>
      </c>
      <c r="M32" s="1">
        <v>1197</v>
      </c>
    </row>
    <row r="33" spans="1:13" x14ac:dyDescent="0.35">
      <c r="A33" s="1" t="s">
        <v>101</v>
      </c>
      <c r="B33" s="2">
        <v>45910</v>
      </c>
      <c r="C33" s="1" t="s">
        <v>102</v>
      </c>
      <c r="D33" s="1" t="s">
        <v>27</v>
      </c>
      <c r="E33" s="1" t="s">
        <v>16</v>
      </c>
      <c r="F33" s="1" t="s">
        <v>28</v>
      </c>
      <c r="G33" s="3">
        <v>0.67708333333333337</v>
      </c>
      <c r="H33" s="3">
        <v>0.67638888888888893</v>
      </c>
      <c r="I33" s="1">
        <v>-1</v>
      </c>
      <c r="J33" s="1">
        <v>-7</v>
      </c>
      <c r="K33" s="1"/>
      <c r="L33" s="1" t="s">
        <v>19</v>
      </c>
      <c r="M33" s="1">
        <v>802</v>
      </c>
    </row>
    <row r="34" spans="1:13" x14ac:dyDescent="0.35">
      <c r="A34" s="1" t="s">
        <v>103</v>
      </c>
      <c r="B34" s="2">
        <v>45910</v>
      </c>
      <c r="C34" s="1" t="s">
        <v>104</v>
      </c>
      <c r="D34" s="1" t="s">
        <v>16</v>
      </c>
      <c r="E34" s="1" t="s">
        <v>23</v>
      </c>
      <c r="F34" s="1" t="s">
        <v>28</v>
      </c>
      <c r="G34" s="3">
        <v>0.70486111111111116</v>
      </c>
      <c r="H34" s="3">
        <v>0.70833333333333337</v>
      </c>
      <c r="I34" s="1">
        <v>5</v>
      </c>
      <c r="J34" s="1">
        <v>4</v>
      </c>
      <c r="K34" s="1"/>
      <c r="L34" s="1" t="s">
        <v>19</v>
      </c>
      <c r="M34" s="1">
        <v>886</v>
      </c>
    </row>
    <row r="35" spans="1:13" x14ac:dyDescent="0.35">
      <c r="A35" s="1" t="s">
        <v>105</v>
      </c>
      <c r="B35" s="2">
        <v>45910</v>
      </c>
      <c r="C35" s="1" t="s">
        <v>106</v>
      </c>
      <c r="D35" s="1" t="s">
        <v>78</v>
      </c>
      <c r="E35" s="1" t="s">
        <v>22</v>
      </c>
      <c r="F35" s="1" t="s">
        <v>17</v>
      </c>
      <c r="G35" s="3">
        <v>0.86111111111111116</v>
      </c>
      <c r="H35" s="3">
        <v>0.88194444444444442</v>
      </c>
      <c r="I35" s="1">
        <v>30</v>
      </c>
      <c r="J35" s="1">
        <v>36</v>
      </c>
      <c r="K35" s="1" t="s">
        <v>54</v>
      </c>
      <c r="L35" s="1" t="s">
        <v>19</v>
      </c>
      <c r="M35" s="1">
        <v>2149</v>
      </c>
    </row>
    <row r="36" spans="1:13" x14ac:dyDescent="0.35">
      <c r="A36" s="1" t="s">
        <v>107</v>
      </c>
      <c r="B36" s="2">
        <v>45911</v>
      </c>
      <c r="C36" s="1" t="s">
        <v>108</v>
      </c>
      <c r="D36" s="1" t="s">
        <v>44</v>
      </c>
      <c r="E36" s="1" t="s">
        <v>16</v>
      </c>
      <c r="F36" s="1" t="s">
        <v>38</v>
      </c>
      <c r="G36" s="3">
        <v>0.24305555555555561</v>
      </c>
      <c r="H36" s="3">
        <v>0.2472222222222222</v>
      </c>
      <c r="I36" s="1">
        <v>6</v>
      </c>
      <c r="J36" s="1">
        <v>15</v>
      </c>
      <c r="K36" s="1" t="s">
        <v>18</v>
      </c>
      <c r="L36" s="1" t="s">
        <v>19</v>
      </c>
      <c r="M36" s="1">
        <v>864</v>
      </c>
    </row>
    <row r="37" spans="1:13" x14ac:dyDescent="0.35">
      <c r="A37" s="1" t="s">
        <v>109</v>
      </c>
      <c r="B37" s="2">
        <v>45911</v>
      </c>
      <c r="C37" s="1" t="s">
        <v>110</v>
      </c>
      <c r="D37" s="1" t="s">
        <v>16</v>
      </c>
      <c r="E37" s="1" t="s">
        <v>37</v>
      </c>
      <c r="F37" s="1" t="s">
        <v>28</v>
      </c>
      <c r="G37" s="3">
        <v>0.3263888888888889</v>
      </c>
      <c r="H37" s="3">
        <v>0.32777777777777778</v>
      </c>
      <c r="I37" s="1">
        <v>2</v>
      </c>
      <c r="J37" s="1">
        <v>-10</v>
      </c>
      <c r="K37" s="1" t="s">
        <v>18</v>
      </c>
      <c r="L37" s="1" t="s">
        <v>19</v>
      </c>
      <c r="M37" s="1">
        <v>1717</v>
      </c>
    </row>
    <row r="38" spans="1:13" x14ac:dyDescent="0.35">
      <c r="A38" s="1" t="s">
        <v>111</v>
      </c>
      <c r="B38" s="2">
        <v>45911</v>
      </c>
      <c r="C38" s="1" t="s">
        <v>112</v>
      </c>
      <c r="D38" s="1" t="s">
        <v>32</v>
      </c>
      <c r="E38" s="1" t="s">
        <v>41</v>
      </c>
      <c r="F38" s="1" t="s">
        <v>38</v>
      </c>
      <c r="G38" s="3">
        <v>0.375</v>
      </c>
      <c r="H38" s="3">
        <v>0.36944444444444452</v>
      </c>
      <c r="I38" s="1">
        <v>-8</v>
      </c>
      <c r="J38" s="1">
        <v>-18</v>
      </c>
      <c r="K38" s="1"/>
      <c r="L38" s="1" t="s">
        <v>19</v>
      </c>
      <c r="M38" s="1">
        <v>1092</v>
      </c>
    </row>
    <row r="39" spans="1:13" x14ac:dyDescent="0.35">
      <c r="A39" s="1" t="s">
        <v>113</v>
      </c>
      <c r="B39" s="2">
        <v>45911</v>
      </c>
      <c r="C39" s="1" t="s">
        <v>114</v>
      </c>
      <c r="D39" s="1" t="s">
        <v>23</v>
      </c>
      <c r="E39" s="1" t="s">
        <v>50</v>
      </c>
      <c r="F39" s="1" t="s">
        <v>17</v>
      </c>
      <c r="G39" s="3">
        <v>0.6875</v>
      </c>
      <c r="H39" s="3">
        <v>0.68680555555555556</v>
      </c>
      <c r="I39" s="1">
        <v>-1</v>
      </c>
      <c r="J39" s="1">
        <v>-7</v>
      </c>
      <c r="K39" s="1" t="s">
        <v>18</v>
      </c>
      <c r="L39" s="1" t="s">
        <v>19</v>
      </c>
      <c r="M39" s="1">
        <v>1197</v>
      </c>
    </row>
    <row r="40" spans="1:13" x14ac:dyDescent="0.35">
      <c r="A40" s="1" t="s">
        <v>115</v>
      </c>
      <c r="B40" s="2">
        <v>45912</v>
      </c>
      <c r="C40" s="1" t="s">
        <v>116</v>
      </c>
      <c r="D40" s="1" t="s">
        <v>47</v>
      </c>
      <c r="E40" s="1" t="s">
        <v>51</v>
      </c>
      <c r="F40" s="1" t="s">
        <v>24</v>
      </c>
      <c r="G40" s="3">
        <v>0.67361111111111116</v>
      </c>
      <c r="H40" s="3">
        <v>0.68194444444444446</v>
      </c>
      <c r="I40" s="1">
        <v>12</v>
      </c>
      <c r="J40" s="1">
        <v>5</v>
      </c>
      <c r="K40" s="1" t="s">
        <v>18</v>
      </c>
      <c r="L40" s="1" t="s">
        <v>19</v>
      </c>
      <c r="M40" s="1">
        <v>1462</v>
      </c>
    </row>
    <row r="41" spans="1:13" x14ac:dyDescent="0.35">
      <c r="A41" s="1" t="s">
        <v>117</v>
      </c>
      <c r="B41" s="2">
        <v>45912</v>
      </c>
      <c r="C41" s="1" t="s">
        <v>118</v>
      </c>
      <c r="D41" s="1" t="s">
        <v>23</v>
      </c>
      <c r="E41" s="1" t="s">
        <v>22</v>
      </c>
      <c r="F41" s="1" t="s">
        <v>17</v>
      </c>
      <c r="G41" s="3">
        <v>0.90972222222222221</v>
      </c>
      <c r="H41" s="3">
        <v>0.91736111111111107</v>
      </c>
      <c r="I41" s="1">
        <v>11</v>
      </c>
      <c r="J41" s="1">
        <v>11</v>
      </c>
      <c r="K41" s="1" t="s">
        <v>18</v>
      </c>
      <c r="L41" s="1" t="s">
        <v>19</v>
      </c>
      <c r="M41" s="1">
        <v>1622</v>
      </c>
    </row>
    <row r="42" spans="1:13" x14ac:dyDescent="0.35">
      <c r="A42" s="1" t="s">
        <v>119</v>
      </c>
      <c r="B42" s="2">
        <v>45913</v>
      </c>
      <c r="C42" s="1" t="s">
        <v>120</v>
      </c>
      <c r="D42" s="1" t="s">
        <v>23</v>
      </c>
      <c r="E42" s="1" t="s">
        <v>15</v>
      </c>
      <c r="F42" s="1" t="s">
        <v>38</v>
      </c>
      <c r="G42" s="3">
        <v>0.36805555555555558</v>
      </c>
      <c r="H42" s="3">
        <v>0.37361111111111112</v>
      </c>
      <c r="I42" s="1">
        <v>8</v>
      </c>
      <c r="J42" s="1">
        <v>17</v>
      </c>
      <c r="K42" s="1" t="s">
        <v>18</v>
      </c>
      <c r="L42" s="1" t="s">
        <v>19</v>
      </c>
      <c r="M42" s="1">
        <v>861</v>
      </c>
    </row>
    <row r="43" spans="1:13" x14ac:dyDescent="0.35">
      <c r="A43" s="1" t="s">
        <v>121</v>
      </c>
      <c r="B43" s="2">
        <v>45913</v>
      </c>
      <c r="C43" s="1" t="s">
        <v>122</v>
      </c>
      <c r="D43" s="1" t="s">
        <v>41</v>
      </c>
      <c r="E43" s="1" t="s">
        <v>123</v>
      </c>
      <c r="F43" s="1" t="s">
        <v>17</v>
      </c>
      <c r="G43" s="3">
        <v>0.66319444444444442</v>
      </c>
      <c r="H43" s="3">
        <v>0.66527777777777775</v>
      </c>
      <c r="I43" s="1">
        <v>3</v>
      </c>
      <c r="J43" s="1">
        <v>10</v>
      </c>
      <c r="K43" s="1" t="s">
        <v>18</v>
      </c>
      <c r="L43" s="1" t="s">
        <v>19</v>
      </c>
      <c r="M43" s="1">
        <v>596</v>
      </c>
    </row>
    <row r="44" spans="1:13" x14ac:dyDescent="0.35">
      <c r="A44" s="1" t="s">
        <v>124</v>
      </c>
      <c r="B44" s="2">
        <v>45914</v>
      </c>
      <c r="C44" s="1" t="s">
        <v>125</v>
      </c>
      <c r="D44" s="1" t="s">
        <v>126</v>
      </c>
      <c r="E44" s="1" t="s">
        <v>16</v>
      </c>
      <c r="F44" s="1" t="s">
        <v>17</v>
      </c>
      <c r="G44" s="3">
        <v>0.79861111111111116</v>
      </c>
      <c r="H44" s="3">
        <v>0.80625000000000002</v>
      </c>
      <c r="I44" s="1">
        <v>11</v>
      </c>
      <c r="J44" s="1">
        <v>13</v>
      </c>
      <c r="K44" s="1" t="s">
        <v>18</v>
      </c>
      <c r="L44" s="1" t="s">
        <v>19</v>
      </c>
      <c r="M44" s="1">
        <v>1511</v>
      </c>
    </row>
    <row r="45" spans="1:13" x14ac:dyDescent="0.35">
      <c r="A45" s="1" t="s">
        <v>127</v>
      </c>
      <c r="B45" s="2">
        <v>45916</v>
      </c>
      <c r="C45" s="1" t="s">
        <v>128</v>
      </c>
      <c r="D45" s="1" t="s">
        <v>22</v>
      </c>
      <c r="E45" s="1" t="s">
        <v>31</v>
      </c>
      <c r="F45" s="1" t="s">
        <v>24</v>
      </c>
      <c r="G45" s="3">
        <v>0.47916666666666669</v>
      </c>
      <c r="H45" s="3">
        <v>0.50416666666666665</v>
      </c>
      <c r="I45" s="1">
        <v>36</v>
      </c>
      <c r="J45" s="1">
        <v>22</v>
      </c>
      <c r="K45" s="1" t="s">
        <v>129</v>
      </c>
      <c r="L45" s="1" t="s">
        <v>19</v>
      </c>
      <c r="M45" s="1">
        <v>2243</v>
      </c>
    </row>
    <row r="46" spans="1:13" x14ac:dyDescent="0.35">
      <c r="A46" s="1" t="s">
        <v>130</v>
      </c>
      <c r="B46" s="2">
        <v>45916</v>
      </c>
      <c r="C46" s="1" t="s">
        <v>131</v>
      </c>
      <c r="D46" s="1" t="s">
        <v>16</v>
      </c>
      <c r="E46" s="1" t="s">
        <v>41</v>
      </c>
      <c r="F46" s="1" t="s">
        <v>28</v>
      </c>
      <c r="G46" s="3">
        <v>0.85416666666666663</v>
      </c>
      <c r="H46" s="3">
        <v>0.85347222222222219</v>
      </c>
      <c r="I46" s="1">
        <v>-1</v>
      </c>
      <c r="J46" s="1">
        <v>-7</v>
      </c>
      <c r="K46" s="1" t="s">
        <v>18</v>
      </c>
      <c r="L46" s="1" t="s">
        <v>19</v>
      </c>
      <c r="M46" s="1">
        <v>1199</v>
      </c>
    </row>
    <row r="47" spans="1:13" x14ac:dyDescent="0.35">
      <c r="A47" s="1" t="s">
        <v>132</v>
      </c>
      <c r="B47" s="2">
        <v>45917</v>
      </c>
      <c r="C47" s="1" t="s">
        <v>133</v>
      </c>
      <c r="D47" s="1" t="s">
        <v>22</v>
      </c>
      <c r="E47" s="1" t="s">
        <v>50</v>
      </c>
      <c r="F47" s="1" t="s">
        <v>17</v>
      </c>
      <c r="G47" s="3">
        <v>0.67013888888888884</v>
      </c>
      <c r="H47" s="3">
        <v>0.67500000000000004</v>
      </c>
      <c r="I47" s="1">
        <v>7</v>
      </c>
      <c r="J47" s="1">
        <v>17</v>
      </c>
      <c r="K47" s="1" t="s">
        <v>18</v>
      </c>
      <c r="L47" s="1" t="s">
        <v>19</v>
      </c>
      <c r="M47" s="1">
        <v>759</v>
      </c>
    </row>
    <row r="48" spans="1:13" x14ac:dyDescent="0.35">
      <c r="A48" s="1" t="s">
        <v>134</v>
      </c>
      <c r="B48" s="2">
        <v>45917</v>
      </c>
      <c r="C48" s="1" t="s">
        <v>135</v>
      </c>
      <c r="D48" s="1" t="s">
        <v>15</v>
      </c>
      <c r="E48" s="1" t="s">
        <v>16</v>
      </c>
      <c r="F48" s="1" t="s">
        <v>24</v>
      </c>
      <c r="G48" s="3">
        <v>0.78819444444444442</v>
      </c>
      <c r="H48" s="3">
        <v>0.83402777777777781</v>
      </c>
      <c r="I48" s="1">
        <v>66</v>
      </c>
      <c r="J48" s="1">
        <v>65</v>
      </c>
      <c r="K48" s="1" t="s">
        <v>54</v>
      </c>
      <c r="L48" s="1" t="s">
        <v>19</v>
      </c>
      <c r="M48" s="1">
        <v>1742</v>
      </c>
    </row>
    <row r="49" spans="1:13" x14ac:dyDescent="0.35">
      <c r="A49" s="1" t="s">
        <v>136</v>
      </c>
      <c r="B49" s="2">
        <v>45917</v>
      </c>
      <c r="C49" s="1" t="s">
        <v>137</v>
      </c>
      <c r="D49" s="1" t="s">
        <v>23</v>
      </c>
      <c r="E49" s="1" t="s">
        <v>47</v>
      </c>
      <c r="F49" s="1" t="s">
        <v>17</v>
      </c>
      <c r="G49" s="3">
        <v>0.80555555555555558</v>
      </c>
      <c r="H49" s="1"/>
      <c r="I49" s="1">
        <v>-7</v>
      </c>
      <c r="J49" s="1">
        <v>-16</v>
      </c>
      <c r="K49" s="1" t="s">
        <v>18</v>
      </c>
      <c r="L49" s="1" t="s">
        <v>19</v>
      </c>
      <c r="M49" s="1">
        <v>965</v>
      </c>
    </row>
    <row r="50" spans="1:13" x14ac:dyDescent="0.35">
      <c r="A50" s="1" t="s">
        <v>138</v>
      </c>
      <c r="B50" s="2">
        <v>45918</v>
      </c>
      <c r="C50" s="1" t="s">
        <v>139</v>
      </c>
      <c r="D50" s="1" t="s">
        <v>50</v>
      </c>
      <c r="E50" s="1" t="s">
        <v>78</v>
      </c>
      <c r="F50" s="1" t="s">
        <v>24</v>
      </c>
      <c r="G50" s="3">
        <v>0.35416666666666669</v>
      </c>
      <c r="H50" s="3">
        <v>0.3576388888888889</v>
      </c>
      <c r="I50" s="1">
        <v>5</v>
      </c>
      <c r="J50" s="1">
        <v>10</v>
      </c>
      <c r="K50" s="1" t="s">
        <v>18</v>
      </c>
      <c r="L50" s="1" t="s">
        <v>19</v>
      </c>
      <c r="M50" s="1">
        <v>1584</v>
      </c>
    </row>
    <row r="51" spans="1:13" x14ac:dyDescent="0.35">
      <c r="A51" s="1" t="s">
        <v>140</v>
      </c>
      <c r="B51" s="2">
        <v>45918</v>
      </c>
      <c r="C51" s="1" t="s">
        <v>131</v>
      </c>
      <c r="D51" s="1" t="s">
        <v>78</v>
      </c>
      <c r="E51" s="1" t="s">
        <v>15</v>
      </c>
      <c r="F51" s="1" t="s">
        <v>38</v>
      </c>
      <c r="G51" s="3">
        <v>0.56944444444444442</v>
      </c>
      <c r="H51" s="3">
        <v>0.56874999999999998</v>
      </c>
      <c r="I51" s="1">
        <v>-1</v>
      </c>
      <c r="J51" s="1">
        <v>1</v>
      </c>
      <c r="K51" s="1" t="s">
        <v>18</v>
      </c>
      <c r="L51" s="1" t="s">
        <v>19</v>
      </c>
      <c r="M51" s="1">
        <v>370</v>
      </c>
    </row>
    <row r="52" spans="1:13" x14ac:dyDescent="0.35">
      <c r="A52" s="1" t="s">
        <v>141</v>
      </c>
      <c r="B52" s="2">
        <v>45918</v>
      </c>
      <c r="C52" s="1" t="s">
        <v>142</v>
      </c>
      <c r="D52" s="1" t="s">
        <v>15</v>
      </c>
      <c r="E52" s="1" t="s">
        <v>22</v>
      </c>
      <c r="F52" s="1" t="s">
        <v>28</v>
      </c>
      <c r="G52" s="3">
        <v>0.73958333333333337</v>
      </c>
      <c r="H52" s="1"/>
      <c r="I52" s="1">
        <v>2</v>
      </c>
      <c r="J52" s="1">
        <v>4</v>
      </c>
      <c r="K52" s="1" t="s">
        <v>18</v>
      </c>
      <c r="L52" s="1" t="s">
        <v>19</v>
      </c>
      <c r="M52" s="1">
        <v>2470</v>
      </c>
    </row>
    <row r="53" spans="1:13" x14ac:dyDescent="0.35">
      <c r="A53" s="1" t="s">
        <v>143</v>
      </c>
      <c r="B53" s="2">
        <v>45919</v>
      </c>
      <c r="C53" s="1" t="s">
        <v>144</v>
      </c>
      <c r="D53" s="1" t="s">
        <v>15</v>
      </c>
      <c r="E53" s="1" t="s">
        <v>16</v>
      </c>
      <c r="F53" s="1" t="s">
        <v>17</v>
      </c>
      <c r="G53" s="3">
        <v>0.34722222222222221</v>
      </c>
      <c r="H53" s="3">
        <v>0.35069444444444442</v>
      </c>
      <c r="I53" s="1">
        <v>5</v>
      </c>
      <c r="J53" s="1">
        <v>14</v>
      </c>
      <c r="K53" s="1"/>
      <c r="L53" s="1" t="s">
        <v>19</v>
      </c>
      <c r="M53" s="1">
        <v>1742</v>
      </c>
    </row>
    <row r="54" spans="1:13" x14ac:dyDescent="0.35">
      <c r="A54" s="1" t="s">
        <v>145</v>
      </c>
      <c r="B54" s="2">
        <v>45919</v>
      </c>
      <c r="C54" s="1" t="s">
        <v>146</v>
      </c>
      <c r="D54" s="1" t="s">
        <v>41</v>
      </c>
      <c r="E54" s="1" t="s">
        <v>50</v>
      </c>
      <c r="F54" s="1" t="s">
        <v>17</v>
      </c>
      <c r="G54" s="3">
        <v>0.51736111111111116</v>
      </c>
      <c r="H54" s="3">
        <v>0.51736111111111116</v>
      </c>
      <c r="I54" s="1">
        <v>0</v>
      </c>
      <c r="J54" s="1">
        <v>-8</v>
      </c>
      <c r="K54" s="1" t="s">
        <v>18</v>
      </c>
      <c r="L54" s="1" t="s">
        <v>19</v>
      </c>
      <c r="M54" s="1">
        <v>596</v>
      </c>
    </row>
    <row r="55" spans="1:13" x14ac:dyDescent="0.35">
      <c r="A55" s="1" t="s">
        <v>147</v>
      </c>
      <c r="B55" s="2">
        <v>45919</v>
      </c>
      <c r="C55" s="1" t="s">
        <v>148</v>
      </c>
      <c r="D55" s="1" t="s">
        <v>44</v>
      </c>
      <c r="E55" s="1" t="s">
        <v>15</v>
      </c>
      <c r="F55" s="1" t="s">
        <v>17</v>
      </c>
      <c r="G55" s="3">
        <v>0.63541666666666663</v>
      </c>
      <c r="H55" s="3">
        <v>0.66180555555555554</v>
      </c>
      <c r="I55" s="1">
        <v>38</v>
      </c>
      <c r="J55" s="1">
        <v>24</v>
      </c>
      <c r="K55" s="1" t="s">
        <v>149</v>
      </c>
      <c r="L55" s="1" t="s">
        <v>19</v>
      </c>
      <c r="M55" s="1">
        <v>2606</v>
      </c>
    </row>
    <row r="56" spans="1:13" x14ac:dyDescent="0.35">
      <c r="A56" s="1" t="s">
        <v>150</v>
      </c>
      <c r="B56" s="2">
        <v>45920</v>
      </c>
      <c r="C56" s="1" t="s">
        <v>151</v>
      </c>
      <c r="D56" s="1" t="s">
        <v>15</v>
      </c>
      <c r="E56" s="1" t="s">
        <v>27</v>
      </c>
      <c r="F56" s="1" t="s">
        <v>24</v>
      </c>
      <c r="G56" s="3">
        <v>0.60416666666666663</v>
      </c>
      <c r="H56" s="3">
        <v>0.59861111111111109</v>
      </c>
      <c r="I56" s="1">
        <v>-8</v>
      </c>
      <c r="J56" s="1">
        <v>-10</v>
      </c>
      <c r="K56" s="1"/>
      <c r="L56" s="1" t="s">
        <v>19</v>
      </c>
      <c r="M56" s="1">
        <v>1232</v>
      </c>
    </row>
    <row r="57" spans="1:13" x14ac:dyDescent="0.35">
      <c r="A57" s="1" t="s">
        <v>152</v>
      </c>
      <c r="B57" s="2">
        <v>45920</v>
      </c>
      <c r="C57" s="1" t="s">
        <v>153</v>
      </c>
      <c r="D57" s="1" t="s">
        <v>31</v>
      </c>
      <c r="E57" s="1" t="s">
        <v>47</v>
      </c>
      <c r="F57" s="1" t="s">
        <v>24</v>
      </c>
      <c r="G57" s="3">
        <v>0.63194444444444442</v>
      </c>
      <c r="H57" s="3">
        <v>0.63611111111111107</v>
      </c>
      <c r="I57" s="1">
        <v>6</v>
      </c>
      <c r="J57" s="1">
        <v>7</v>
      </c>
      <c r="K57" s="1" t="s">
        <v>18</v>
      </c>
      <c r="L57" s="1" t="s">
        <v>19</v>
      </c>
      <c r="M57" s="1">
        <v>414</v>
      </c>
    </row>
    <row r="58" spans="1:13" x14ac:dyDescent="0.35">
      <c r="A58" s="1" t="s">
        <v>154</v>
      </c>
      <c r="B58" s="2">
        <v>45920</v>
      </c>
      <c r="C58" s="1" t="s">
        <v>155</v>
      </c>
      <c r="D58" s="1" t="s">
        <v>16</v>
      </c>
      <c r="E58" s="1" t="s">
        <v>23</v>
      </c>
      <c r="F58" s="1" t="s">
        <v>24</v>
      </c>
      <c r="G58" s="3">
        <v>0.87152777777777779</v>
      </c>
      <c r="H58" s="3">
        <v>0.89513888888888893</v>
      </c>
      <c r="I58" s="1">
        <v>34</v>
      </c>
      <c r="J58" s="1">
        <v>38</v>
      </c>
      <c r="K58" s="1" t="s">
        <v>54</v>
      </c>
      <c r="L58" s="1" t="s">
        <v>19</v>
      </c>
      <c r="M58" s="1">
        <v>886</v>
      </c>
    </row>
    <row r="59" spans="1:13" x14ac:dyDescent="0.35">
      <c r="A59" s="1" t="s">
        <v>156</v>
      </c>
      <c r="B59" s="2">
        <v>45921</v>
      </c>
      <c r="C59" s="1" t="s">
        <v>157</v>
      </c>
      <c r="D59" s="1" t="s">
        <v>50</v>
      </c>
      <c r="E59" s="1" t="s">
        <v>23</v>
      </c>
      <c r="F59" s="1" t="s">
        <v>28</v>
      </c>
      <c r="G59" s="3">
        <v>0.70486111111111116</v>
      </c>
      <c r="H59" s="3">
        <v>0.70486111111111116</v>
      </c>
      <c r="I59" s="1">
        <v>0</v>
      </c>
      <c r="J59" s="1">
        <v>10</v>
      </c>
      <c r="K59" s="1" t="s">
        <v>18</v>
      </c>
      <c r="L59" s="1" t="s">
        <v>19</v>
      </c>
      <c r="M59" s="1">
        <v>1197</v>
      </c>
    </row>
    <row r="60" spans="1:13" x14ac:dyDescent="0.35">
      <c r="A60" s="1" t="s">
        <v>158</v>
      </c>
      <c r="B60" s="2">
        <v>45923</v>
      </c>
      <c r="C60" s="1" t="s">
        <v>159</v>
      </c>
      <c r="D60" s="1" t="s">
        <v>50</v>
      </c>
      <c r="E60" s="1" t="s">
        <v>15</v>
      </c>
      <c r="F60" s="1" t="s">
        <v>17</v>
      </c>
      <c r="G60" s="3">
        <v>0.67013888888888884</v>
      </c>
      <c r="H60" s="3">
        <v>0.67708333333333337</v>
      </c>
      <c r="I60" s="1">
        <v>10</v>
      </c>
      <c r="J60" s="1">
        <v>9</v>
      </c>
      <c r="K60" s="1" t="s">
        <v>18</v>
      </c>
      <c r="L60" s="1" t="s">
        <v>19</v>
      </c>
      <c r="M60" s="1">
        <v>1942</v>
      </c>
    </row>
    <row r="61" spans="1:13" x14ac:dyDescent="0.35">
      <c r="A61" s="1" t="s">
        <v>160</v>
      </c>
      <c r="B61" s="2">
        <v>45924</v>
      </c>
      <c r="C61" s="1" t="s">
        <v>161</v>
      </c>
      <c r="D61" s="1" t="s">
        <v>27</v>
      </c>
      <c r="E61" s="1" t="s">
        <v>22</v>
      </c>
      <c r="F61" s="1" t="s">
        <v>17</v>
      </c>
      <c r="G61" s="3">
        <v>0.30555555555555558</v>
      </c>
      <c r="H61" s="3">
        <v>0.39097222222222222</v>
      </c>
      <c r="I61" s="1">
        <v>123</v>
      </c>
      <c r="J61" s="1">
        <v>117</v>
      </c>
      <c r="K61" s="1" t="s">
        <v>54</v>
      </c>
      <c r="L61" s="1" t="s">
        <v>19</v>
      </c>
      <c r="M61" s="1">
        <v>1389</v>
      </c>
    </row>
    <row r="62" spans="1:13" x14ac:dyDescent="0.35">
      <c r="A62" s="1" t="s">
        <v>162</v>
      </c>
      <c r="B62" s="2">
        <v>45925</v>
      </c>
      <c r="C62" s="1" t="s">
        <v>163</v>
      </c>
      <c r="D62" s="1" t="s">
        <v>23</v>
      </c>
      <c r="E62" s="1" t="s">
        <v>78</v>
      </c>
      <c r="F62" s="1" t="s">
        <v>17</v>
      </c>
      <c r="G62" s="3">
        <v>0.33680555555555558</v>
      </c>
      <c r="H62" s="1"/>
      <c r="I62" s="1">
        <v>12</v>
      </c>
      <c r="J62" s="1">
        <v>0</v>
      </c>
      <c r="K62" s="1" t="s">
        <v>18</v>
      </c>
      <c r="L62" s="1" t="s">
        <v>19</v>
      </c>
      <c r="M62" s="1">
        <v>602</v>
      </c>
    </row>
    <row r="63" spans="1:13" x14ac:dyDescent="0.35">
      <c r="A63" s="1" t="s">
        <v>164</v>
      </c>
      <c r="B63" s="2">
        <v>45925</v>
      </c>
      <c r="C63" s="1" t="s">
        <v>165</v>
      </c>
      <c r="D63" s="1" t="s">
        <v>47</v>
      </c>
      <c r="E63" s="1" t="s">
        <v>79</v>
      </c>
      <c r="F63" s="1" t="s">
        <v>28</v>
      </c>
      <c r="G63" s="3">
        <v>0.61458333333333337</v>
      </c>
      <c r="H63" s="3">
        <v>0.63611111111111107</v>
      </c>
      <c r="I63" s="1">
        <v>31</v>
      </c>
      <c r="J63" s="1">
        <v>29</v>
      </c>
      <c r="K63" s="1" t="s">
        <v>149</v>
      </c>
      <c r="L63" s="1" t="s">
        <v>19</v>
      </c>
      <c r="M63" s="1">
        <v>2134</v>
      </c>
    </row>
    <row r="64" spans="1:13" x14ac:dyDescent="0.35">
      <c r="A64" s="1" t="s">
        <v>166</v>
      </c>
      <c r="B64" s="2">
        <v>45925</v>
      </c>
      <c r="C64" s="1" t="s">
        <v>167</v>
      </c>
      <c r="D64" s="1" t="s">
        <v>27</v>
      </c>
      <c r="E64" s="1" t="s">
        <v>31</v>
      </c>
      <c r="F64" s="1" t="s">
        <v>17</v>
      </c>
      <c r="G64" s="3">
        <v>0.70486111111111116</v>
      </c>
      <c r="H64" s="3">
        <v>0.70347222222222228</v>
      </c>
      <c r="I64" s="1">
        <v>-2</v>
      </c>
      <c r="J64" s="1">
        <v>-8</v>
      </c>
      <c r="K64" s="1" t="s">
        <v>18</v>
      </c>
      <c r="L64" s="1" t="s">
        <v>19</v>
      </c>
      <c r="M64" s="1">
        <v>0</v>
      </c>
    </row>
    <row r="65" spans="1:13" x14ac:dyDescent="0.35">
      <c r="A65" s="1" t="s">
        <v>168</v>
      </c>
      <c r="B65" s="2">
        <v>45926</v>
      </c>
      <c r="C65" s="1" t="s">
        <v>169</v>
      </c>
      <c r="D65" s="1" t="s">
        <v>15</v>
      </c>
      <c r="E65" s="1" t="s">
        <v>16</v>
      </c>
      <c r="F65" s="1" t="s">
        <v>28</v>
      </c>
      <c r="G65" s="3">
        <v>0.31597222222222221</v>
      </c>
      <c r="H65" s="3">
        <v>0.32083333333333341</v>
      </c>
      <c r="I65" s="1">
        <v>7</v>
      </c>
      <c r="J65" s="1">
        <v>7</v>
      </c>
      <c r="K65" s="1" t="s">
        <v>18</v>
      </c>
      <c r="L65" s="1" t="s">
        <v>19</v>
      </c>
      <c r="M65" s="1">
        <v>1742</v>
      </c>
    </row>
    <row r="66" spans="1:13" x14ac:dyDescent="0.35">
      <c r="A66" s="1" t="s">
        <v>170</v>
      </c>
      <c r="B66" s="2">
        <v>45926</v>
      </c>
      <c r="C66" s="1" t="s">
        <v>171</v>
      </c>
      <c r="D66" s="1" t="s">
        <v>79</v>
      </c>
      <c r="E66" s="1" t="s">
        <v>44</v>
      </c>
      <c r="F66" s="1" t="s">
        <v>17</v>
      </c>
      <c r="G66" s="3">
        <v>0.46875</v>
      </c>
      <c r="H66" s="3">
        <v>0.47499999999999998</v>
      </c>
      <c r="I66" s="1">
        <v>9</v>
      </c>
      <c r="J66" s="1">
        <v>14</v>
      </c>
      <c r="K66" s="1" t="s">
        <v>18</v>
      </c>
      <c r="L66" s="1" t="s">
        <v>19</v>
      </c>
      <c r="M66" s="1">
        <v>945</v>
      </c>
    </row>
    <row r="67" spans="1:13" x14ac:dyDescent="0.35">
      <c r="A67" s="1" t="s">
        <v>172</v>
      </c>
      <c r="B67" s="2">
        <v>45926</v>
      </c>
      <c r="C67" s="1" t="s">
        <v>173</v>
      </c>
      <c r="D67" s="1" t="s">
        <v>27</v>
      </c>
      <c r="E67" s="1" t="s">
        <v>15</v>
      </c>
      <c r="F67" s="1" t="s">
        <v>28</v>
      </c>
      <c r="G67" s="3">
        <v>0.82291666666666663</v>
      </c>
      <c r="H67" s="3">
        <v>0.83472222222222225</v>
      </c>
      <c r="I67" s="1">
        <v>17</v>
      </c>
      <c r="J67" s="1">
        <v>12</v>
      </c>
      <c r="K67" s="1" t="s">
        <v>174</v>
      </c>
      <c r="L67" s="1" t="s">
        <v>19</v>
      </c>
      <c r="M67" s="1">
        <v>1232</v>
      </c>
    </row>
    <row r="68" spans="1:13" x14ac:dyDescent="0.35">
      <c r="A68" s="1" t="s">
        <v>175</v>
      </c>
      <c r="B68" s="2">
        <v>45927</v>
      </c>
      <c r="C68" s="1" t="s">
        <v>176</v>
      </c>
      <c r="D68" s="1" t="s">
        <v>22</v>
      </c>
      <c r="E68" s="1" t="s">
        <v>41</v>
      </c>
      <c r="F68" s="1" t="s">
        <v>28</v>
      </c>
      <c r="G68" s="3">
        <v>0.49305555555555558</v>
      </c>
      <c r="H68" s="3">
        <v>0.49722222222222218</v>
      </c>
      <c r="I68" s="1">
        <v>6</v>
      </c>
      <c r="J68" s="1">
        <v>10</v>
      </c>
      <c r="K68" s="1" t="s">
        <v>18</v>
      </c>
      <c r="L68" s="1" t="s">
        <v>19</v>
      </c>
      <c r="M68" s="1">
        <v>1092</v>
      </c>
    </row>
    <row r="69" spans="1:13" x14ac:dyDescent="0.35">
      <c r="A69" s="1" t="s">
        <v>177</v>
      </c>
      <c r="B69" s="2">
        <v>45927</v>
      </c>
      <c r="C69" s="1" t="s">
        <v>178</v>
      </c>
      <c r="D69" s="1" t="s">
        <v>78</v>
      </c>
      <c r="E69" s="1" t="s">
        <v>16</v>
      </c>
      <c r="F69" s="1" t="s">
        <v>17</v>
      </c>
      <c r="G69" s="3">
        <v>0.61805555555555558</v>
      </c>
      <c r="H69" s="3">
        <v>0.61527777777777781</v>
      </c>
      <c r="I69" s="1">
        <v>-4</v>
      </c>
      <c r="J69" s="1">
        <v>-9</v>
      </c>
      <c r="K69" s="1" t="s">
        <v>18</v>
      </c>
      <c r="L69" s="1" t="s">
        <v>19</v>
      </c>
      <c r="M69" s="1">
        <v>1438</v>
      </c>
    </row>
    <row r="70" spans="1:13" x14ac:dyDescent="0.35">
      <c r="A70" s="1" t="s">
        <v>179</v>
      </c>
      <c r="B70" s="2">
        <v>45928</v>
      </c>
      <c r="C70" s="1" t="s">
        <v>180</v>
      </c>
      <c r="D70" s="1" t="s">
        <v>22</v>
      </c>
      <c r="E70" s="1" t="s">
        <v>50</v>
      </c>
      <c r="F70" s="1" t="s">
        <v>17</v>
      </c>
      <c r="G70" s="3">
        <v>0.40277777777777779</v>
      </c>
      <c r="H70" s="3">
        <v>0.40347222222222218</v>
      </c>
      <c r="I70" s="1">
        <v>1</v>
      </c>
      <c r="J70" s="1">
        <v>8</v>
      </c>
      <c r="K70" s="1" t="s">
        <v>18</v>
      </c>
      <c r="L70" s="1" t="s">
        <v>19</v>
      </c>
      <c r="M70" s="1">
        <v>759</v>
      </c>
    </row>
    <row r="71" spans="1:13" x14ac:dyDescent="0.35">
      <c r="A71" s="1" t="s">
        <v>181</v>
      </c>
      <c r="B71" s="2">
        <v>45928</v>
      </c>
      <c r="C71" s="1" t="s">
        <v>182</v>
      </c>
      <c r="D71" s="1" t="s">
        <v>27</v>
      </c>
      <c r="E71" s="1" t="s">
        <v>16</v>
      </c>
      <c r="F71" s="1" t="s">
        <v>17</v>
      </c>
      <c r="G71" s="3">
        <v>0.47916666666666669</v>
      </c>
      <c r="H71" s="3">
        <v>0.47916666666666669</v>
      </c>
      <c r="I71" s="1">
        <v>0</v>
      </c>
      <c r="J71" s="1">
        <v>-8</v>
      </c>
      <c r="K71" s="1"/>
      <c r="L71" s="1" t="s">
        <v>19</v>
      </c>
      <c r="M71" s="1">
        <v>802</v>
      </c>
    </row>
    <row r="72" spans="1:13" x14ac:dyDescent="0.35">
      <c r="A72" s="1" t="s">
        <v>183</v>
      </c>
      <c r="B72" s="2">
        <v>45928</v>
      </c>
      <c r="C72" s="1" t="s">
        <v>184</v>
      </c>
      <c r="D72" s="1" t="s">
        <v>16</v>
      </c>
      <c r="E72" s="1" t="s">
        <v>44</v>
      </c>
      <c r="F72" s="1" t="s">
        <v>28</v>
      </c>
      <c r="G72" s="3">
        <v>0.53472222222222221</v>
      </c>
      <c r="H72" s="3">
        <v>0.53611111111111109</v>
      </c>
      <c r="I72" s="1">
        <v>2</v>
      </c>
      <c r="J72" s="1">
        <v>6</v>
      </c>
      <c r="K72" s="1" t="s">
        <v>18</v>
      </c>
      <c r="L72" s="1" t="s">
        <v>19</v>
      </c>
      <c r="M72" s="1">
        <v>864</v>
      </c>
    </row>
    <row r="73" spans="1:13" x14ac:dyDescent="0.35">
      <c r="A73" s="1" t="s">
        <v>185</v>
      </c>
      <c r="B73" s="2">
        <v>45928</v>
      </c>
      <c r="C73" s="1" t="s">
        <v>186</v>
      </c>
      <c r="D73" s="1" t="s">
        <v>27</v>
      </c>
      <c r="E73" s="1" t="s">
        <v>44</v>
      </c>
      <c r="F73" s="1" t="s">
        <v>24</v>
      </c>
      <c r="G73" s="3">
        <v>0.72222222222222221</v>
      </c>
      <c r="H73" s="3">
        <v>0.74652777777777779</v>
      </c>
      <c r="I73" s="1">
        <v>35</v>
      </c>
      <c r="J73" s="1">
        <v>41</v>
      </c>
      <c r="K73" s="1" t="s">
        <v>60</v>
      </c>
      <c r="L73" s="1" t="s">
        <v>19</v>
      </c>
      <c r="M73" s="1">
        <v>1559</v>
      </c>
    </row>
    <row r="74" spans="1:13" x14ac:dyDescent="0.35">
      <c r="A74" s="1" t="s">
        <v>187</v>
      </c>
      <c r="B74" s="2">
        <v>45928</v>
      </c>
      <c r="C74" s="1" t="s">
        <v>188</v>
      </c>
      <c r="D74" s="1" t="s">
        <v>22</v>
      </c>
      <c r="E74" s="1" t="s">
        <v>27</v>
      </c>
      <c r="F74" s="1" t="s">
        <v>17</v>
      </c>
      <c r="G74" s="3">
        <v>0.88541666666666663</v>
      </c>
      <c r="H74" s="3">
        <v>0.8930555555555556</v>
      </c>
      <c r="I74" s="1">
        <v>11</v>
      </c>
      <c r="J74" s="1">
        <v>-1</v>
      </c>
      <c r="K74" s="1" t="s">
        <v>18</v>
      </c>
      <c r="L74" s="1" t="s">
        <v>19</v>
      </c>
      <c r="M74" s="1">
        <v>1389</v>
      </c>
    </row>
    <row r="75" spans="1:13" x14ac:dyDescent="0.35">
      <c r="A75" s="1" t="s">
        <v>189</v>
      </c>
      <c r="B75" s="2">
        <v>45929</v>
      </c>
      <c r="C75" s="1" t="s">
        <v>190</v>
      </c>
      <c r="D75" s="1" t="s">
        <v>23</v>
      </c>
      <c r="E75" s="1" t="s">
        <v>50</v>
      </c>
      <c r="F75" s="1" t="s">
        <v>17</v>
      </c>
      <c r="G75" s="3">
        <v>0.72569444444444442</v>
      </c>
      <c r="H75" s="3">
        <v>0.74097222222222225</v>
      </c>
      <c r="I75" s="1">
        <v>22</v>
      </c>
      <c r="J75" s="1">
        <v>25</v>
      </c>
      <c r="K75" s="1" t="s">
        <v>54</v>
      </c>
      <c r="L75" s="1" t="s">
        <v>19</v>
      </c>
      <c r="M75" s="1">
        <v>1197</v>
      </c>
    </row>
    <row r="76" spans="1:13" x14ac:dyDescent="0.35">
      <c r="A76" s="1" t="s">
        <v>191</v>
      </c>
      <c r="B76" s="2">
        <v>45929</v>
      </c>
      <c r="C76" s="1" t="s">
        <v>192</v>
      </c>
      <c r="D76" s="1" t="s">
        <v>15</v>
      </c>
      <c r="E76" s="1" t="s">
        <v>50</v>
      </c>
      <c r="F76" s="1" t="s">
        <v>28</v>
      </c>
      <c r="G76" s="3">
        <v>0.78472222222222221</v>
      </c>
      <c r="H76" s="3">
        <v>0.78819444444444442</v>
      </c>
      <c r="I76" s="1">
        <v>5</v>
      </c>
      <c r="J76" s="1"/>
      <c r="K76" s="1" t="s">
        <v>18</v>
      </c>
      <c r="L76" s="1" t="s">
        <v>19</v>
      </c>
      <c r="M76" s="1">
        <v>1942</v>
      </c>
    </row>
    <row r="77" spans="1:13" x14ac:dyDescent="0.35">
      <c r="A77" s="1" t="s">
        <v>193</v>
      </c>
      <c r="B77" s="2">
        <v>45929</v>
      </c>
      <c r="C77" s="1" t="s">
        <v>194</v>
      </c>
      <c r="D77" s="1" t="s">
        <v>23</v>
      </c>
      <c r="E77" s="1" t="s">
        <v>15</v>
      </c>
      <c r="F77" s="1" t="s">
        <v>17</v>
      </c>
      <c r="G77" s="3">
        <v>0.84375</v>
      </c>
      <c r="H77" s="3">
        <v>0.84305555555555556</v>
      </c>
      <c r="I77" s="1">
        <v>-1</v>
      </c>
      <c r="J77" s="1">
        <v>2</v>
      </c>
      <c r="K77" s="1" t="s">
        <v>18</v>
      </c>
      <c r="L77" s="1" t="s">
        <v>19</v>
      </c>
      <c r="M77" s="1">
        <v>861</v>
      </c>
    </row>
    <row r="78" spans="1:13" x14ac:dyDescent="0.35">
      <c r="A78" s="1" t="s">
        <v>195</v>
      </c>
      <c r="B78" s="2">
        <v>45930</v>
      </c>
      <c r="C78" s="1" t="s">
        <v>196</v>
      </c>
      <c r="D78" s="1" t="s">
        <v>197</v>
      </c>
      <c r="E78" s="1" t="s">
        <v>37</v>
      </c>
      <c r="F78" s="1" t="s">
        <v>24</v>
      </c>
      <c r="G78" s="3">
        <v>0.2986111111111111</v>
      </c>
      <c r="H78" s="3">
        <v>0.2986111111111111</v>
      </c>
      <c r="I78" s="1">
        <v>0</v>
      </c>
      <c r="J78" s="1">
        <v>-6</v>
      </c>
      <c r="K78" s="1" t="s">
        <v>18</v>
      </c>
      <c r="L78" s="1" t="s">
        <v>19</v>
      </c>
      <c r="M78" s="1">
        <v>2415</v>
      </c>
    </row>
    <row r="79" spans="1:13" x14ac:dyDescent="0.35">
      <c r="A79" s="1" t="s">
        <v>198</v>
      </c>
      <c r="B79" s="2">
        <v>45930</v>
      </c>
      <c r="C79" s="1" t="s">
        <v>199</v>
      </c>
      <c r="D79" s="1" t="s">
        <v>31</v>
      </c>
      <c r="E79" s="1" t="s">
        <v>37</v>
      </c>
      <c r="F79" s="1" t="s">
        <v>17</v>
      </c>
      <c r="G79" s="3">
        <v>0.3888888888888889</v>
      </c>
      <c r="H79" s="3">
        <v>0.38680555555555562</v>
      </c>
      <c r="I79" s="1">
        <v>-3</v>
      </c>
      <c r="J79" s="1">
        <v>-5</v>
      </c>
      <c r="K79" s="1" t="s">
        <v>18</v>
      </c>
      <c r="L79" s="1" t="s">
        <v>19</v>
      </c>
      <c r="M79" s="1">
        <v>867</v>
      </c>
    </row>
    <row r="80" spans="1:13" x14ac:dyDescent="0.35">
      <c r="A80" s="1" t="s">
        <v>200</v>
      </c>
      <c r="B80" s="2">
        <v>45930</v>
      </c>
      <c r="C80" s="1" t="s">
        <v>201</v>
      </c>
      <c r="D80" s="1" t="s">
        <v>78</v>
      </c>
      <c r="E80" s="1" t="s">
        <v>202</v>
      </c>
      <c r="F80" s="1" t="s">
        <v>17</v>
      </c>
      <c r="G80" s="3">
        <v>0.42708333333333331</v>
      </c>
      <c r="H80" s="3">
        <v>0.42986111111111108</v>
      </c>
      <c r="I80" s="1">
        <v>4</v>
      </c>
      <c r="J80" s="1"/>
      <c r="K80" s="1" t="s">
        <v>18</v>
      </c>
      <c r="L80" s="1" t="s">
        <v>19</v>
      </c>
      <c r="M80" s="1">
        <v>1969</v>
      </c>
    </row>
    <row r="81" spans="1:13" x14ac:dyDescent="0.35">
      <c r="A81" s="1" t="s">
        <v>203</v>
      </c>
      <c r="B81" s="2">
        <v>45931</v>
      </c>
      <c r="C81" s="1" t="s">
        <v>122</v>
      </c>
      <c r="D81" s="1" t="s">
        <v>27</v>
      </c>
      <c r="E81" s="1" t="s">
        <v>31</v>
      </c>
      <c r="F81" s="1" t="s">
        <v>17</v>
      </c>
      <c r="G81" s="3">
        <v>0.2986111111111111</v>
      </c>
      <c r="H81" s="3">
        <v>0.30416666666666659</v>
      </c>
      <c r="I81" s="1">
        <v>8</v>
      </c>
      <c r="J81" s="1">
        <v>8</v>
      </c>
      <c r="K81" s="1" t="s">
        <v>18</v>
      </c>
      <c r="L81" s="1" t="s">
        <v>19</v>
      </c>
      <c r="M81" s="1">
        <v>1053</v>
      </c>
    </row>
    <row r="82" spans="1:13" x14ac:dyDescent="0.35">
      <c r="A82" s="1" t="s">
        <v>204</v>
      </c>
      <c r="B82" s="2">
        <v>45931</v>
      </c>
      <c r="C82" s="1" t="s">
        <v>205</v>
      </c>
      <c r="D82" s="1" t="s">
        <v>50</v>
      </c>
      <c r="E82" s="1" t="s">
        <v>41</v>
      </c>
      <c r="F82" s="1" t="s">
        <v>17</v>
      </c>
      <c r="G82" s="3">
        <v>0.31597222222222221</v>
      </c>
      <c r="H82" s="3">
        <v>0.31527777777777782</v>
      </c>
      <c r="I82" s="1">
        <v>-1</v>
      </c>
      <c r="J82" s="1">
        <v>8</v>
      </c>
      <c r="K82" s="1" t="s">
        <v>18</v>
      </c>
      <c r="L82" s="1" t="s">
        <v>19</v>
      </c>
      <c r="M82" s="1">
        <v>596</v>
      </c>
    </row>
    <row r="83" spans="1:13" x14ac:dyDescent="0.35">
      <c r="A83" s="1" t="s">
        <v>206</v>
      </c>
      <c r="B83" s="2">
        <v>45931</v>
      </c>
      <c r="C83" s="1" t="s">
        <v>207</v>
      </c>
      <c r="D83" s="1" t="s">
        <v>31</v>
      </c>
      <c r="E83" s="1" t="s">
        <v>93</v>
      </c>
      <c r="F83" s="1" t="s">
        <v>24</v>
      </c>
      <c r="G83" s="3">
        <v>0.34375</v>
      </c>
      <c r="H83" s="3">
        <v>0.34930555555555548</v>
      </c>
      <c r="I83" s="1">
        <v>8</v>
      </c>
      <c r="J83" s="1">
        <v>10</v>
      </c>
      <c r="K83" s="1" t="s">
        <v>18</v>
      </c>
      <c r="L83" s="1" t="s">
        <v>19</v>
      </c>
      <c r="M83" s="1">
        <v>1511</v>
      </c>
    </row>
    <row r="84" spans="1:13" x14ac:dyDescent="0.35">
      <c r="A84" s="1" t="s">
        <v>208</v>
      </c>
      <c r="B84" s="2">
        <v>45931</v>
      </c>
      <c r="C84" s="1" t="s">
        <v>209</v>
      </c>
      <c r="D84" s="1" t="s">
        <v>78</v>
      </c>
      <c r="E84" s="1" t="s">
        <v>47</v>
      </c>
      <c r="F84" s="1" t="s">
        <v>17</v>
      </c>
      <c r="G84" s="3">
        <v>0.5625</v>
      </c>
      <c r="H84" s="3">
        <v>0.56319444444444444</v>
      </c>
      <c r="I84" s="1">
        <v>1</v>
      </c>
      <c r="J84" s="1">
        <v>0</v>
      </c>
      <c r="K84" s="1" t="s">
        <v>18</v>
      </c>
      <c r="L84" s="1" t="s">
        <v>19</v>
      </c>
      <c r="M84" s="1">
        <v>0</v>
      </c>
    </row>
    <row r="85" spans="1:13" x14ac:dyDescent="0.35">
      <c r="A85" s="1" t="s">
        <v>210</v>
      </c>
      <c r="B85" s="2">
        <v>45931</v>
      </c>
      <c r="C85" s="1" t="s">
        <v>211</v>
      </c>
      <c r="D85" s="1" t="s">
        <v>50</v>
      </c>
      <c r="E85" s="1" t="s">
        <v>23</v>
      </c>
      <c r="F85" s="1" t="s">
        <v>28</v>
      </c>
      <c r="G85" s="3">
        <v>0.58333333333333337</v>
      </c>
      <c r="H85" s="3">
        <v>0.58750000000000002</v>
      </c>
      <c r="I85" s="1">
        <v>6</v>
      </c>
      <c r="J85" s="1">
        <v>7</v>
      </c>
      <c r="K85" s="1" t="s">
        <v>18</v>
      </c>
      <c r="L85" s="1" t="s">
        <v>19</v>
      </c>
      <c r="M85" s="1">
        <v>1197</v>
      </c>
    </row>
    <row r="86" spans="1:13" x14ac:dyDescent="0.35">
      <c r="A86" s="1" t="s">
        <v>212</v>
      </c>
      <c r="B86" s="2">
        <v>45931</v>
      </c>
      <c r="C86" s="1" t="s">
        <v>213</v>
      </c>
      <c r="D86" s="1" t="s">
        <v>16</v>
      </c>
      <c r="E86" s="1" t="s">
        <v>214</v>
      </c>
      <c r="F86" s="1" t="s">
        <v>24</v>
      </c>
      <c r="G86" s="3">
        <v>0.60416666666666663</v>
      </c>
      <c r="H86" s="3">
        <v>0.60277777777777775</v>
      </c>
      <c r="I86" s="1">
        <v>-2</v>
      </c>
      <c r="J86" s="1">
        <v>-6</v>
      </c>
      <c r="K86" s="1" t="s">
        <v>18</v>
      </c>
      <c r="L86" s="1" t="s">
        <v>19</v>
      </c>
      <c r="M86" s="1">
        <v>886</v>
      </c>
    </row>
    <row r="87" spans="1:13" x14ac:dyDescent="0.35">
      <c r="A87" s="1" t="s">
        <v>215</v>
      </c>
      <c r="B87" s="2">
        <v>45931</v>
      </c>
      <c r="C87" s="1" t="s">
        <v>216</v>
      </c>
      <c r="D87" s="1" t="s">
        <v>37</v>
      </c>
      <c r="E87" s="1" t="s">
        <v>41</v>
      </c>
      <c r="F87" s="1" t="s">
        <v>17</v>
      </c>
      <c r="G87" s="3">
        <v>0.74652777777777779</v>
      </c>
      <c r="H87" s="3">
        <v>0.80208333333333337</v>
      </c>
      <c r="I87" s="1">
        <v>80</v>
      </c>
      <c r="J87" s="1">
        <v>85</v>
      </c>
      <c r="K87" s="1" t="s">
        <v>129</v>
      </c>
      <c r="L87" s="1" t="s">
        <v>19</v>
      </c>
      <c r="M87" s="1">
        <v>2722</v>
      </c>
    </row>
    <row r="88" spans="1:13" x14ac:dyDescent="0.35">
      <c r="A88" s="1" t="s">
        <v>217</v>
      </c>
      <c r="B88" s="2">
        <v>45932</v>
      </c>
      <c r="C88" s="1" t="s">
        <v>218</v>
      </c>
      <c r="D88" s="1" t="s">
        <v>44</v>
      </c>
      <c r="E88" s="1" t="s">
        <v>50</v>
      </c>
      <c r="F88" s="1" t="s">
        <v>24</v>
      </c>
      <c r="G88" s="3">
        <v>0.28125</v>
      </c>
      <c r="H88" s="3">
        <v>0.28125</v>
      </c>
      <c r="I88" s="1">
        <v>0</v>
      </c>
      <c r="J88" s="1">
        <v>-9</v>
      </c>
      <c r="K88" s="1" t="s">
        <v>18</v>
      </c>
      <c r="L88" s="1" t="s">
        <v>19</v>
      </c>
      <c r="M88" s="1">
        <v>945</v>
      </c>
    </row>
    <row r="89" spans="1:13" x14ac:dyDescent="0.35">
      <c r="A89" s="1" t="s">
        <v>219</v>
      </c>
      <c r="B89" s="2">
        <v>45932</v>
      </c>
      <c r="C89" s="1" t="s">
        <v>220</v>
      </c>
      <c r="D89" s="1" t="s">
        <v>93</v>
      </c>
      <c r="E89" s="1" t="s">
        <v>221</v>
      </c>
      <c r="F89" s="1" t="s">
        <v>24</v>
      </c>
      <c r="G89" s="3">
        <v>0.60416666666666663</v>
      </c>
      <c r="H89" s="3">
        <v>0.60972222222222228</v>
      </c>
      <c r="I89" s="1">
        <v>8</v>
      </c>
      <c r="J89" s="1">
        <v>5</v>
      </c>
      <c r="K89" s="1"/>
      <c r="L89" s="1" t="s">
        <v>19</v>
      </c>
      <c r="M89" s="1">
        <v>1742</v>
      </c>
    </row>
    <row r="90" spans="1:13" x14ac:dyDescent="0.35">
      <c r="A90" s="1" t="s">
        <v>222</v>
      </c>
      <c r="B90" s="2">
        <v>45932</v>
      </c>
      <c r="C90" s="1" t="s">
        <v>223</v>
      </c>
      <c r="D90" s="1" t="s">
        <v>41</v>
      </c>
      <c r="E90" s="1" t="s">
        <v>37</v>
      </c>
      <c r="F90" s="1" t="s">
        <v>38</v>
      </c>
      <c r="G90" s="3">
        <v>0.76041666666666663</v>
      </c>
      <c r="H90" s="3">
        <v>0.76041666666666663</v>
      </c>
      <c r="I90" s="1">
        <v>0</v>
      </c>
      <c r="J90" s="1">
        <v>1</v>
      </c>
      <c r="K90" s="1" t="s">
        <v>18</v>
      </c>
      <c r="L90" s="1" t="s">
        <v>19</v>
      </c>
      <c r="M90" s="1">
        <v>2722</v>
      </c>
    </row>
    <row r="91" spans="1:13" x14ac:dyDescent="0.35">
      <c r="A91" s="1" t="s">
        <v>224</v>
      </c>
      <c r="B91" s="2">
        <v>45932</v>
      </c>
      <c r="C91" s="1" t="s">
        <v>225</v>
      </c>
      <c r="D91" s="1" t="s">
        <v>226</v>
      </c>
      <c r="E91" s="1" t="s">
        <v>31</v>
      </c>
      <c r="F91" s="1" t="s">
        <v>17</v>
      </c>
      <c r="G91" s="3">
        <v>0.92708333333333337</v>
      </c>
      <c r="H91" s="3">
        <v>0.93541666666666667</v>
      </c>
      <c r="I91" s="1">
        <v>12</v>
      </c>
      <c r="J91" s="1">
        <v>6</v>
      </c>
      <c r="K91" s="1" t="s">
        <v>18</v>
      </c>
      <c r="L91" s="1" t="s">
        <v>19</v>
      </c>
      <c r="M91" s="1">
        <v>627</v>
      </c>
    </row>
    <row r="92" spans="1:13" x14ac:dyDescent="0.35">
      <c r="A92" s="1" t="s">
        <v>227</v>
      </c>
      <c r="B92" s="2">
        <v>45933</v>
      </c>
      <c r="C92" s="1" t="s">
        <v>228</v>
      </c>
      <c r="D92" s="1" t="s">
        <v>15</v>
      </c>
      <c r="E92" s="1" t="s">
        <v>23</v>
      </c>
      <c r="F92" s="1" t="s">
        <v>28</v>
      </c>
      <c r="G92" s="3">
        <v>0.82986111111111116</v>
      </c>
      <c r="H92" s="3">
        <v>0.83611111111111114</v>
      </c>
      <c r="I92" s="1">
        <v>9</v>
      </c>
      <c r="J92" s="1">
        <v>17</v>
      </c>
      <c r="K92" s="1" t="s">
        <v>18</v>
      </c>
      <c r="L92" s="1" t="s">
        <v>19</v>
      </c>
      <c r="M92" s="1">
        <v>861</v>
      </c>
    </row>
    <row r="93" spans="1:13" x14ac:dyDescent="0.35">
      <c r="A93" s="1" t="s">
        <v>229</v>
      </c>
      <c r="B93" s="2">
        <v>45934</v>
      </c>
      <c r="C93" s="1" t="s">
        <v>230</v>
      </c>
      <c r="D93" s="1" t="s">
        <v>15</v>
      </c>
      <c r="E93" s="1" t="s">
        <v>16</v>
      </c>
      <c r="F93" s="1" t="s">
        <v>24</v>
      </c>
      <c r="G93" s="3">
        <v>0.49652777777777779</v>
      </c>
      <c r="H93" s="3">
        <v>0.49305555555555558</v>
      </c>
      <c r="I93" s="1">
        <v>-5</v>
      </c>
      <c r="J93" s="1">
        <v>-8</v>
      </c>
      <c r="K93" s="1" t="s">
        <v>18</v>
      </c>
      <c r="L93" s="1" t="s">
        <v>19</v>
      </c>
      <c r="M93" s="1">
        <v>1742</v>
      </c>
    </row>
    <row r="94" spans="1:13" x14ac:dyDescent="0.35">
      <c r="A94" s="1" t="s">
        <v>231</v>
      </c>
      <c r="B94" s="2">
        <v>45934</v>
      </c>
      <c r="C94" s="1" t="s">
        <v>232</v>
      </c>
      <c r="D94" s="1" t="s">
        <v>15</v>
      </c>
      <c r="E94" s="1" t="s">
        <v>23</v>
      </c>
      <c r="F94" s="1" t="s">
        <v>38</v>
      </c>
      <c r="G94" s="3">
        <v>0.70138888888888884</v>
      </c>
      <c r="H94" s="3">
        <v>0.70208333333333328</v>
      </c>
      <c r="I94" s="1">
        <v>1</v>
      </c>
      <c r="J94" s="1">
        <v>3</v>
      </c>
      <c r="K94" s="1" t="s">
        <v>18</v>
      </c>
      <c r="L94" s="1" t="s">
        <v>19</v>
      </c>
      <c r="M94" s="1">
        <v>861</v>
      </c>
    </row>
    <row r="95" spans="1:13" x14ac:dyDescent="0.35">
      <c r="A95" s="1" t="s">
        <v>233</v>
      </c>
      <c r="B95" s="2">
        <v>45934</v>
      </c>
      <c r="C95" s="1" t="s">
        <v>234</v>
      </c>
      <c r="D95" s="1" t="s">
        <v>37</v>
      </c>
      <c r="E95" s="1" t="s">
        <v>47</v>
      </c>
      <c r="F95" s="1" t="s">
        <v>28</v>
      </c>
      <c r="G95" s="3">
        <v>0.73263888888888884</v>
      </c>
      <c r="H95" s="3">
        <v>0.73124999999999996</v>
      </c>
      <c r="I95" s="1">
        <v>-2</v>
      </c>
      <c r="J95" s="1">
        <v>-7</v>
      </c>
      <c r="K95" s="1" t="s">
        <v>18</v>
      </c>
      <c r="L95" s="1" t="s">
        <v>19</v>
      </c>
      <c r="M95" s="1">
        <v>679</v>
      </c>
    </row>
    <row r="96" spans="1:13" x14ac:dyDescent="0.35">
      <c r="A96" s="1" t="s">
        <v>235</v>
      </c>
      <c r="B96" s="2">
        <v>45935</v>
      </c>
      <c r="C96" s="1" t="s">
        <v>236</v>
      </c>
      <c r="D96" s="1" t="s">
        <v>97</v>
      </c>
      <c r="E96" s="1" t="s">
        <v>44</v>
      </c>
      <c r="F96" s="1" t="s">
        <v>28</v>
      </c>
      <c r="G96" s="3">
        <v>0.75</v>
      </c>
      <c r="H96" s="3">
        <v>0.74652777777777779</v>
      </c>
      <c r="I96" s="1">
        <v>-5</v>
      </c>
      <c r="J96" s="1">
        <v>-13</v>
      </c>
      <c r="K96" s="1"/>
      <c r="L96" s="1" t="s">
        <v>19</v>
      </c>
      <c r="M96" s="1">
        <v>1749</v>
      </c>
    </row>
    <row r="97" spans="1:13" x14ac:dyDescent="0.35">
      <c r="A97" s="1" t="s">
        <v>237</v>
      </c>
      <c r="B97" s="2">
        <v>45935</v>
      </c>
      <c r="C97" s="1" t="s">
        <v>223</v>
      </c>
      <c r="D97" s="1" t="s">
        <v>27</v>
      </c>
      <c r="E97" s="1" t="s">
        <v>47</v>
      </c>
      <c r="F97" s="1" t="s">
        <v>38</v>
      </c>
      <c r="G97" s="3">
        <v>0.85763888888888884</v>
      </c>
      <c r="H97" s="3">
        <v>0.8569444444444444</v>
      </c>
      <c r="I97" s="1">
        <v>-1</v>
      </c>
      <c r="J97" s="1">
        <v>4</v>
      </c>
      <c r="K97" s="1" t="s">
        <v>18</v>
      </c>
      <c r="L97" s="1" t="s">
        <v>19</v>
      </c>
      <c r="M97" s="1">
        <v>1462</v>
      </c>
    </row>
    <row r="98" spans="1:13" x14ac:dyDescent="0.35">
      <c r="A98" s="1" t="s">
        <v>238</v>
      </c>
      <c r="B98" s="2">
        <v>45936</v>
      </c>
      <c r="C98" s="1" t="s">
        <v>239</v>
      </c>
      <c r="D98" s="1" t="s">
        <v>22</v>
      </c>
      <c r="E98" s="1" t="s">
        <v>44</v>
      </c>
      <c r="F98" s="1" t="s">
        <v>17</v>
      </c>
      <c r="G98" s="3">
        <v>0.33680555555555558</v>
      </c>
      <c r="H98" s="3">
        <v>0.34166666666666667</v>
      </c>
      <c r="I98" s="1">
        <v>7</v>
      </c>
      <c r="J98" s="1">
        <v>-2</v>
      </c>
      <c r="K98" s="1" t="s">
        <v>18</v>
      </c>
      <c r="L98" s="1" t="s">
        <v>19</v>
      </c>
      <c r="M98" s="1">
        <v>186</v>
      </c>
    </row>
    <row r="99" spans="1:13" x14ac:dyDescent="0.35">
      <c r="A99" s="1" t="s">
        <v>240</v>
      </c>
      <c r="B99" s="2">
        <v>45936</v>
      </c>
      <c r="C99" s="1" t="s">
        <v>241</v>
      </c>
      <c r="D99" s="1" t="s">
        <v>32</v>
      </c>
      <c r="E99" s="1" t="s">
        <v>23</v>
      </c>
      <c r="F99" s="1" t="s">
        <v>17</v>
      </c>
      <c r="G99" s="3">
        <v>0.47222222222222221</v>
      </c>
      <c r="H99" s="3">
        <v>0.48055555555555562</v>
      </c>
      <c r="I99" s="1">
        <v>12</v>
      </c>
      <c r="J99" s="1">
        <v>19</v>
      </c>
      <c r="K99" s="1" t="s">
        <v>18</v>
      </c>
      <c r="L99" s="1" t="s">
        <v>19</v>
      </c>
      <c r="M99" s="1">
        <v>1622</v>
      </c>
    </row>
    <row r="100" spans="1:13" x14ac:dyDescent="0.35">
      <c r="A100" s="1" t="s">
        <v>242</v>
      </c>
      <c r="B100" s="2">
        <v>45936</v>
      </c>
      <c r="C100" s="1" t="s">
        <v>243</v>
      </c>
      <c r="D100" s="1" t="s">
        <v>23</v>
      </c>
      <c r="E100" s="1" t="s">
        <v>47</v>
      </c>
      <c r="F100" s="1" t="s">
        <v>24</v>
      </c>
      <c r="G100" s="3">
        <v>0.75694444444444442</v>
      </c>
      <c r="H100" s="3">
        <v>0.75416666666666665</v>
      </c>
      <c r="I100" s="1">
        <v>-4</v>
      </c>
      <c r="J100" s="1">
        <v>-3</v>
      </c>
      <c r="K100" s="1" t="s">
        <v>18</v>
      </c>
      <c r="L100" s="1" t="s">
        <v>19</v>
      </c>
      <c r="M100" s="1">
        <v>965</v>
      </c>
    </row>
    <row r="101" spans="1:13" x14ac:dyDescent="0.35">
      <c r="A101" s="1" t="s">
        <v>244</v>
      </c>
      <c r="B101" s="2">
        <v>45936</v>
      </c>
      <c r="C101" s="1" t="s">
        <v>245</v>
      </c>
      <c r="D101" s="1" t="s">
        <v>27</v>
      </c>
      <c r="E101" s="1" t="s">
        <v>31</v>
      </c>
      <c r="F101" s="1" t="s">
        <v>17</v>
      </c>
      <c r="G101" s="3">
        <v>0.86111111111111116</v>
      </c>
      <c r="H101" s="3">
        <v>0.86736111111111114</v>
      </c>
      <c r="I101" s="1">
        <v>9</v>
      </c>
      <c r="J101" s="1">
        <v>5</v>
      </c>
      <c r="K101" s="1"/>
      <c r="L101" s="1" t="s">
        <v>19</v>
      </c>
      <c r="M101" s="1">
        <v>1053</v>
      </c>
    </row>
    <row r="102" spans="1:13" x14ac:dyDescent="0.35">
      <c r="A102" s="1" t="s">
        <v>246</v>
      </c>
      <c r="B102" s="2">
        <v>45937</v>
      </c>
      <c r="C102" s="1" t="s">
        <v>247</v>
      </c>
      <c r="D102" s="1" t="s">
        <v>50</v>
      </c>
      <c r="E102" s="1" t="s">
        <v>16</v>
      </c>
      <c r="F102" s="1" t="s">
        <v>28</v>
      </c>
      <c r="G102" s="3">
        <v>0.4513888888888889</v>
      </c>
      <c r="H102" s="3">
        <v>0.45694444444444438</v>
      </c>
      <c r="I102" s="1">
        <v>8</v>
      </c>
      <c r="J102" s="1">
        <v>9</v>
      </c>
      <c r="K102" s="1"/>
      <c r="L102" s="1" t="s">
        <v>19</v>
      </c>
      <c r="M102" s="1">
        <v>606</v>
      </c>
    </row>
    <row r="103" spans="1:13" x14ac:dyDescent="0.35">
      <c r="A103" s="1" t="s">
        <v>248</v>
      </c>
      <c r="B103" s="2">
        <v>45937</v>
      </c>
      <c r="C103" s="1" t="s">
        <v>249</v>
      </c>
      <c r="D103" s="1" t="s">
        <v>41</v>
      </c>
      <c r="E103" s="1" t="s">
        <v>16</v>
      </c>
      <c r="F103" s="1" t="s">
        <v>24</v>
      </c>
      <c r="G103" s="3">
        <v>0.60763888888888884</v>
      </c>
      <c r="H103" s="3">
        <v>0.60486111111111107</v>
      </c>
      <c r="I103" s="1">
        <v>-4</v>
      </c>
      <c r="J103" s="1">
        <v>-16</v>
      </c>
      <c r="K103" s="1" t="s">
        <v>18</v>
      </c>
      <c r="L103" s="1" t="s">
        <v>19</v>
      </c>
      <c r="M103" s="1">
        <v>1199</v>
      </c>
    </row>
    <row r="104" spans="1:13" x14ac:dyDescent="0.35">
      <c r="A104" s="1" t="s">
        <v>250</v>
      </c>
      <c r="B104" s="2">
        <v>45937</v>
      </c>
      <c r="C104" s="1" t="s">
        <v>251</v>
      </c>
      <c r="D104" s="1" t="s">
        <v>59</v>
      </c>
      <c r="E104" s="1" t="s">
        <v>22</v>
      </c>
      <c r="F104" s="1" t="s">
        <v>17</v>
      </c>
      <c r="G104" s="3">
        <v>0.64583333333333337</v>
      </c>
      <c r="H104" s="3">
        <v>0.6791666666666667</v>
      </c>
      <c r="I104" s="1">
        <v>48</v>
      </c>
      <c r="J104" s="1">
        <v>34</v>
      </c>
      <c r="K104" s="1" t="s">
        <v>60</v>
      </c>
      <c r="L104" s="1" t="s">
        <v>19</v>
      </c>
      <c r="M104" s="1">
        <v>759</v>
      </c>
    </row>
    <row r="105" spans="1:13" x14ac:dyDescent="0.35">
      <c r="A105" s="1" t="s">
        <v>252</v>
      </c>
      <c r="B105" s="2">
        <v>45937</v>
      </c>
      <c r="C105" s="1" t="s">
        <v>253</v>
      </c>
      <c r="D105" s="1" t="s">
        <v>23</v>
      </c>
      <c r="E105" s="1" t="s">
        <v>15</v>
      </c>
      <c r="F105" s="1" t="s">
        <v>28</v>
      </c>
      <c r="G105" s="3">
        <v>0.82986111111111116</v>
      </c>
      <c r="H105" s="1"/>
      <c r="I105" s="1"/>
      <c r="J105" s="1"/>
      <c r="K105" s="1" t="s">
        <v>129</v>
      </c>
      <c r="L105" s="1" t="s">
        <v>254</v>
      </c>
      <c r="M105" s="1">
        <v>861</v>
      </c>
    </row>
    <row r="106" spans="1:13" x14ac:dyDescent="0.35">
      <c r="A106" s="1" t="s">
        <v>255</v>
      </c>
      <c r="B106" s="2">
        <v>45937</v>
      </c>
      <c r="C106" s="1" t="s">
        <v>256</v>
      </c>
      <c r="D106" s="1" t="s">
        <v>37</v>
      </c>
      <c r="E106" s="1" t="s">
        <v>50</v>
      </c>
      <c r="F106" s="1" t="s">
        <v>28</v>
      </c>
      <c r="G106" s="3">
        <v>0.94791666666666663</v>
      </c>
      <c r="H106" s="3">
        <v>0.95486111111111116</v>
      </c>
      <c r="I106" s="1">
        <v>10</v>
      </c>
      <c r="J106" s="1">
        <v>6</v>
      </c>
      <c r="K106" s="1" t="s">
        <v>18</v>
      </c>
      <c r="L106" s="1" t="s">
        <v>19</v>
      </c>
      <c r="M106" s="1">
        <v>2178</v>
      </c>
    </row>
    <row r="107" spans="1:13" x14ac:dyDescent="0.35">
      <c r="A107" s="1" t="s">
        <v>257</v>
      </c>
      <c r="B107" s="2">
        <v>45938</v>
      </c>
      <c r="C107" s="1" t="s">
        <v>258</v>
      </c>
      <c r="D107" s="1" t="s">
        <v>27</v>
      </c>
      <c r="E107" s="1" t="s">
        <v>41</v>
      </c>
      <c r="F107" s="1" t="s">
        <v>28</v>
      </c>
      <c r="G107" s="3">
        <v>0.44097222222222221</v>
      </c>
      <c r="H107" s="3">
        <v>0.44583333333333341</v>
      </c>
      <c r="I107" s="1">
        <v>7</v>
      </c>
      <c r="J107" s="1">
        <v>-1</v>
      </c>
      <c r="K107" s="1"/>
      <c r="L107" s="1" t="s">
        <v>19</v>
      </c>
      <c r="M107" s="1">
        <v>1120</v>
      </c>
    </row>
    <row r="108" spans="1:13" x14ac:dyDescent="0.35">
      <c r="A108" s="1" t="s">
        <v>259</v>
      </c>
      <c r="B108" s="2">
        <v>45938</v>
      </c>
      <c r="C108" s="1" t="s">
        <v>260</v>
      </c>
      <c r="D108" s="1" t="s">
        <v>22</v>
      </c>
      <c r="E108" s="1" t="s">
        <v>41</v>
      </c>
      <c r="F108" s="1" t="s">
        <v>24</v>
      </c>
      <c r="G108" s="3">
        <v>0.77430555555555558</v>
      </c>
      <c r="H108" s="3">
        <v>0.78055555555555556</v>
      </c>
      <c r="I108" s="1">
        <v>9</v>
      </c>
      <c r="J108" s="1">
        <v>11</v>
      </c>
      <c r="K108" s="1"/>
      <c r="L108" s="1" t="s">
        <v>19</v>
      </c>
      <c r="M108" s="1">
        <v>1092</v>
      </c>
    </row>
    <row r="109" spans="1:13" x14ac:dyDescent="0.35">
      <c r="A109" s="1" t="s">
        <v>261</v>
      </c>
      <c r="B109" s="2">
        <v>45939</v>
      </c>
      <c r="C109" s="1" t="s">
        <v>262</v>
      </c>
      <c r="D109" s="1" t="s">
        <v>22</v>
      </c>
      <c r="E109" s="1" t="s">
        <v>50</v>
      </c>
      <c r="F109" s="1" t="s">
        <v>24</v>
      </c>
      <c r="G109" s="3">
        <v>0.21180555555555561</v>
      </c>
      <c r="H109" s="3">
        <v>0.23958333333333329</v>
      </c>
      <c r="I109" s="1">
        <v>40</v>
      </c>
      <c r="J109" s="1">
        <v>30</v>
      </c>
      <c r="K109" s="1" t="s">
        <v>263</v>
      </c>
      <c r="L109" s="1" t="s">
        <v>19</v>
      </c>
      <c r="M109" s="1">
        <v>759</v>
      </c>
    </row>
    <row r="110" spans="1:13" x14ac:dyDescent="0.35">
      <c r="A110" s="1" t="s">
        <v>264</v>
      </c>
      <c r="B110" s="2">
        <v>45939</v>
      </c>
      <c r="C110" s="1" t="s">
        <v>265</v>
      </c>
      <c r="D110" s="1" t="s">
        <v>44</v>
      </c>
      <c r="E110" s="1" t="s">
        <v>50</v>
      </c>
      <c r="F110" s="1" t="s">
        <v>28</v>
      </c>
      <c r="G110" s="3">
        <v>0.40625</v>
      </c>
      <c r="H110" s="3">
        <v>0.40069444444444452</v>
      </c>
      <c r="I110" s="1">
        <v>-8</v>
      </c>
      <c r="J110" s="1">
        <v>-13</v>
      </c>
      <c r="K110" s="1" t="s">
        <v>18</v>
      </c>
      <c r="L110" s="1" t="s">
        <v>19</v>
      </c>
      <c r="M110" s="1">
        <v>945</v>
      </c>
    </row>
    <row r="111" spans="1:13" x14ac:dyDescent="0.35">
      <c r="A111" s="1" t="s">
        <v>266</v>
      </c>
      <c r="B111" s="2">
        <v>45939</v>
      </c>
      <c r="C111" s="1" t="s">
        <v>267</v>
      </c>
      <c r="D111" s="1" t="s">
        <v>16</v>
      </c>
      <c r="E111" s="1" t="s">
        <v>27</v>
      </c>
      <c r="F111" s="1" t="s">
        <v>24</v>
      </c>
      <c r="G111" s="3">
        <v>0.42708333333333331</v>
      </c>
      <c r="H111" s="3">
        <v>0.42777777777777781</v>
      </c>
      <c r="I111" s="1">
        <v>1</v>
      </c>
      <c r="J111" s="1">
        <v>-8</v>
      </c>
      <c r="K111" s="1" t="s">
        <v>18</v>
      </c>
      <c r="L111" s="1" t="s">
        <v>19</v>
      </c>
      <c r="M111" s="1">
        <v>802</v>
      </c>
    </row>
    <row r="112" spans="1:13" x14ac:dyDescent="0.35">
      <c r="A112" s="1" t="s">
        <v>268</v>
      </c>
      <c r="B112" s="2">
        <v>45939</v>
      </c>
      <c r="C112" s="1" t="s">
        <v>269</v>
      </c>
      <c r="D112" s="1" t="s">
        <v>22</v>
      </c>
      <c r="E112" s="1" t="s">
        <v>16</v>
      </c>
      <c r="F112" s="1" t="s">
        <v>17</v>
      </c>
      <c r="G112" s="3">
        <v>0.66666666666666663</v>
      </c>
      <c r="H112" s="3">
        <v>0.67222222222222228</v>
      </c>
      <c r="I112" s="1">
        <v>8</v>
      </c>
      <c r="J112" s="1">
        <v>10</v>
      </c>
      <c r="K112" s="1" t="s">
        <v>18</v>
      </c>
      <c r="L112" s="1" t="s">
        <v>19</v>
      </c>
      <c r="M112" s="1">
        <v>738</v>
      </c>
    </row>
    <row r="113" spans="1:13" x14ac:dyDescent="0.35">
      <c r="A113" s="1" t="s">
        <v>270</v>
      </c>
      <c r="B113" s="2">
        <v>45940</v>
      </c>
      <c r="C113" s="1" t="s">
        <v>271</v>
      </c>
      <c r="D113" s="1" t="s">
        <v>16</v>
      </c>
      <c r="E113" s="1" t="s">
        <v>27</v>
      </c>
      <c r="F113" s="1" t="s">
        <v>28</v>
      </c>
      <c r="G113" s="3">
        <v>0.53819444444444442</v>
      </c>
      <c r="H113" s="1"/>
      <c r="I113" s="1">
        <v>-8</v>
      </c>
      <c r="J113" s="1">
        <v>-14</v>
      </c>
      <c r="K113" s="1" t="s">
        <v>18</v>
      </c>
      <c r="L113" s="1" t="s">
        <v>19</v>
      </c>
      <c r="M113" s="1">
        <v>802</v>
      </c>
    </row>
    <row r="114" spans="1:13" x14ac:dyDescent="0.35">
      <c r="A114" s="1" t="s">
        <v>272</v>
      </c>
      <c r="B114" s="2">
        <v>45940</v>
      </c>
      <c r="C114" s="1" t="s">
        <v>273</v>
      </c>
      <c r="D114" s="1" t="s">
        <v>23</v>
      </c>
      <c r="E114" s="1" t="s">
        <v>15</v>
      </c>
      <c r="F114" s="1" t="s">
        <v>17</v>
      </c>
      <c r="G114" s="3">
        <v>0.875</v>
      </c>
      <c r="H114" s="3">
        <v>0.87430555555555556</v>
      </c>
      <c r="I114" s="1">
        <v>-1</v>
      </c>
      <c r="J114" s="1">
        <v>7</v>
      </c>
      <c r="K114" s="1" t="s">
        <v>18</v>
      </c>
      <c r="L114" s="1" t="s">
        <v>19</v>
      </c>
      <c r="M114" s="1">
        <v>861</v>
      </c>
    </row>
    <row r="115" spans="1:13" x14ac:dyDescent="0.35">
      <c r="A115" s="1" t="s">
        <v>274</v>
      </c>
      <c r="B115" s="2">
        <v>45940</v>
      </c>
      <c r="C115" s="1" t="s">
        <v>275</v>
      </c>
      <c r="D115" s="1" t="s">
        <v>44</v>
      </c>
      <c r="E115" s="1" t="s">
        <v>27</v>
      </c>
      <c r="F115" s="1" t="s">
        <v>38</v>
      </c>
      <c r="G115" s="3">
        <v>0.91319444444444442</v>
      </c>
      <c r="H115" s="3">
        <v>0.97361111111111109</v>
      </c>
      <c r="I115" s="1">
        <v>87</v>
      </c>
      <c r="J115" s="1">
        <v>95</v>
      </c>
      <c r="K115" s="1" t="s">
        <v>276</v>
      </c>
      <c r="L115" s="1" t="s">
        <v>19</v>
      </c>
      <c r="M115" s="1">
        <v>1559</v>
      </c>
    </row>
    <row r="116" spans="1:13" x14ac:dyDescent="0.35">
      <c r="A116" s="1" t="s">
        <v>277</v>
      </c>
      <c r="B116" s="2">
        <v>45941</v>
      </c>
      <c r="C116" s="1" t="s">
        <v>278</v>
      </c>
      <c r="D116" s="1" t="s">
        <v>16</v>
      </c>
      <c r="E116" s="1" t="s">
        <v>27</v>
      </c>
      <c r="F116" s="1" t="s">
        <v>24</v>
      </c>
      <c r="G116" s="3">
        <v>0.41319444444444442</v>
      </c>
      <c r="H116" s="3">
        <v>0.41319444444444442</v>
      </c>
      <c r="I116" s="1">
        <v>0</v>
      </c>
      <c r="J116" s="1">
        <v>-4</v>
      </c>
      <c r="K116" s="1" t="s">
        <v>18</v>
      </c>
      <c r="L116" s="1" t="s">
        <v>19</v>
      </c>
      <c r="M116" s="1">
        <v>802</v>
      </c>
    </row>
    <row r="117" spans="1:13" x14ac:dyDescent="0.35">
      <c r="A117" s="1" t="s">
        <v>279</v>
      </c>
      <c r="B117" s="2">
        <v>45941</v>
      </c>
      <c r="C117" s="1" t="s">
        <v>280</v>
      </c>
      <c r="D117" s="1" t="s">
        <v>16</v>
      </c>
      <c r="E117" s="1" t="s">
        <v>15</v>
      </c>
      <c r="F117" s="1" t="s">
        <v>17</v>
      </c>
      <c r="G117" s="3">
        <v>0.44444444444444442</v>
      </c>
      <c r="H117" s="3">
        <v>0.44444444444444442</v>
      </c>
      <c r="I117" s="1">
        <v>0</v>
      </c>
      <c r="J117" s="1">
        <v>2</v>
      </c>
      <c r="K117" s="1" t="s">
        <v>18</v>
      </c>
      <c r="L117" s="1" t="s">
        <v>19</v>
      </c>
      <c r="M117" s="1">
        <v>1742</v>
      </c>
    </row>
    <row r="118" spans="1:13" x14ac:dyDescent="0.35">
      <c r="A118" s="1" t="s">
        <v>281</v>
      </c>
      <c r="B118" s="2">
        <v>45941</v>
      </c>
      <c r="C118" s="1" t="s">
        <v>282</v>
      </c>
      <c r="D118" s="1" t="s">
        <v>50</v>
      </c>
      <c r="E118" s="1" t="s">
        <v>31</v>
      </c>
      <c r="F118" s="1" t="s">
        <v>24</v>
      </c>
      <c r="G118" s="3">
        <v>0.57638888888888884</v>
      </c>
      <c r="H118" s="3">
        <v>0.63472222222222219</v>
      </c>
      <c r="I118" s="1">
        <v>84</v>
      </c>
      <c r="J118" s="1">
        <v>84</v>
      </c>
      <c r="K118" s="1" t="s">
        <v>129</v>
      </c>
      <c r="L118" s="1" t="s">
        <v>19</v>
      </c>
      <c r="M118" s="1">
        <v>1743</v>
      </c>
    </row>
    <row r="119" spans="1:13" x14ac:dyDescent="0.35">
      <c r="A119" s="1" t="s">
        <v>283</v>
      </c>
      <c r="B119" s="2">
        <v>45941</v>
      </c>
      <c r="C119" s="1" t="s">
        <v>284</v>
      </c>
      <c r="D119" s="1" t="s">
        <v>44</v>
      </c>
      <c r="E119" s="1" t="s">
        <v>50</v>
      </c>
      <c r="F119" s="1" t="s">
        <v>28</v>
      </c>
      <c r="G119" s="3">
        <v>0.70486111111111116</v>
      </c>
      <c r="H119" s="3">
        <v>0.70694444444444449</v>
      </c>
      <c r="I119" s="1">
        <v>3</v>
      </c>
      <c r="J119" s="1">
        <v>-6</v>
      </c>
      <c r="K119" s="1" t="s">
        <v>18</v>
      </c>
      <c r="L119" s="1" t="s">
        <v>19</v>
      </c>
      <c r="M119" s="1">
        <v>945</v>
      </c>
    </row>
    <row r="120" spans="1:13" x14ac:dyDescent="0.35">
      <c r="A120" s="1" t="s">
        <v>285</v>
      </c>
      <c r="B120" s="2">
        <v>45942</v>
      </c>
      <c r="C120" s="1" t="s">
        <v>286</v>
      </c>
      <c r="D120" s="1" t="s">
        <v>37</v>
      </c>
      <c r="E120" s="1" t="s">
        <v>41</v>
      </c>
      <c r="F120" s="1" t="s">
        <v>17</v>
      </c>
      <c r="G120" s="3">
        <v>0.31597222222222221</v>
      </c>
      <c r="H120" s="3">
        <v>0.31388888888888888</v>
      </c>
      <c r="I120" s="1">
        <v>-3</v>
      </c>
      <c r="J120" s="1">
        <v>-2</v>
      </c>
      <c r="K120" s="1" t="s">
        <v>18</v>
      </c>
      <c r="L120" s="1" t="s">
        <v>19</v>
      </c>
      <c r="M120" s="1">
        <v>2722</v>
      </c>
    </row>
    <row r="121" spans="1:13" x14ac:dyDescent="0.35">
      <c r="A121" s="1" t="s">
        <v>287</v>
      </c>
      <c r="B121" s="2">
        <v>45942</v>
      </c>
      <c r="C121" s="1" t="s">
        <v>288</v>
      </c>
      <c r="D121" s="1" t="s">
        <v>22</v>
      </c>
      <c r="E121" s="1" t="s">
        <v>16</v>
      </c>
      <c r="F121" s="1" t="s">
        <v>17</v>
      </c>
      <c r="G121" s="3">
        <v>0.38541666666666669</v>
      </c>
      <c r="H121" s="3">
        <v>0.3923611111111111</v>
      </c>
      <c r="I121" s="1">
        <v>10</v>
      </c>
      <c r="J121" s="1">
        <v>6</v>
      </c>
      <c r="K121" s="1" t="s">
        <v>18</v>
      </c>
      <c r="L121" s="1" t="s">
        <v>19</v>
      </c>
      <c r="M121" s="1">
        <v>738</v>
      </c>
    </row>
    <row r="122" spans="1:13" x14ac:dyDescent="0.35">
      <c r="A122" s="1" t="s">
        <v>289</v>
      </c>
      <c r="B122" s="2">
        <v>45942</v>
      </c>
      <c r="C122" s="1" t="s">
        <v>290</v>
      </c>
      <c r="D122" s="1" t="s">
        <v>41</v>
      </c>
      <c r="E122" s="1" t="s">
        <v>44</v>
      </c>
      <c r="F122" s="1" t="s">
        <v>24</v>
      </c>
      <c r="G122" s="3">
        <v>0.59375</v>
      </c>
      <c r="H122" s="3">
        <v>0.59722222222222221</v>
      </c>
      <c r="I122" s="1">
        <v>5</v>
      </c>
      <c r="J122" s="1">
        <v>-4</v>
      </c>
      <c r="K122" s="1" t="s">
        <v>18</v>
      </c>
      <c r="L122" s="1" t="s">
        <v>19</v>
      </c>
      <c r="M122" s="1">
        <v>1260</v>
      </c>
    </row>
    <row r="123" spans="1:13" x14ac:dyDescent="0.35">
      <c r="A123" s="1" t="s">
        <v>291</v>
      </c>
      <c r="B123" s="2">
        <v>45942</v>
      </c>
      <c r="C123" s="1" t="s">
        <v>292</v>
      </c>
      <c r="D123" s="1" t="s">
        <v>16</v>
      </c>
      <c r="E123" s="1" t="s">
        <v>23</v>
      </c>
      <c r="F123" s="1" t="s">
        <v>24</v>
      </c>
      <c r="G123" s="3">
        <v>0.61111111111111116</v>
      </c>
      <c r="H123" s="3">
        <v>0.61805555555555558</v>
      </c>
      <c r="I123" s="1">
        <v>10</v>
      </c>
      <c r="J123" s="1">
        <v>-2</v>
      </c>
      <c r="K123" s="1" t="s">
        <v>18</v>
      </c>
      <c r="L123" s="1" t="s">
        <v>19</v>
      </c>
      <c r="M123" s="1">
        <v>886</v>
      </c>
    </row>
    <row r="124" spans="1:13" x14ac:dyDescent="0.35">
      <c r="A124" s="1" t="s">
        <v>293</v>
      </c>
      <c r="B124" s="2">
        <v>45942</v>
      </c>
      <c r="C124" s="1" t="s">
        <v>294</v>
      </c>
      <c r="D124" s="1" t="s">
        <v>51</v>
      </c>
      <c r="E124" s="1" t="s">
        <v>23</v>
      </c>
      <c r="F124" s="1" t="s">
        <v>38</v>
      </c>
      <c r="G124" s="3">
        <v>0.80555555555555558</v>
      </c>
      <c r="H124" s="3">
        <v>0.80347222222222225</v>
      </c>
      <c r="I124" s="1">
        <v>-3</v>
      </c>
      <c r="J124" s="1">
        <v>0</v>
      </c>
      <c r="K124" s="1" t="s">
        <v>18</v>
      </c>
      <c r="L124" s="1" t="s">
        <v>19</v>
      </c>
      <c r="M124" s="1">
        <v>641</v>
      </c>
    </row>
    <row r="125" spans="1:13" x14ac:dyDescent="0.35">
      <c r="A125" s="1" t="s">
        <v>295</v>
      </c>
      <c r="B125" s="2">
        <v>45942</v>
      </c>
      <c r="C125" s="1" t="s">
        <v>296</v>
      </c>
      <c r="D125" s="1" t="s">
        <v>15</v>
      </c>
      <c r="E125" s="1" t="s">
        <v>23</v>
      </c>
      <c r="F125" s="1" t="s">
        <v>17</v>
      </c>
      <c r="G125" s="3">
        <v>0.88541666666666663</v>
      </c>
      <c r="H125" s="3">
        <v>0.88402777777777775</v>
      </c>
      <c r="I125" s="1">
        <v>-2</v>
      </c>
      <c r="J125" s="1">
        <v>-10</v>
      </c>
      <c r="K125" s="1"/>
      <c r="L125" s="1" t="s">
        <v>19</v>
      </c>
      <c r="M125" s="1">
        <v>861</v>
      </c>
    </row>
    <row r="126" spans="1:13" x14ac:dyDescent="0.35">
      <c r="A126" s="1" t="s">
        <v>297</v>
      </c>
      <c r="B126" s="2">
        <v>45943</v>
      </c>
      <c r="C126" s="1" t="s">
        <v>298</v>
      </c>
      <c r="D126" s="1" t="s">
        <v>15</v>
      </c>
      <c r="E126" s="1" t="s">
        <v>27</v>
      </c>
      <c r="F126" s="1" t="s">
        <v>17</v>
      </c>
      <c r="G126" s="3">
        <v>0.2638888888888889</v>
      </c>
      <c r="H126" s="3">
        <v>0.27013888888888887</v>
      </c>
      <c r="I126" s="1">
        <v>9</v>
      </c>
      <c r="J126" s="1">
        <v>4</v>
      </c>
      <c r="K126" s="1" t="s">
        <v>18</v>
      </c>
      <c r="L126" s="1" t="s">
        <v>19</v>
      </c>
      <c r="M126" s="1">
        <v>1232</v>
      </c>
    </row>
    <row r="127" spans="1:13" x14ac:dyDescent="0.35">
      <c r="A127" s="1" t="s">
        <v>299</v>
      </c>
      <c r="B127" s="2">
        <v>45943</v>
      </c>
      <c r="C127" s="1" t="s">
        <v>300</v>
      </c>
      <c r="D127" s="1" t="s">
        <v>47</v>
      </c>
      <c r="E127" s="1" t="s">
        <v>50</v>
      </c>
      <c r="F127" s="1" t="s">
        <v>28</v>
      </c>
      <c r="G127" s="3">
        <v>0.35069444444444442</v>
      </c>
      <c r="H127" s="3">
        <v>0.37083333333333329</v>
      </c>
      <c r="I127" s="1">
        <v>29</v>
      </c>
      <c r="J127" s="1">
        <v>14</v>
      </c>
      <c r="K127" s="1" t="s">
        <v>60</v>
      </c>
      <c r="L127" s="1" t="s">
        <v>19</v>
      </c>
      <c r="M127" s="1">
        <v>2134</v>
      </c>
    </row>
    <row r="128" spans="1:13" x14ac:dyDescent="0.35">
      <c r="A128" s="1" t="s">
        <v>301</v>
      </c>
      <c r="B128" s="2">
        <v>45943</v>
      </c>
      <c r="C128" s="1" t="s">
        <v>302</v>
      </c>
      <c r="D128" s="1" t="s">
        <v>50</v>
      </c>
      <c r="E128" s="1" t="s">
        <v>22</v>
      </c>
      <c r="F128" s="1" t="s">
        <v>28</v>
      </c>
      <c r="G128" s="3">
        <v>0.41319444444444442</v>
      </c>
      <c r="H128" s="3">
        <v>0.42986111111111108</v>
      </c>
      <c r="I128" s="1">
        <v>24</v>
      </c>
      <c r="J128" s="1">
        <v>24</v>
      </c>
      <c r="K128" s="1" t="s">
        <v>303</v>
      </c>
      <c r="L128" s="1" t="s">
        <v>19</v>
      </c>
      <c r="M128" s="1">
        <v>759</v>
      </c>
    </row>
    <row r="129" spans="1:13" x14ac:dyDescent="0.35">
      <c r="A129" s="1" t="s">
        <v>304</v>
      </c>
      <c r="B129" s="2">
        <v>45943</v>
      </c>
      <c r="C129" s="1" t="s">
        <v>305</v>
      </c>
      <c r="D129" s="1" t="s">
        <v>41</v>
      </c>
      <c r="E129" s="1" t="s">
        <v>16</v>
      </c>
      <c r="F129" s="1" t="s">
        <v>17</v>
      </c>
      <c r="G129" s="3">
        <v>0.50347222222222221</v>
      </c>
      <c r="H129" s="3">
        <v>0.50486111111111109</v>
      </c>
      <c r="I129" s="1">
        <v>2</v>
      </c>
      <c r="J129" s="1">
        <v>1</v>
      </c>
      <c r="K129" s="1"/>
      <c r="L129" s="1" t="s">
        <v>19</v>
      </c>
      <c r="M129" s="1">
        <v>1199</v>
      </c>
    </row>
    <row r="130" spans="1:13" x14ac:dyDescent="0.35">
      <c r="A130" s="1" t="s">
        <v>306</v>
      </c>
      <c r="B130" s="2">
        <v>45943</v>
      </c>
      <c r="C130" s="1" t="s">
        <v>307</v>
      </c>
      <c r="D130" s="1" t="s">
        <v>22</v>
      </c>
      <c r="E130" s="1" t="s">
        <v>41</v>
      </c>
      <c r="F130" s="1" t="s">
        <v>28</v>
      </c>
      <c r="G130" s="3">
        <v>0.77430555555555558</v>
      </c>
      <c r="H130" s="3">
        <v>0.77361111111111114</v>
      </c>
      <c r="I130" s="1">
        <v>-1</v>
      </c>
      <c r="J130" s="1">
        <v>8</v>
      </c>
      <c r="K130" s="1" t="s">
        <v>18</v>
      </c>
      <c r="L130" s="1" t="s">
        <v>19</v>
      </c>
      <c r="M130" s="1">
        <v>1092</v>
      </c>
    </row>
    <row r="131" spans="1:13" x14ac:dyDescent="0.35">
      <c r="A131" s="1" t="s">
        <v>308</v>
      </c>
      <c r="B131" s="2">
        <v>45944</v>
      </c>
      <c r="C131" s="1" t="s">
        <v>309</v>
      </c>
      <c r="D131" s="1" t="s">
        <v>27</v>
      </c>
      <c r="E131" s="1" t="s">
        <v>50</v>
      </c>
      <c r="F131" s="1" t="s">
        <v>17</v>
      </c>
      <c r="G131" s="3">
        <v>0.3298611111111111</v>
      </c>
      <c r="H131" s="3">
        <v>0.32916666666666672</v>
      </c>
      <c r="I131" s="1">
        <v>-1</v>
      </c>
      <c r="J131" s="1">
        <v>1</v>
      </c>
      <c r="K131" s="1" t="s">
        <v>18</v>
      </c>
      <c r="L131" s="1" t="s">
        <v>19</v>
      </c>
      <c r="M131" s="1">
        <v>730</v>
      </c>
    </row>
    <row r="132" spans="1:13" x14ac:dyDescent="0.35">
      <c r="A132" s="1" t="s">
        <v>310</v>
      </c>
      <c r="B132" s="2">
        <v>45944</v>
      </c>
      <c r="C132" s="1" t="s">
        <v>205</v>
      </c>
      <c r="D132" s="1" t="s">
        <v>15</v>
      </c>
      <c r="E132" s="1" t="s">
        <v>41</v>
      </c>
      <c r="F132" s="1" t="s">
        <v>28</v>
      </c>
      <c r="G132" s="3">
        <v>0.40972222222222221</v>
      </c>
      <c r="H132" s="3">
        <v>0.41736111111111113</v>
      </c>
      <c r="I132" s="1">
        <v>11</v>
      </c>
      <c r="J132" s="1">
        <v>13</v>
      </c>
      <c r="K132" s="1" t="s">
        <v>18</v>
      </c>
      <c r="L132" s="1" t="s">
        <v>19</v>
      </c>
      <c r="M132" s="1">
        <v>2338</v>
      </c>
    </row>
    <row r="133" spans="1:13" x14ac:dyDescent="0.35">
      <c r="A133" s="1" t="s">
        <v>311</v>
      </c>
      <c r="B133" s="2">
        <v>45944</v>
      </c>
      <c r="C133" s="1" t="s">
        <v>312</v>
      </c>
      <c r="D133" s="1" t="s">
        <v>15</v>
      </c>
      <c r="E133" s="1" t="s">
        <v>22</v>
      </c>
      <c r="F133" s="1" t="s">
        <v>17</v>
      </c>
      <c r="G133" s="3">
        <v>0.76388888888888884</v>
      </c>
      <c r="H133" s="3">
        <v>0.77708333333333335</v>
      </c>
      <c r="I133" s="1">
        <v>19</v>
      </c>
      <c r="J133" s="1">
        <v>20</v>
      </c>
      <c r="K133" s="1" t="s">
        <v>129</v>
      </c>
      <c r="L133" s="1" t="s">
        <v>19</v>
      </c>
      <c r="M133" s="1">
        <v>2470</v>
      </c>
    </row>
    <row r="134" spans="1:13" x14ac:dyDescent="0.35">
      <c r="A134" s="1" t="s">
        <v>313</v>
      </c>
      <c r="B134" s="2">
        <v>45945</v>
      </c>
      <c r="C134" s="1" t="s">
        <v>314</v>
      </c>
      <c r="D134" s="1" t="s">
        <v>31</v>
      </c>
      <c r="E134" s="1" t="s">
        <v>78</v>
      </c>
      <c r="F134" s="1" t="s">
        <v>17</v>
      </c>
      <c r="G134" s="3">
        <v>0.41666666666666669</v>
      </c>
      <c r="H134" s="3">
        <v>0.42083333333333328</v>
      </c>
      <c r="I134" s="1">
        <v>6</v>
      </c>
      <c r="J134" s="1">
        <v>-5</v>
      </c>
      <c r="K134" s="1" t="s">
        <v>18</v>
      </c>
      <c r="L134" s="1" t="s">
        <v>19</v>
      </c>
      <c r="M134" s="1">
        <v>256</v>
      </c>
    </row>
    <row r="135" spans="1:13" x14ac:dyDescent="0.35">
      <c r="A135" s="1" t="s">
        <v>315</v>
      </c>
      <c r="B135" s="2">
        <v>45945</v>
      </c>
      <c r="C135" s="1" t="s">
        <v>316</v>
      </c>
      <c r="D135" s="1" t="s">
        <v>27</v>
      </c>
      <c r="E135" s="1" t="s">
        <v>44</v>
      </c>
      <c r="F135" s="1" t="s">
        <v>17</v>
      </c>
      <c r="G135" s="3">
        <v>0.4375</v>
      </c>
      <c r="H135" s="3">
        <v>0.44444444444444442</v>
      </c>
      <c r="I135" s="1">
        <v>10</v>
      </c>
      <c r="J135" s="1">
        <v>11</v>
      </c>
      <c r="K135" s="1" t="s">
        <v>18</v>
      </c>
      <c r="L135" s="1" t="s">
        <v>19</v>
      </c>
      <c r="M135" s="1">
        <v>1559</v>
      </c>
    </row>
    <row r="136" spans="1:13" x14ac:dyDescent="0.35">
      <c r="A136" s="1" t="s">
        <v>317</v>
      </c>
      <c r="B136" s="2">
        <v>45945</v>
      </c>
      <c r="C136" s="1" t="s">
        <v>318</v>
      </c>
      <c r="D136" s="1" t="s">
        <v>123</v>
      </c>
      <c r="E136" s="1" t="s">
        <v>37</v>
      </c>
      <c r="F136" s="1" t="s">
        <v>24</v>
      </c>
      <c r="G136" s="3">
        <v>0.75347222222222221</v>
      </c>
      <c r="H136" s="3">
        <v>0.77708333333333335</v>
      </c>
      <c r="I136" s="1">
        <v>34</v>
      </c>
      <c r="J136" s="1">
        <v>31</v>
      </c>
      <c r="K136" s="1" t="s">
        <v>319</v>
      </c>
      <c r="L136" s="1" t="s">
        <v>19</v>
      </c>
      <c r="M136" s="1">
        <v>2178</v>
      </c>
    </row>
    <row r="137" spans="1:13" x14ac:dyDescent="0.35">
      <c r="A137" s="1" t="s">
        <v>320</v>
      </c>
      <c r="B137" s="2">
        <v>45945</v>
      </c>
      <c r="C137" s="1" t="s">
        <v>298</v>
      </c>
      <c r="D137" s="1" t="s">
        <v>37</v>
      </c>
      <c r="E137" s="1" t="s">
        <v>31</v>
      </c>
      <c r="F137" s="1" t="s">
        <v>38</v>
      </c>
      <c r="G137" s="3">
        <v>0.78819444444444442</v>
      </c>
      <c r="H137" s="3">
        <v>0.79166666666666663</v>
      </c>
      <c r="I137" s="1">
        <v>5</v>
      </c>
      <c r="J137" s="1">
        <v>-7</v>
      </c>
      <c r="K137" s="1"/>
      <c r="L137" s="1" t="s">
        <v>19</v>
      </c>
      <c r="M137" s="1">
        <v>867</v>
      </c>
    </row>
    <row r="138" spans="1:13" x14ac:dyDescent="0.35">
      <c r="A138" s="1" t="s">
        <v>321</v>
      </c>
      <c r="B138" s="2">
        <v>45946</v>
      </c>
      <c r="C138" s="1" t="s">
        <v>322</v>
      </c>
      <c r="D138" s="1" t="s">
        <v>41</v>
      </c>
      <c r="E138" s="1" t="s">
        <v>50</v>
      </c>
      <c r="F138" s="1" t="s">
        <v>28</v>
      </c>
      <c r="G138" s="3">
        <v>0.36458333333333331</v>
      </c>
      <c r="H138" s="3">
        <v>0.36249999999999999</v>
      </c>
      <c r="I138" s="1">
        <v>-3</v>
      </c>
      <c r="J138" s="1">
        <v>1</v>
      </c>
      <c r="K138" s="1" t="s">
        <v>18</v>
      </c>
      <c r="L138" s="1" t="s">
        <v>19</v>
      </c>
      <c r="M138" s="1">
        <v>596</v>
      </c>
    </row>
    <row r="139" spans="1:13" x14ac:dyDescent="0.35">
      <c r="A139" s="1" t="s">
        <v>323</v>
      </c>
      <c r="B139" s="2">
        <v>45946</v>
      </c>
      <c r="C139" s="1" t="s">
        <v>324</v>
      </c>
      <c r="D139" s="1" t="s">
        <v>325</v>
      </c>
      <c r="E139" s="1" t="s">
        <v>37</v>
      </c>
      <c r="F139" s="1" t="s">
        <v>24</v>
      </c>
      <c r="G139" s="3">
        <v>0.44791666666666669</v>
      </c>
      <c r="H139" s="3">
        <v>0.46388888888888891</v>
      </c>
      <c r="I139" s="1">
        <v>23</v>
      </c>
      <c r="J139" s="1">
        <v>23</v>
      </c>
      <c r="K139" s="1" t="s">
        <v>263</v>
      </c>
      <c r="L139" s="1" t="s">
        <v>19</v>
      </c>
      <c r="M139" s="1">
        <v>2489</v>
      </c>
    </row>
    <row r="140" spans="1:13" x14ac:dyDescent="0.35">
      <c r="A140" s="1" t="s">
        <v>326</v>
      </c>
      <c r="B140" s="2">
        <v>45946</v>
      </c>
      <c r="C140" s="1" t="s">
        <v>327</v>
      </c>
      <c r="D140" s="1" t="s">
        <v>328</v>
      </c>
      <c r="E140" s="1" t="s">
        <v>37</v>
      </c>
      <c r="F140" s="1" t="s">
        <v>17</v>
      </c>
      <c r="G140" s="3">
        <v>0.46180555555555558</v>
      </c>
      <c r="H140" s="3">
        <v>0.46944444444444439</v>
      </c>
      <c r="I140" s="1">
        <v>11</v>
      </c>
      <c r="J140" s="1">
        <v>9</v>
      </c>
      <c r="K140" s="1" t="s">
        <v>18</v>
      </c>
      <c r="L140" s="1" t="s">
        <v>19</v>
      </c>
      <c r="M140" s="1">
        <v>2415</v>
      </c>
    </row>
    <row r="141" spans="1:13" x14ac:dyDescent="0.35">
      <c r="A141" s="1" t="s">
        <v>329</v>
      </c>
      <c r="B141" s="2">
        <v>45946</v>
      </c>
      <c r="C141" s="1" t="s">
        <v>330</v>
      </c>
      <c r="D141" s="1" t="s">
        <v>16</v>
      </c>
      <c r="E141" s="1" t="s">
        <v>41</v>
      </c>
      <c r="F141" s="1" t="s">
        <v>17</v>
      </c>
      <c r="G141" s="3">
        <v>0.78472222222222221</v>
      </c>
      <c r="H141" s="3">
        <v>0.78402777777777777</v>
      </c>
      <c r="I141" s="1">
        <v>-1</v>
      </c>
      <c r="J141" s="1">
        <v>-10</v>
      </c>
      <c r="K141" s="1"/>
      <c r="L141" s="1" t="s">
        <v>19</v>
      </c>
      <c r="M141" s="1">
        <v>1199</v>
      </c>
    </row>
    <row r="142" spans="1:13" x14ac:dyDescent="0.35">
      <c r="A142" s="1" t="s">
        <v>331</v>
      </c>
      <c r="B142" s="2">
        <v>45946</v>
      </c>
      <c r="C142" s="1" t="s">
        <v>332</v>
      </c>
      <c r="D142" s="1" t="s">
        <v>78</v>
      </c>
      <c r="E142" s="1" t="s">
        <v>41</v>
      </c>
      <c r="F142" s="1" t="s">
        <v>28</v>
      </c>
      <c r="G142" s="3">
        <v>0.84375</v>
      </c>
      <c r="H142" s="3">
        <v>0.85069444444444442</v>
      </c>
      <c r="I142" s="1">
        <v>10</v>
      </c>
      <c r="J142" s="1">
        <v>9</v>
      </c>
      <c r="K142" s="1" t="s">
        <v>18</v>
      </c>
      <c r="L142" s="1" t="s">
        <v>19</v>
      </c>
      <c r="M142" s="1">
        <v>1969</v>
      </c>
    </row>
    <row r="143" spans="1:13" x14ac:dyDescent="0.35">
      <c r="A143" s="1" t="s">
        <v>333</v>
      </c>
      <c r="B143" s="2">
        <v>45947</v>
      </c>
      <c r="C143" s="1" t="s">
        <v>334</v>
      </c>
      <c r="D143" s="1" t="s">
        <v>31</v>
      </c>
      <c r="E143" s="1" t="s">
        <v>16</v>
      </c>
      <c r="F143" s="1" t="s">
        <v>17</v>
      </c>
      <c r="G143" s="3">
        <v>0.27430555555555558</v>
      </c>
      <c r="H143" s="3">
        <v>0.2722222222222222</v>
      </c>
      <c r="I143" s="1">
        <v>-3</v>
      </c>
      <c r="J143" s="1">
        <v>5</v>
      </c>
      <c r="K143" s="1" t="s">
        <v>18</v>
      </c>
      <c r="L143" s="1" t="s">
        <v>19</v>
      </c>
      <c r="M143" s="1">
        <v>1511</v>
      </c>
    </row>
    <row r="144" spans="1:13" x14ac:dyDescent="0.35">
      <c r="A144" s="1" t="s">
        <v>335</v>
      </c>
      <c r="B144" s="2">
        <v>45947</v>
      </c>
      <c r="C144" s="1" t="s">
        <v>336</v>
      </c>
      <c r="D144" s="1" t="s">
        <v>16</v>
      </c>
      <c r="E144" s="1" t="s">
        <v>27</v>
      </c>
      <c r="F144" s="1" t="s">
        <v>24</v>
      </c>
      <c r="G144" s="3">
        <v>0.67708333333333337</v>
      </c>
      <c r="H144" s="3">
        <v>0.68194444444444446</v>
      </c>
      <c r="I144" s="1">
        <v>7</v>
      </c>
      <c r="J144" s="1">
        <v>6</v>
      </c>
      <c r="K144" s="1" t="s">
        <v>18</v>
      </c>
      <c r="L144" s="1" t="s">
        <v>19</v>
      </c>
      <c r="M144" s="1">
        <v>802</v>
      </c>
    </row>
    <row r="145" spans="1:13" x14ac:dyDescent="0.35">
      <c r="A145" s="1" t="s">
        <v>337</v>
      </c>
      <c r="B145" s="2">
        <v>45947</v>
      </c>
      <c r="C145" s="1" t="s">
        <v>338</v>
      </c>
      <c r="D145" s="1" t="s">
        <v>27</v>
      </c>
      <c r="E145" s="1" t="s">
        <v>15</v>
      </c>
      <c r="F145" s="1" t="s">
        <v>24</v>
      </c>
      <c r="G145" s="3">
        <v>0.83333333333333337</v>
      </c>
      <c r="H145" s="3">
        <v>0.84861111111111109</v>
      </c>
      <c r="I145" s="1">
        <v>22</v>
      </c>
      <c r="J145" s="1">
        <v>13</v>
      </c>
      <c r="K145" s="1" t="s">
        <v>54</v>
      </c>
      <c r="L145" s="1" t="s">
        <v>19</v>
      </c>
      <c r="M145" s="1">
        <v>1232</v>
      </c>
    </row>
    <row r="146" spans="1:13" x14ac:dyDescent="0.35">
      <c r="A146" s="1" t="s">
        <v>339</v>
      </c>
      <c r="B146" s="2">
        <v>45948</v>
      </c>
      <c r="C146" s="1" t="s">
        <v>340</v>
      </c>
      <c r="D146" s="1" t="s">
        <v>41</v>
      </c>
      <c r="E146" s="1" t="s">
        <v>27</v>
      </c>
      <c r="F146" s="1" t="s">
        <v>24</v>
      </c>
      <c r="G146" s="3">
        <v>0.22916666666666671</v>
      </c>
      <c r="H146" s="3">
        <v>0.24930555555555561</v>
      </c>
      <c r="I146" s="1">
        <v>29</v>
      </c>
      <c r="J146" s="1">
        <v>33</v>
      </c>
      <c r="K146" s="1" t="s">
        <v>174</v>
      </c>
      <c r="L146" s="1" t="s">
        <v>19</v>
      </c>
      <c r="M146" s="1">
        <v>1120</v>
      </c>
    </row>
    <row r="147" spans="1:13" x14ac:dyDescent="0.35">
      <c r="A147" s="1" t="s">
        <v>341</v>
      </c>
      <c r="B147" s="2">
        <v>45948</v>
      </c>
      <c r="C147" s="1" t="s">
        <v>342</v>
      </c>
      <c r="D147" s="1" t="s">
        <v>50</v>
      </c>
      <c r="E147" s="1" t="s">
        <v>47</v>
      </c>
      <c r="F147" s="1" t="s">
        <v>17</v>
      </c>
      <c r="G147" s="3">
        <v>0.34027777777777779</v>
      </c>
      <c r="H147" s="3">
        <v>0.3347222222222222</v>
      </c>
      <c r="I147" s="1">
        <v>-8</v>
      </c>
      <c r="J147" s="1">
        <v>-8</v>
      </c>
      <c r="K147" s="1" t="s">
        <v>18</v>
      </c>
      <c r="L147" s="1" t="s">
        <v>19</v>
      </c>
      <c r="M147" s="1">
        <v>2134</v>
      </c>
    </row>
    <row r="148" spans="1:13" x14ac:dyDescent="0.35">
      <c r="A148" s="1" t="s">
        <v>343</v>
      </c>
      <c r="B148" s="2">
        <v>45948</v>
      </c>
      <c r="C148" s="1" t="s">
        <v>344</v>
      </c>
      <c r="D148" s="1" t="s">
        <v>15</v>
      </c>
      <c r="E148" s="1" t="s">
        <v>50</v>
      </c>
      <c r="F148" s="1" t="s">
        <v>17</v>
      </c>
      <c r="G148" s="3">
        <v>0.77777777777777779</v>
      </c>
      <c r="H148" s="3">
        <v>0.78333333333333333</v>
      </c>
      <c r="I148" s="1">
        <v>8</v>
      </c>
      <c r="J148" s="1">
        <v>13</v>
      </c>
      <c r="K148" s="1"/>
      <c r="L148" s="1" t="s">
        <v>19</v>
      </c>
      <c r="M148" s="1">
        <v>1942</v>
      </c>
    </row>
    <row r="149" spans="1:13" x14ac:dyDescent="0.35">
      <c r="A149" s="1" t="s">
        <v>345</v>
      </c>
      <c r="B149" s="2">
        <v>45948</v>
      </c>
      <c r="C149" s="1" t="s">
        <v>346</v>
      </c>
      <c r="D149" s="1" t="s">
        <v>44</v>
      </c>
      <c r="E149" s="1" t="s">
        <v>16</v>
      </c>
      <c r="F149" s="1" t="s">
        <v>17</v>
      </c>
      <c r="G149" s="3">
        <v>0.84027777777777779</v>
      </c>
      <c r="H149" s="3">
        <v>0.83958333333333335</v>
      </c>
      <c r="I149" s="1">
        <v>-1</v>
      </c>
      <c r="J149" s="1">
        <v>-2</v>
      </c>
      <c r="K149" s="1" t="s">
        <v>18</v>
      </c>
      <c r="L149" s="1" t="s">
        <v>19</v>
      </c>
      <c r="M149" s="1">
        <v>864</v>
      </c>
    </row>
    <row r="150" spans="1:13" x14ac:dyDescent="0.35">
      <c r="A150" s="1" t="s">
        <v>347</v>
      </c>
      <c r="B150" s="2">
        <v>45948</v>
      </c>
      <c r="C150" s="1" t="s">
        <v>273</v>
      </c>
      <c r="D150" s="1" t="s">
        <v>16</v>
      </c>
      <c r="E150" s="1" t="s">
        <v>31</v>
      </c>
      <c r="F150" s="1" t="s">
        <v>38</v>
      </c>
      <c r="G150" s="3">
        <v>0.85069444444444442</v>
      </c>
      <c r="H150" s="3">
        <v>0.85833333333333328</v>
      </c>
      <c r="I150" s="1">
        <v>11</v>
      </c>
      <c r="J150" s="1">
        <v>2</v>
      </c>
      <c r="K150" s="1"/>
      <c r="L150" s="1" t="s">
        <v>19</v>
      </c>
      <c r="M150" s="1">
        <v>1511</v>
      </c>
    </row>
    <row r="151" spans="1:13" x14ac:dyDescent="0.35">
      <c r="A151" s="1" t="s">
        <v>348</v>
      </c>
      <c r="B151" s="2">
        <v>45949</v>
      </c>
      <c r="C151" s="1" t="s">
        <v>349</v>
      </c>
      <c r="D151" s="1" t="s">
        <v>78</v>
      </c>
      <c r="E151" s="1" t="s">
        <v>37</v>
      </c>
      <c r="F151" s="1" t="s">
        <v>24</v>
      </c>
      <c r="G151" s="3">
        <v>0.39583333333333331</v>
      </c>
      <c r="H151" s="3">
        <v>0.4</v>
      </c>
      <c r="I151" s="1">
        <v>6</v>
      </c>
      <c r="J151" s="1">
        <v>5</v>
      </c>
      <c r="K151" s="1" t="s">
        <v>18</v>
      </c>
      <c r="L151" s="1" t="s">
        <v>19</v>
      </c>
      <c r="M151" s="1">
        <v>1108</v>
      </c>
    </row>
    <row r="152" spans="1:13" x14ac:dyDescent="0.35">
      <c r="A152" s="1" t="s">
        <v>350</v>
      </c>
      <c r="B152" s="2">
        <v>45949</v>
      </c>
      <c r="C152" s="1" t="s">
        <v>351</v>
      </c>
      <c r="D152" s="1" t="s">
        <v>50</v>
      </c>
      <c r="E152" s="1" t="s">
        <v>15</v>
      </c>
      <c r="F152" s="1" t="s">
        <v>17</v>
      </c>
      <c r="G152" s="3">
        <v>0.40625</v>
      </c>
      <c r="H152" s="1"/>
      <c r="I152" s="1"/>
      <c r="J152" s="1"/>
      <c r="K152" s="1" t="s">
        <v>60</v>
      </c>
      <c r="L152" s="1" t="s">
        <v>254</v>
      </c>
      <c r="M152" s="1">
        <v>1942</v>
      </c>
    </row>
    <row r="153" spans="1:13" x14ac:dyDescent="0.35">
      <c r="A153" s="1" t="s">
        <v>352</v>
      </c>
      <c r="B153" s="2">
        <v>45949</v>
      </c>
      <c r="C153" s="1" t="s">
        <v>353</v>
      </c>
      <c r="D153" s="1" t="s">
        <v>50</v>
      </c>
      <c r="E153" s="1" t="s">
        <v>22</v>
      </c>
      <c r="F153" s="1" t="s">
        <v>28</v>
      </c>
      <c r="G153" s="3">
        <v>0.52777777777777779</v>
      </c>
      <c r="H153" s="3">
        <v>0.53472222222222221</v>
      </c>
      <c r="I153" s="1">
        <v>10</v>
      </c>
      <c r="J153" s="1"/>
      <c r="K153" s="1"/>
      <c r="L153" s="1" t="s">
        <v>19</v>
      </c>
      <c r="M153" s="1">
        <v>759</v>
      </c>
    </row>
    <row r="154" spans="1:13" x14ac:dyDescent="0.35">
      <c r="A154" s="1" t="s">
        <v>354</v>
      </c>
      <c r="B154" s="2">
        <v>45950</v>
      </c>
      <c r="C154" s="1" t="s">
        <v>355</v>
      </c>
      <c r="D154" s="1" t="s">
        <v>15</v>
      </c>
      <c r="E154" s="1" t="s">
        <v>50</v>
      </c>
      <c r="F154" s="1" t="s">
        <v>24</v>
      </c>
      <c r="G154" s="3">
        <v>0.22222222222222221</v>
      </c>
      <c r="H154" s="3">
        <v>0.22361111111111109</v>
      </c>
      <c r="I154" s="1">
        <v>2</v>
      </c>
      <c r="J154" s="1">
        <v>0</v>
      </c>
      <c r="K154" s="1" t="s">
        <v>18</v>
      </c>
      <c r="L154" s="1" t="s">
        <v>19</v>
      </c>
      <c r="M154" s="1">
        <v>1942</v>
      </c>
    </row>
    <row r="155" spans="1:13" x14ac:dyDescent="0.35">
      <c r="A155" s="1" t="s">
        <v>356</v>
      </c>
      <c r="B155" s="2">
        <v>45951</v>
      </c>
      <c r="C155" s="1" t="s">
        <v>357</v>
      </c>
      <c r="D155" s="1" t="s">
        <v>16</v>
      </c>
      <c r="E155" s="1" t="s">
        <v>23</v>
      </c>
      <c r="F155" s="1" t="s">
        <v>24</v>
      </c>
      <c r="G155" s="3">
        <v>0.29166666666666669</v>
      </c>
      <c r="H155" s="3">
        <v>0.29375000000000001</v>
      </c>
      <c r="I155" s="1">
        <v>3</v>
      </c>
      <c r="J155" s="1">
        <v>3</v>
      </c>
      <c r="K155" s="1" t="s">
        <v>18</v>
      </c>
      <c r="L155" s="1" t="s">
        <v>19</v>
      </c>
      <c r="M155" s="1">
        <v>886</v>
      </c>
    </row>
    <row r="156" spans="1:13" x14ac:dyDescent="0.35">
      <c r="A156" s="1" t="s">
        <v>358</v>
      </c>
      <c r="B156" s="2">
        <v>45951</v>
      </c>
      <c r="C156" s="1" t="s">
        <v>359</v>
      </c>
      <c r="D156" s="1" t="s">
        <v>23</v>
      </c>
      <c r="E156" s="1" t="s">
        <v>27</v>
      </c>
      <c r="F156" s="1" t="s">
        <v>24</v>
      </c>
      <c r="G156" s="3">
        <v>0.36805555555555558</v>
      </c>
      <c r="H156" s="3">
        <v>0.37152777777777779</v>
      </c>
      <c r="I156" s="1">
        <v>5</v>
      </c>
      <c r="J156" s="1">
        <v>2</v>
      </c>
      <c r="K156" s="1" t="s">
        <v>18</v>
      </c>
      <c r="L156" s="1" t="s">
        <v>19</v>
      </c>
      <c r="M156" s="1">
        <v>641</v>
      </c>
    </row>
    <row r="157" spans="1:13" x14ac:dyDescent="0.35">
      <c r="A157" s="1" t="s">
        <v>360</v>
      </c>
      <c r="B157" s="2">
        <v>45951</v>
      </c>
      <c r="C157" s="1" t="s">
        <v>361</v>
      </c>
      <c r="D157" s="1" t="s">
        <v>78</v>
      </c>
      <c r="E157" s="1" t="s">
        <v>16</v>
      </c>
      <c r="F157" s="1" t="s">
        <v>17</v>
      </c>
      <c r="G157" s="3">
        <v>0.66666666666666663</v>
      </c>
      <c r="H157" s="3">
        <v>0.66874999999999996</v>
      </c>
      <c r="I157" s="1">
        <v>3</v>
      </c>
      <c r="J157" s="1">
        <v>5</v>
      </c>
      <c r="K157" s="1" t="s">
        <v>18</v>
      </c>
      <c r="L157" s="1" t="s">
        <v>19</v>
      </c>
      <c r="M157" s="1">
        <v>1438</v>
      </c>
    </row>
    <row r="158" spans="1:13" x14ac:dyDescent="0.35">
      <c r="A158" s="1" t="s">
        <v>362</v>
      </c>
      <c r="B158" s="2">
        <v>45951</v>
      </c>
      <c r="C158" s="1" t="s">
        <v>363</v>
      </c>
      <c r="D158" s="1" t="s">
        <v>50</v>
      </c>
      <c r="E158" s="1" t="s">
        <v>31</v>
      </c>
      <c r="F158" s="1" t="s">
        <v>24</v>
      </c>
      <c r="G158" s="3">
        <v>0.70833333333333337</v>
      </c>
      <c r="H158" s="1"/>
      <c r="I158" s="1"/>
      <c r="J158" s="1"/>
      <c r="K158" s="1" t="s">
        <v>149</v>
      </c>
      <c r="L158" s="1" t="s">
        <v>254</v>
      </c>
      <c r="M158" s="1">
        <v>1743</v>
      </c>
    </row>
    <row r="159" spans="1:13" x14ac:dyDescent="0.35">
      <c r="A159" s="1" t="s">
        <v>364</v>
      </c>
      <c r="B159" s="2">
        <v>45952</v>
      </c>
      <c r="C159" s="1" t="s">
        <v>365</v>
      </c>
      <c r="D159" s="1" t="s">
        <v>37</v>
      </c>
      <c r="E159" s="1" t="s">
        <v>16</v>
      </c>
      <c r="F159" s="1" t="s">
        <v>28</v>
      </c>
      <c r="G159" s="3">
        <v>0.47916666666666669</v>
      </c>
      <c r="H159" s="3">
        <v>0.4777777777777778</v>
      </c>
      <c r="I159" s="1">
        <v>-2</v>
      </c>
      <c r="J159" s="1">
        <v>-12</v>
      </c>
      <c r="K159" s="1"/>
      <c r="L159" s="1" t="s">
        <v>19</v>
      </c>
      <c r="M159" s="1">
        <v>1717</v>
      </c>
    </row>
    <row r="160" spans="1:13" x14ac:dyDescent="0.35">
      <c r="A160" s="1" t="s">
        <v>366</v>
      </c>
      <c r="B160" s="2">
        <v>45952</v>
      </c>
      <c r="C160" s="1" t="s">
        <v>367</v>
      </c>
      <c r="D160" s="1" t="s">
        <v>22</v>
      </c>
      <c r="E160" s="1" t="s">
        <v>37</v>
      </c>
      <c r="F160" s="1" t="s">
        <v>28</v>
      </c>
      <c r="G160" s="3">
        <v>0.61458333333333337</v>
      </c>
      <c r="H160" s="3">
        <v>0.69305555555555554</v>
      </c>
      <c r="I160" s="1">
        <v>113</v>
      </c>
      <c r="J160" s="1">
        <v>100</v>
      </c>
      <c r="K160" s="1" t="s">
        <v>98</v>
      </c>
      <c r="L160" s="1" t="s">
        <v>19</v>
      </c>
      <c r="M160" s="1">
        <v>2415</v>
      </c>
    </row>
    <row r="161" spans="1:13" x14ac:dyDescent="0.35">
      <c r="A161" s="1" t="s">
        <v>368</v>
      </c>
      <c r="B161" s="2">
        <v>45952</v>
      </c>
      <c r="C161" s="1" t="s">
        <v>369</v>
      </c>
      <c r="D161" s="1" t="s">
        <v>71</v>
      </c>
      <c r="E161" s="1" t="s">
        <v>50</v>
      </c>
      <c r="F161" s="1" t="s">
        <v>17</v>
      </c>
      <c r="G161" s="3">
        <v>0.84722222222222221</v>
      </c>
      <c r="H161" s="3">
        <v>0.85</v>
      </c>
      <c r="I161" s="1">
        <v>4</v>
      </c>
      <c r="J161" s="1">
        <v>-3</v>
      </c>
      <c r="K161" s="1" t="s">
        <v>18</v>
      </c>
      <c r="L161" s="1" t="s">
        <v>19</v>
      </c>
      <c r="M161" s="1">
        <v>606</v>
      </c>
    </row>
    <row r="162" spans="1:13" x14ac:dyDescent="0.35">
      <c r="A162" s="1" t="s">
        <v>370</v>
      </c>
      <c r="B162" s="2">
        <v>45953</v>
      </c>
      <c r="C162" s="1" t="s">
        <v>371</v>
      </c>
      <c r="D162" s="1" t="s">
        <v>16</v>
      </c>
      <c r="E162" s="1" t="s">
        <v>15</v>
      </c>
      <c r="F162" s="1" t="s">
        <v>38</v>
      </c>
      <c r="G162" s="3">
        <v>0.63888888888888884</v>
      </c>
      <c r="H162" s="3">
        <v>0.63541666666666663</v>
      </c>
      <c r="I162" s="1">
        <v>-5</v>
      </c>
      <c r="J162" s="1">
        <v>4</v>
      </c>
      <c r="K162" s="1"/>
      <c r="L162" s="1" t="s">
        <v>19</v>
      </c>
      <c r="M162" s="1">
        <v>1742</v>
      </c>
    </row>
    <row r="163" spans="1:13" x14ac:dyDescent="0.35">
      <c r="A163" s="1" t="s">
        <v>372</v>
      </c>
      <c r="B163" s="2">
        <v>45953</v>
      </c>
      <c r="C163" s="1" t="s">
        <v>133</v>
      </c>
      <c r="D163" s="1" t="s">
        <v>50</v>
      </c>
      <c r="E163" s="1" t="s">
        <v>27</v>
      </c>
      <c r="F163" s="1" t="s">
        <v>17</v>
      </c>
      <c r="G163" s="3">
        <v>0.75</v>
      </c>
      <c r="H163" s="3">
        <v>0.75069444444444444</v>
      </c>
      <c r="I163" s="1">
        <v>1</v>
      </c>
      <c r="J163" s="1">
        <v>7</v>
      </c>
      <c r="K163" s="1"/>
      <c r="L163" s="1" t="s">
        <v>19</v>
      </c>
      <c r="M163" s="1">
        <v>730</v>
      </c>
    </row>
    <row r="164" spans="1:13" x14ac:dyDescent="0.35">
      <c r="A164" s="1" t="s">
        <v>373</v>
      </c>
      <c r="B164" s="2">
        <v>45954</v>
      </c>
      <c r="C164" s="1" t="s">
        <v>374</v>
      </c>
      <c r="D164" s="1" t="s">
        <v>15</v>
      </c>
      <c r="E164" s="1" t="s">
        <v>27</v>
      </c>
      <c r="F164" s="1" t="s">
        <v>24</v>
      </c>
      <c r="G164" s="3">
        <v>0.78819444444444442</v>
      </c>
      <c r="H164" s="3">
        <v>0.7895833333333333</v>
      </c>
      <c r="I164" s="1">
        <v>2</v>
      </c>
      <c r="J164" s="1">
        <v>-7</v>
      </c>
      <c r="K164" s="1"/>
      <c r="L164" s="1" t="s">
        <v>19</v>
      </c>
      <c r="M164" s="1">
        <v>1232</v>
      </c>
    </row>
    <row r="165" spans="1:13" x14ac:dyDescent="0.35">
      <c r="A165" s="1" t="s">
        <v>375</v>
      </c>
      <c r="B165" s="2">
        <v>45954</v>
      </c>
      <c r="C165" s="1" t="s">
        <v>376</v>
      </c>
      <c r="D165" s="1" t="s">
        <v>15</v>
      </c>
      <c r="E165" s="1" t="s">
        <v>78</v>
      </c>
      <c r="F165" s="1" t="s">
        <v>38</v>
      </c>
      <c r="G165" s="3">
        <v>0.81597222222222221</v>
      </c>
      <c r="H165" s="3">
        <v>0.89375000000000004</v>
      </c>
      <c r="I165" s="1">
        <v>112</v>
      </c>
      <c r="J165" s="1">
        <v>117</v>
      </c>
      <c r="K165" s="1" t="s">
        <v>174</v>
      </c>
      <c r="L165" s="1" t="s">
        <v>19</v>
      </c>
      <c r="M165" s="1">
        <v>370</v>
      </c>
    </row>
    <row r="166" spans="1:13" x14ac:dyDescent="0.35">
      <c r="A166" s="1" t="s">
        <v>377</v>
      </c>
      <c r="B166" s="2">
        <v>45955</v>
      </c>
      <c r="C166" s="1" t="s">
        <v>378</v>
      </c>
      <c r="D166" s="1" t="s">
        <v>16</v>
      </c>
      <c r="E166" s="1" t="s">
        <v>27</v>
      </c>
      <c r="F166" s="1" t="s">
        <v>28</v>
      </c>
      <c r="G166" s="3">
        <v>0.28125</v>
      </c>
      <c r="H166" s="3">
        <v>0.28125</v>
      </c>
      <c r="I166" s="1">
        <v>0</v>
      </c>
      <c r="J166" s="1">
        <v>-12</v>
      </c>
      <c r="K166" s="1" t="s">
        <v>18</v>
      </c>
      <c r="L166" s="1" t="s">
        <v>19</v>
      </c>
      <c r="M166" s="1">
        <v>802</v>
      </c>
    </row>
    <row r="167" spans="1:13" x14ac:dyDescent="0.35">
      <c r="A167" s="1" t="s">
        <v>379</v>
      </c>
      <c r="B167" s="2">
        <v>45955</v>
      </c>
      <c r="C167" s="1" t="s">
        <v>346</v>
      </c>
      <c r="D167" s="1" t="s">
        <v>27</v>
      </c>
      <c r="E167" s="1" t="s">
        <v>16</v>
      </c>
      <c r="F167" s="1" t="s">
        <v>28</v>
      </c>
      <c r="G167" s="3">
        <v>0.30208333333333331</v>
      </c>
      <c r="H167" s="3">
        <v>0.29930555555555549</v>
      </c>
      <c r="I167" s="1">
        <v>-4</v>
      </c>
      <c r="J167" s="1">
        <v>-15</v>
      </c>
      <c r="K167" s="1" t="s">
        <v>18</v>
      </c>
      <c r="L167" s="1" t="s">
        <v>19</v>
      </c>
      <c r="M167" s="1">
        <v>802</v>
      </c>
    </row>
    <row r="168" spans="1:13" x14ac:dyDescent="0.35">
      <c r="A168" s="1" t="s">
        <v>380</v>
      </c>
      <c r="B168" s="2">
        <v>45956</v>
      </c>
      <c r="C168" s="1" t="s">
        <v>381</v>
      </c>
      <c r="D168" s="1" t="s">
        <v>22</v>
      </c>
      <c r="E168" s="1" t="s">
        <v>78</v>
      </c>
      <c r="F168" s="1" t="s">
        <v>24</v>
      </c>
      <c r="G168" s="3">
        <v>0.63541666666666663</v>
      </c>
      <c r="H168" s="3">
        <v>0.63402777777777775</v>
      </c>
      <c r="I168" s="1">
        <v>-2</v>
      </c>
      <c r="J168" s="1">
        <v>-7</v>
      </c>
      <c r="K168" s="1" t="s">
        <v>18</v>
      </c>
      <c r="L168" s="1" t="s">
        <v>19</v>
      </c>
      <c r="M168" s="1">
        <v>2149</v>
      </c>
    </row>
    <row r="169" spans="1:13" x14ac:dyDescent="0.35">
      <c r="A169" s="1" t="s">
        <v>382</v>
      </c>
      <c r="B169" s="2">
        <v>45957</v>
      </c>
      <c r="C169" s="1" t="s">
        <v>383</v>
      </c>
      <c r="D169" s="1" t="s">
        <v>31</v>
      </c>
      <c r="E169" s="1" t="s">
        <v>44</v>
      </c>
      <c r="F169" s="1" t="s">
        <v>17</v>
      </c>
      <c r="G169" s="3">
        <v>0.31597222222222221</v>
      </c>
      <c r="H169" s="3">
        <v>0.32291666666666669</v>
      </c>
      <c r="I169" s="1">
        <v>10</v>
      </c>
      <c r="J169" s="1">
        <v>3</v>
      </c>
      <c r="K169" s="1" t="s">
        <v>18</v>
      </c>
      <c r="L169" s="1" t="s">
        <v>19</v>
      </c>
      <c r="M169" s="1">
        <v>2375</v>
      </c>
    </row>
    <row r="170" spans="1:13" x14ac:dyDescent="0.35">
      <c r="A170" s="1" t="s">
        <v>384</v>
      </c>
      <c r="B170" s="2">
        <v>45957</v>
      </c>
      <c r="C170" s="1" t="s">
        <v>385</v>
      </c>
      <c r="D170" s="1" t="s">
        <v>50</v>
      </c>
      <c r="E170" s="1" t="s">
        <v>386</v>
      </c>
      <c r="F170" s="1" t="s">
        <v>17</v>
      </c>
      <c r="G170" s="3">
        <v>0.36805555555555558</v>
      </c>
      <c r="H170" s="3">
        <v>0.36944444444444452</v>
      </c>
      <c r="I170" s="1">
        <v>2</v>
      </c>
      <c r="J170" s="1">
        <v>1</v>
      </c>
      <c r="K170" s="1"/>
      <c r="L170" s="1" t="s">
        <v>19</v>
      </c>
      <c r="M170" s="1">
        <v>2134</v>
      </c>
    </row>
    <row r="171" spans="1:13" x14ac:dyDescent="0.35">
      <c r="A171" s="1" t="s">
        <v>387</v>
      </c>
      <c r="B171" s="2">
        <v>45957</v>
      </c>
      <c r="C171" s="1" t="s">
        <v>388</v>
      </c>
      <c r="D171" s="1" t="s">
        <v>27</v>
      </c>
      <c r="E171" s="1" t="s">
        <v>50</v>
      </c>
      <c r="F171" s="1" t="s">
        <v>24</v>
      </c>
      <c r="G171" s="3">
        <v>0.74652777777777779</v>
      </c>
      <c r="H171" s="3">
        <v>0.7416666666666667</v>
      </c>
      <c r="I171" s="1">
        <v>-7</v>
      </c>
      <c r="J171" s="1">
        <v>-12</v>
      </c>
      <c r="K171" s="1" t="s">
        <v>18</v>
      </c>
      <c r="L171" s="1" t="s">
        <v>19</v>
      </c>
      <c r="M171" s="1">
        <v>730</v>
      </c>
    </row>
    <row r="172" spans="1:13" x14ac:dyDescent="0.35">
      <c r="A172" s="1" t="s">
        <v>389</v>
      </c>
      <c r="B172" s="2">
        <v>45957</v>
      </c>
      <c r="C172" s="1" t="s">
        <v>390</v>
      </c>
      <c r="D172" s="1" t="s">
        <v>22</v>
      </c>
      <c r="E172" s="1" t="s">
        <v>37</v>
      </c>
      <c r="F172" s="1" t="s">
        <v>24</v>
      </c>
      <c r="G172" s="3">
        <v>0.89583333333333337</v>
      </c>
      <c r="H172" s="3">
        <v>0.89027777777777772</v>
      </c>
      <c r="I172" s="1">
        <v>-8</v>
      </c>
      <c r="J172" s="1">
        <v>-5</v>
      </c>
      <c r="K172" s="1" t="s">
        <v>18</v>
      </c>
      <c r="L172" s="1" t="s">
        <v>19</v>
      </c>
      <c r="M172" s="1">
        <v>2415</v>
      </c>
    </row>
    <row r="173" spans="1:13" x14ac:dyDescent="0.35">
      <c r="A173" s="1" t="s">
        <v>391</v>
      </c>
      <c r="B173" s="2">
        <v>45958</v>
      </c>
      <c r="C173" s="1" t="s">
        <v>385</v>
      </c>
      <c r="D173" s="1" t="s">
        <v>78</v>
      </c>
      <c r="E173" s="1" t="s">
        <v>27</v>
      </c>
      <c r="F173" s="1" t="s">
        <v>38</v>
      </c>
      <c r="G173" s="3">
        <v>0.36458333333333331</v>
      </c>
      <c r="H173" s="3">
        <v>0.37222222222222218</v>
      </c>
      <c r="I173" s="1">
        <v>11</v>
      </c>
      <c r="J173" s="1">
        <v>14</v>
      </c>
      <c r="K173" s="1" t="s">
        <v>18</v>
      </c>
      <c r="L173" s="1" t="s">
        <v>19</v>
      </c>
      <c r="M173" s="1">
        <v>866</v>
      </c>
    </row>
    <row r="174" spans="1:13" x14ac:dyDescent="0.35">
      <c r="A174" s="1" t="s">
        <v>392</v>
      </c>
      <c r="B174" s="2">
        <v>45958</v>
      </c>
      <c r="C174" s="1" t="s">
        <v>196</v>
      </c>
      <c r="D174" s="1" t="s">
        <v>15</v>
      </c>
      <c r="E174" s="1" t="s">
        <v>44</v>
      </c>
      <c r="F174" s="1" t="s">
        <v>28</v>
      </c>
      <c r="G174" s="3">
        <v>0.58333333333333337</v>
      </c>
      <c r="H174" s="3">
        <v>0.58680555555555558</v>
      </c>
      <c r="I174" s="1">
        <v>5</v>
      </c>
      <c r="J174" s="1">
        <v>10</v>
      </c>
      <c r="K174" s="1"/>
      <c r="L174" s="1" t="s">
        <v>19</v>
      </c>
      <c r="M174" s="1">
        <v>2606</v>
      </c>
    </row>
    <row r="175" spans="1:13" x14ac:dyDescent="0.35">
      <c r="A175" s="1" t="s">
        <v>393</v>
      </c>
      <c r="B175" s="2">
        <v>45958</v>
      </c>
      <c r="C175" s="1" t="s">
        <v>394</v>
      </c>
      <c r="D175" s="1" t="s">
        <v>50</v>
      </c>
      <c r="E175" s="1" t="s">
        <v>78</v>
      </c>
      <c r="F175" s="1" t="s">
        <v>38</v>
      </c>
      <c r="G175" s="3">
        <v>0.71180555555555558</v>
      </c>
      <c r="H175" s="3">
        <v>0.7270833333333333</v>
      </c>
      <c r="I175" s="1">
        <v>22</v>
      </c>
      <c r="J175" s="1">
        <v>17</v>
      </c>
      <c r="K175" s="1" t="s">
        <v>149</v>
      </c>
      <c r="L175" s="1" t="s">
        <v>19</v>
      </c>
      <c r="M175" s="1">
        <v>1584</v>
      </c>
    </row>
    <row r="176" spans="1:13" x14ac:dyDescent="0.35">
      <c r="A176" s="1" t="s">
        <v>395</v>
      </c>
      <c r="B176" s="2">
        <v>45959</v>
      </c>
      <c r="C176" s="1" t="s">
        <v>120</v>
      </c>
      <c r="D176" s="1" t="s">
        <v>16</v>
      </c>
      <c r="E176" s="1" t="s">
        <v>50</v>
      </c>
      <c r="F176" s="1" t="s">
        <v>24</v>
      </c>
      <c r="G176" s="3">
        <v>0.33333333333333331</v>
      </c>
      <c r="H176" s="3">
        <v>0.33750000000000002</v>
      </c>
      <c r="I176" s="1">
        <v>6</v>
      </c>
      <c r="J176" s="1">
        <v>5</v>
      </c>
      <c r="K176" s="1" t="s">
        <v>18</v>
      </c>
      <c r="L176" s="1" t="s">
        <v>19</v>
      </c>
      <c r="M176" s="1">
        <v>606</v>
      </c>
    </row>
    <row r="177" spans="1:13" x14ac:dyDescent="0.35">
      <c r="A177" s="1" t="s">
        <v>396</v>
      </c>
      <c r="B177" s="2">
        <v>45959</v>
      </c>
      <c r="C177" s="1" t="s">
        <v>397</v>
      </c>
      <c r="D177" s="1" t="s">
        <v>50</v>
      </c>
      <c r="E177" s="1" t="s">
        <v>44</v>
      </c>
      <c r="F177" s="1" t="s">
        <v>17</v>
      </c>
      <c r="G177" s="3">
        <v>0.61111111111111116</v>
      </c>
      <c r="H177" s="3">
        <v>0.6166666666666667</v>
      </c>
      <c r="I177" s="1">
        <v>8</v>
      </c>
      <c r="J177" s="1">
        <v>1</v>
      </c>
      <c r="K177" s="1"/>
      <c r="L177" s="1" t="s">
        <v>19</v>
      </c>
      <c r="M177" s="1">
        <v>945</v>
      </c>
    </row>
    <row r="178" spans="1:13" x14ac:dyDescent="0.35">
      <c r="A178" s="1" t="s">
        <v>398</v>
      </c>
      <c r="B178" s="2">
        <v>45961</v>
      </c>
      <c r="C178" s="1" t="s">
        <v>399</v>
      </c>
      <c r="D178" s="1" t="s">
        <v>16</v>
      </c>
      <c r="E178" s="1" t="s">
        <v>50</v>
      </c>
      <c r="F178" s="1" t="s">
        <v>24</v>
      </c>
      <c r="G178" s="3">
        <v>0.2638888888888889</v>
      </c>
      <c r="H178" s="3">
        <v>0.26041666666666669</v>
      </c>
      <c r="I178" s="1">
        <v>-5</v>
      </c>
      <c r="J178" s="1">
        <v>-13</v>
      </c>
      <c r="K178" s="1"/>
      <c r="L178" s="1" t="s">
        <v>19</v>
      </c>
      <c r="M178" s="1">
        <v>606</v>
      </c>
    </row>
    <row r="179" spans="1:13" x14ac:dyDescent="0.35">
      <c r="A179" s="1" t="s">
        <v>400</v>
      </c>
      <c r="B179" s="2">
        <v>45961</v>
      </c>
      <c r="C179" s="1" t="s">
        <v>381</v>
      </c>
      <c r="D179" s="1" t="s">
        <v>50</v>
      </c>
      <c r="E179" s="1" t="s">
        <v>202</v>
      </c>
      <c r="F179" s="1" t="s">
        <v>38</v>
      </c>
      <c r="G179" s="3">
        <v>0.38194444444444442</v>
      </c>
      <c r="H179" s="3">
        <v>0.38055555555555548</v>
      </c>
      <c r="I179" s="1">
        <v>-2</v>
      </c>
      <c r="J179" s="1">
        <v>6</v>
      </c>
      <c r="K179" s="1" t="s">
        <v>18</v>
      </c>
      <c r="L179" s="1" t="s">
        <v>19</v>
      </c>
      <c r="M179" s="1">
        <v>596</v>
      </c>
    </row>
    <row r="180" spans="1:13" x14ac:dyDescent="0.35">
      <c r="A180" s="1" t="s">
        <v>401</v>
      </c>
      <c r="B180" s="2">
        <v>45961</v>
      </c>
      <c r="C180" s="1" t="s">
        <v>402</v>
      </c>
      <c r="D180" s="1" t="s">
        <v>50</v>
      </c>
      <c r="E180" s="1" t="s">
        <v>23</v>
      </c>
      <c r="F180" s="1" t="s">
        <v>38</v>
      </c>
      <c r="G180" s="3">
        <v>0.45833333333333331</v>
      </c>
      <c r="H180" s="3">
        <v>0.45763888888888887</v>
      </c>
      <c r="I180" s="1">
        <v>-1</v>
      </c>
      <c r="J180" s="1">
        <v>1</v>
      </c>
      <c r="K180" s="1" t="s">
        <v>18</v>
      </c>
      <c r="L180" s="1" t="s">
        <v>19</v>
      </c>
      <c r="M180" s="1">
        <v>1197</v>
      </c>
    </row>
    <row r="181" spans="1:13" x14ac:dyDescent="0.35">
      <c r="A181" s="1" t="s">
        <v>403</v>
      </c>
      <c r="B181" s="2">
        <v>45961</v>
      </c>
      <c r="C181" s="1" t="s">
        <v>404</v>
      </c>
      <c r="D181" s="1" t="s">
        <v>16</v>
      </c>
      <c r="E181" s="1" t="s">
        <v>31</v>
      </c>
      <c r="F181" s="1" t="s">
        <v>17</v>
      </c>
      <c r="G181" s="3">
        <v>0.67013888888888884</v>
      </c>
      <c r="H181" s="3">
        <v>0.67847222222222225</v>
      </c>
      <c r="I181" s="1">
        <v>12</v>
      </c>
      <c r="J181" s="1">
        <v>0</v>
      </c>
      <c r="K181" s="1" t="s">
        <v>18</v>
      </c>
      <c r="L181" s="1" t="s">
        <v>19</v>
      </c>
      <c r="M181" s="1">
        <v>1511</v>
      </c>
    </row>
    <row r="182" spans="1:13" x14ac:dyDescent="0.35">
      <c r="A182" s="1" t="s">
        <v>405</v>
      </c>
      <c r="B182" s="2">
        <v>45961</v>
      </c>
      <c r="C182" s="1" t="s">
        <v>406</v>
      </c>
      <c r="D182" s="1" t="s">
        <v>22</v>
      </c>
      <c r="E182" s="1" t="s">
        <v>15</v>
      </c>
      <c r="F182" s="1" t="s">
        <v>17</v>
      </c>
      <c r="G182" s="3">
        <v>0.73263888888888884</v>
      </c>
      <c r="H182" s="3">
        <v>0.72916666666666663</v>
      </c>
      <c r="I182" s="1">
        <v>-5</v>
      </c>
      <c r="J182" s="1">
        <v>-7</v>
      </c>
      <c r="K182" s="1"/>
      <c r="L182" s="1" t="s">
        <v>19</v>
      </c>
      <c r="M182" s="1">
        <v>2470</v>
      </c>
    </row>
    <row r="183" spans="1:13" x14ac:dyDescent="0.35">
      <c r="A183" s="1" t="s">
        <v>407</v>
      </c>
      <c r="B183" s="2">
        <v>45961</v>
      </c>
      <c r="C183" s="1" t="s">
        <v>408</v>
      </c>
      <c r="D183" s="1" t="s">
        <v>22</v>
      </c>
      <c r="E183" s="1" t="s">
        <v>41</v>
      </c>
      <c r="F183" s="1" t="s">
        <v>38</v>
      </c>
      <c r="G183" s="3">
        <v>0.74652777777777779</v>
      </c>
      <c r="H183" s="3">
        <v>0.75208333333333333</v>
      </c>
      <c r="I183" s="1">
        <v>8</v>
      </c>
      <c r="J183" s="1">
        <v>11</v>
      </c>
      <c r="K183" s="1" t="s">
        <v>18</v>
      </c>
      <c r="L183" s="1" t="s">
        <v>19</v>
      </c>
      <c r="M183" s="1">
        <v>1092</v>
      </c>
    </row>
    <row r="184" spans="1:13" x14ac:dyDescent="0.35">
      <c r="A184" s="1" t="s">
        <v>409</v>
      </c>
      <c r="B184" s="2">
        <v>45961</v>
      </c>
      <c r="C184" s="1" t="s">
        <v>410</v>
      </c>
      <c r="D184" s="1" t="s">
        <v>50</v>
      </c>
      <c r="E184" s="1" t="s">
        <v>23</v>
      </c>
      <c r="F184" s="1" t="s">
        <v>28</v>
      </c>
      <c r="G184" s="3">
        <v>0.81944444444444442</v>
      </c>
      <c r="H184" s="3">
        <v>0.82777777777777772</v>
      </c>
      <c r="I184" s="1">
        <v>12</v>
      </c>
      <c r="J184" s="1">
        <v>1</v>
      </c>
      <c r="K184" s="1" t="s">
        <v>18</v>
      </c>
      <c r="L184" s="1" t="s">
        <v>19</v>
      </c>
      <c r="M184" s="1">
        <v>1197</v>
      </c>
    </row>
    <row r="185" spans="1:13" x14ac:dyDescent="0.35">
      <c r="A185" s="1" t="s">
        <v>411</v>
      </c>
      <c r="B185" s="2">
        <v>45962</v>
      </c>
      <c r="C185" s="1" t="s">
        <v>412</v>
      </c>
      <c r="D185" s="1" t="s">
        <v>41</v>
      </c>
      <c r="E185" s="1" t="s">
        <v>413</v>
      </c>
      <c r="F185" s="1" t="s">
        <v>24</v>
      </c>
      <c r="G185" s="3">
        <v>0.71875</v>
      </c>
      <c r="H185" s="3">
        <v>0.73541666666666672</v>
      </c>
      <c r="I185" s="1">
        <v>24</v>
      </c>
      <c r="J185" s="1">
        <v>31</v>
      </c>
      <c r="K185" s="1" t="s">
        <v>149</v>
      </c>
      <c r="L185" s="1" t="s">
        <v>19</v>
      </c>
      <c r="M185" s="1">
        <v>2338</v>
      </c>
    </row>
    <row r="186" spans="1:13" x14ac:dyDescent="0.35">
      <c r="A186" s="1" t="s">
        <v>414</v>
      </c>
      <c r="B186" s="2">
        <v>45963</v>
      </c>
      <c r="C186" s="1" t="s">
        <v>415</v>
      </c>
      <c r="D186" s="1" t="s">
        <v>226</v>
      </c>
      <c r="E186" s="1" t="s">
        <v>22</v>
      </c>
      <c r="F186" s="1" t="s">
        <v>17</v>
      </c>
      <c r="G186" s="3">
        <v>0.27777777777777779</v>
      </c>
      <c r="H186" s="3">
        <v>0.27916666666666667</v>
      </c>
      <c r="I186" s="1">
        <v>2</v>
      </c>
      <c r="J186" s="1">
        <v>-5</v>
      </c>
      <c r="K186" s="1" t="s">
        <v>18</v>
      </c>
      <c r="L186" s="1" t="s">
        <v>19</v>
      </c>
      <c r="M186" s="1">
        <v>1622</v>
      </c>
    </row>
    <row r="187" spans="1:13" x14ac:dyDescent="0.35">
      <c r="A187" s="1" t="s">
        <v>416</v>
      </c>
      <c r="B187" s="2">
        <v>45963</v>
      </c>
      <c r="C187" s="1" t="s">
        <v>417</v>
      </c>
      <c r="D187" s="1" t="s">
        <v>27</v>
      </c>
      <c r="E187" s="1" t="s">
        <v>418</v>
      </c>
      <c r="F187" s="1" t="s">
        <v>28</v>
      </c>
      <c r="G187" s="3">
        <v>0.31597222222222221</v>
      </c>
      <c r="H187" s="3">
        <v>0.31319444444444439</v>
      </c>
      <c r="I187" s="1">
        <v>-4</v>
      </c>
      <c r="J187" s="1">
        <v>-15</v>
      </c>
      <c r="K187" s="1" t="s">
        <v>18</v>
      </c>
      <c r="L187" s="1" t="s">
        <v>19</v>
      </c>
      <c r="M187" s="1">
        <v>1120</v>
      </c>
    </row>
    <row r="188" spans="1:13" x14ac:dyDescent="0.35">
      <c r="A188" s="1" t="s">
        <v>419</v>
      </c>
      <c r="B188" s="2">
        <v>45963</v>
      </c>
      <c r="C188" s="1" t="s">
        <v>420</v>
      </c>
      <c r="D188" s="1" t="s">
        <v>15</v>
      </c>
      <c r="E188" s="1" t="s">
        <v>27</v>
      </c>
      <c r="F188" s="1" t="s">
        <v>24</v>
      </c>
      <c r="G188" s="3">
        <v>0.35416666666666669</v>
      </c>
      <c r="H188" s="3">
        <v>0.35486111111111113</v>
      </c>
      <c r="I188" s="1">
        <v>1</v>
      </c>
      <c r="J188" s="1">
        <v>3</v>
      </c>
      <c r="K188" s="1"/>
      <c r="L188" s="1" t="s">
        <v>19</v>
      </c>
      <c r="M188" s="1">
        <v>1232</v>
      </c>
    </row>
    <row r="189" spans="1:13" x14ac:dyDescent="0.35">
      <c r="A189" s="1" t="s">
        <v>421</v>
      </c>
      <c r="B189" s="2">
        <v>45963</v>
      </c>
      <c r="C189" s="1" t="s">
        <v>422</v>
      </c>
      <c r="D189" s="1" t="s">
        <v>50</v>
      </c>
      <c r="E189" s="1" t="s">
        <v>16</v>
      </c>
      <c r="F189" s="1" t="s">
        <v>28</v>
      </c>
      <c r="G189" s="3">
        <v>0.3888888888888889</v>
      </c>
      <c r="H189" s="3">
        <v>0.38472222222222219</v>
      </c>
      <c r="I189" s="1">
        <v>-6</v>
      </c>
      <c r="J189" s="1">
        <v>1</v>
      </c>
      <c r="K189" s="1" t="s">
        <v>18</v>
      </c>
      <c r="L189" s="1" t="s">
        <v>19</v>
      </c>
      <c r="M189" s="1">
        <v>606</v>
      </c>
    </row>
    <row r="190" spans="1:13" x14ac:dyDescent="0.35">
      <c r="A190" s="1" t="s">
        <v>423</v>
      </c>
      <c r="B190" s="2">
        <v>45963</v>
      </c>
      <c r="C190" s="1" t="s">
        <v>424</v>
      </c>
      <c r="D190" s="1" t="s">
        <v>50</v>
      </c>
      <c r="E190" s="1" t="s">
        <v>41</v>
      </c>
      <c r="F190" s="1" t="s">
        <v>28</v>
      </c>
      <c r="G190" s="3">
        <v>0.77777777777777779</v>
      </c>
      <c r="H190" s="3">
        <v>0.83472222222222225</v>
      </c>
      <c r="I190" s="1">
        <v>82</v>
      </c>
      <c r="J190" s="1">
        <v>79</v>
      </c>
      <c r="K190" s="1" t="s">
        <v>60</v>
      </c>
      <c r="L190" s="1" t="s">
        <v>19</v>
      </c>
      <c r="M190" s="1">
        <v>596</v>
      </c>
    </row>
    <row r="191" spans="1:13" x14ac:dyDescent="0.35">
      <c r="A191" s="1" t="s">
        <v>425</v>
      </c>
      <c r="B191" s="2">
        <v>45964</v>
      </c>
      <c r="C191" s="1" t="s">
        <v>426</v>
      </c>
      <c r="D191" s="1" t="s">
        <v>41</v>
      </c>
      <c r="E191" s="1" t="s">
        <v>50</v>
      </c>
      <c r="F191" s="1" t="s">
        <v>28</v>
      </c>
      <c r="G191" s="3">
        <v>0.43055555555555558</v>
      </c>
      <c r="H191" s="3">
        <v>0.43680555555555561</v>
      </c>
      <c r="I191" s="1">
        <v>9</v>
      </c>
      <c r="J191" s="1">
        <v>13</v>
      </c>
      <c r="K191" s="1" t="s">
        <v>18</v>
      </c>
      <c r="L191" s="1" t="s">
        <v>19</v>
      </c>
      <c r="M191" s="1">
        <v>596</v>
      </c>
    </row>
    <row r="192" spans="1:13" x14ac:dyDescent="0.35">
      <c r="A192" s="1" t="s">
        <v>427</v>
      </c>
      <c r="B192" s="2">
        <v>45965</v>
      </c>
      <c r="C192" s="1" t="s">
        <v>428</v>
      </c>
      <c r="D192" s="1" t="s">
        <v>50</v>
      </c>
      <c r="E192" s="1" t="s">
        <v>15</v>
      </c>
      <c r="F192" s="1" t="s">
        <v>24</v>
      </c>
      <c r="G192" s="3">
        <v>0.2986111111111111</v>
      </c>
      <c r="H192" s="3">
        <v>0.30486111111111108</v>
      </c>
      <c r="I192" s="1">
        <v>9</v>
      </c>
      <c r="J192" s="1">
        <v>17</v>
      </c>
      <c r="K192" s="1"/>
      <c r="L192" s="1" t="s">
        <v>19</v>
      </c>
      <c r="M192" s="1">
        <v>1942</v>
      </c>
    </row>
    <row r="193" spans="1:13" x14ac:dyDescent="0.35">
      <c r="A193" s="1" t="s">
        <v>429</v>
      </c>
      <c r="B193" s="2">
        <v>45965</v>
      </c>
      <c r="C193" s="1" t="s">
        <v>430</v>
      </c>
      <c r="D193" s="1" t="s">
        <v>22</v>
      </c>
      <c r="E193" s="1" t="s">
        <v>16</v>
      </c>
      <c r="F193" s="1" t="s">
        <v>24</v>
      </c>
      <c r="G193" s="3">
        <v>0.40625</v>
      </c>
      <c r="H193" s="3">
        <v>0.41388888888888892</v>
      </c>
      <c r="I193" s="1">
        <v>11</v>
      </c>
      <c r="J193" s="1">
        <v>15</v>
      </c>
      <c r="K193" s="1" t="s">
        <v>18</v>
      </c>
      <c r="L193" s="1" t="s">
        <v>19</v>
      </c>
      <c r="M193" s="1">
        <v>738</v>
      </c>
    </row>
    <row r="194" spans="1:13" x14ac:dyDescent="0.35">
      <c r="A194" s="1" t="s">
        <v>431</v>
      </c>
      <c r="B194" s="2">
        <v>45965</v>
      </c>
      <c r="C194" s="1" t="s">
        <v>432</v>
      </c>
      <c r="D194" s="1" t="s">
        <v>44</v>
      </c>
      <c r="E194" s="1" t="s">
        <v>23</v>
      </c>
      <c r="F194" s="1" t="s">
        <v>38</v>
      </c>
      <c r="G194" s="3">
        <v>0.48958333333333331</v>
      </c>
      <c r="H194" s="3">
        <v>0.49444444444444452</v>
      </c>
      <c r="I194" s="1">
        <v>7</v>
      </c>
      <c r="J194" s="1">
        <v>3</v>
      </c>
      <c r="K194" s="1" t="s">
        <v>18</v>
      </c>
      <c r="L194" s="1" t="s">
        <v>19</v>
      </c>
      <c r="M194" s="1">
        <v>1749</v>
      </c>
    </row>
    <row r="195" spans="1:13" x14ac:dyDescent="0.35">
      <c r="A195" s="1" t="s">
        <v>433</v>
      </c>
      <c r="B195" s="2">
        <v>45966</v>
      </c>
      <c r="C195" s="1" t="s">
        <v>434</v>
      </c>
      <c r="D195" s="1" t="s">
        <v>51</v>
      </c>
      <c r="E195" s="1" t="s">
        <v>15</v>
      </c>
      <c r="F195" s="1" t="s">
        <v>17</v>
      </c>
      <c r="G195" s="3">
        <v>0.34722222222222221</v>
      </c>
      <c r="H195" s="3">
        <v>0.34236111111111112</v>
      </c>
      <c r="I195" s="1">
        <v>-7</v>
      </c>
      <c r="J195" s="1">
        <v>-9</v>
      </c>
      <c r="K195" s="1" t="s">
        <v>18</v>
      </c>
      <c r="L195" s="1" t="s">
        <v>19</v>
      </c>
      <c r="M195" s="1">
        <v>1232</v>
      </c>
    </row>
    <row r="196" spans="1:13" x14ac:dyDescent="0.35">
      <c r="A196" s="1" t="s">
        <v>435</v>
      </c>
      <c r="B196" s="2">
        <v>45966</v>
      </c>
      <c r="C196" s="1" t="s">
        <v>436</v>
      </c>
      <c r="D196" s="1" t="s">
        <v>37</v>
      </c>
      <c r="E196" s="1" t="s">
        <v>23</v>
      </c>
      <c r="F196" s="1" t="s">
        <v>38</v>
      </c>
      <c r="G196" s="3">
        <v>0.38194444444444442</v>
      </c>
      <c r="H196" s="3">
        <v>0.38541666666666669</v>
      </c>
      <c r="I196" s="1">
        <v>5</v>
      </c>
      <c r="J196" s="1">
        <v>-6</v>
      </c>
      <c r="K196" s="1" t="s">
        <v>18</v>
      </c>
      <c r="L196" s="1" t="s">
        <v>19</v>
      </c>
      <c r="M196" s="1">
        <v>1023</v>
      </c>
    </row>
    <row r="197" spans="1:13" x14ac:dyDescent="0.35">
      <c r="A197" s="1" t="s">
        <v>437</v>
      </c>
      <c r="B197" s="2">
        <v>45966</v>
      </c>
      <c r="C197" s="1" t="s">
        <v>438</v>
      </c>
      <c r="D197" s="1" t="s">
        <v>16</v>
      </c>
      <c r="E197" s="1" t="s">
        <v>78</v>
      </c>
      <c r="F197" s="1" t="s">
        <v>17</v>
      </c>
      <c r="G197" s="3">
        <v>0.66319444444444442</v>
      </c>
      <c r="H197" s="3">
        <v>0.66597222222222219</v>
      </c>
      <c r="I197" s="1">
        <v>4</v>
      </c>
      <c r="J197" s="1">
        <v>8</v>
      </c>
      <c r="K197" s="1"/>
      <c r="L197" s="1" t="s">
        <v>19</v>
      </c>
      <c r="M197" s="1">
        <v>1438</v>
      </c>
    </row>
    <row r="198" spans="1:13" x14ac:dyDescent="0.35">
      <c r="A198" s="1" t="s">
        <v>439</v>
      </c>
      <c r="B198" s="2">
        <v>45966</v>
      </c>
      <c r="C198" s="1" t="s">
        <v>440</v>
      </c>
      <c r="D198" s="1" t="s">
        <v>27</v>
      </c>
      <c r="E198" s="1" t="s">
        <v>78</v>
      </c>
      <c r="F198" s="1" t="s">
        <v>17</v>
      </c>
      <c r="G198" s="3">
        <v>0.82638888888888884</v>
      </c>
      <c r="H198" s="3">
        <v>0.83472222222222225</v>
      </c>
      <c r="I198" s="1">
        <v>12</v>
      </c>
      <c r="J198" s="1">
        <v>2</v>
      </c>
      <c r="K198" s="1" t="s">
        <v>18</v>
      </c>
      <c r="L198" s="1" t="s">
        <v>19</v>
      </c>
      <c r="M198" s="1">
        <v>866</v>
      </c>
    </row>
    <row r="199" spans="1:13" x14ac:dyDescent="0.35">
      <c r="A199" s="1" t="s">
        <v>441</v>
      </c>
      <c r="B199" s="2">
        <v>45966</v>
      </c>
      <c r="C199" s="1" t="s">
        <v>442</v>
      </c>
      <c r="D199" s="1" t="s">
        <v>47</v>
      </c>
      <c r="E199" s="1" t="s">
        <v>22</v>
      </c>
      <c r="F199" s="1" t="s">
        <v>17</v>
      </c>
      <c r="G199" s="3">
        <v>0.85416666666666663</v>
      </c>
      <c r="H199" s="3">
        <v>0.86041666666666672</v>
      </c>
      <c r="I199" s="1">
        <v>9</v>
      </c>
      <c r="J199" s="1">
        <v>1</v>
      </c>
      <c r="K199" s="1" t="s">
        <v>18</v>
      </c>
      <c r="L199" s="1" t="s">
        <v>19</v>
      </c>
      <c r="M199" s="1">
        <v>2580</v>
      </c>
    </row>
    <row r="200" spans="1:13" x14ac:dyDescent="0.35">
      <c r="A200" s="1" t="s">
        <v>443</v>
      </c>
      <c r="B200" s="2">
        <v>45967</v>
      </c>
      <c r="C200" s="1" t="s">
        <v>444</v>
      </c>
      <c r="D200" s="1" t="s">
        <v>16</v>
      </c>
      <c r="E200" s="1" t="s">
        <v>22</v>
      </c>
      <c r="F200" s="1" t="s">
        <v>17</v>
      </c>
      <c r="G200" s="3">
        <v>0.47916666666666669</v>
      </c>
      <c r="H200" s="3">
        <v>0.48680555555555549</v>
      </c>
      <c r="I200" s="1">
        <v>11</v>
      </c>
      <c r="J200" s="1">
        <v>19</v>
      </c>
      <c r="K200" s="1"/>
      <c r="L200" s="1" t="s">
        <v>19</v>
      </c>
      <c r="M200" s="1">
        <v>738</v>
      </c>
    </row>
    <row r="201" spans="1:13" x14ac:dyDescent="0.35">
      <c r="A201" s="1" t="s">
        <v>445</v>
      </c>
      <c r="B201" s="2">
        <v>45967</v>
      </c>
      <c r="C201" s="1" t="s">
        <v>446</v>
      </c>
      <c r="D201" s="1" t="s">
        <v>16</v>
      </c>
      <c r="E201" s="1" t="s">
        <v>41</v>
      </c>
      <c r="F201" s="1" t="s">
        <v>24</v>
      </c>
      <c r="G201" s="3">
        <v>0.88888888888888884</v>
      </c>
      <c r="H201" s="3">
        <v>0.90625</v>
      </c>
      <c r="I201" s="1">
        <v>25</v>
      </c>
      <c r="J201" s="1">
        <v>25</v>
      </c>
      <c r="K201" s="1" t="s">
        <v>263</v>
      </c>
      <c r="L201" s="1" t="s">
        <v>19</v>
      </c>
      <c r="M201" s="1">
        <v>1199</v>
      </c>
    </row>
    <row r="202" spans="1:13" x14ac:dyDescent="0.35">
      <c r="A202" s="1" t="s">
        <v>447</v>
      </c>
      <c r="B202" s="2">
        <v>45968</v>
      </c>
      <c r="C202" s="1" t="s">
        <v>448</v>
      </c>
      <c r="D202" s="1" t="s">
        <v>16</v>
      </c>
      <c r="E202" s="1" t="s">
        <v>78</v>
      </c>
      <c r="F202" s="1" t="s">
        <v>38</v>
      </c>
      <c r="G202" s="3">
        <v>0.3263888888888889</v>
      </c>
      <c r="H202" s="3">
        <v>0.32361111111111113</v>
      </c>
      <c r="I202" s="1">
        <v>-4</v>
      </c>
      <c r="J202" s="1">
        <v>1</v>
      </c>
      <c r="K202" s="1" t="s">
        <v>18</v>
      </c>
      <c r="L202" s="1" t="s">
        <v>19</v>
      </c>
      <c r="M202" s="1">
        <v>1438</v>
      </c>
    </row>
    <row r="203" spans="1:13" x14ac:dyDescent="0.35">
      <c r="A203" s="1" t="s">
        <v>449</v>
      </c>
      <c r="B203" s="2">
        <v>45968</v>
      </c>
      <c r="C203" s="1" t="s">
        <v>133</v>
      </c>
      <c r="D203" s="1" t="s">
        <v>22</v>
      </c>
      <c r="E203" s="1" t="s">
        <v>16</v>
      </c>
      <c r="F203" s="1" t="s">
        <v>24</v>
      </c>
      <c r="G203" s="3">
        <v>0.38194444444444442</v>
      </c>
      <c r="H203" s="3">
        <v>0.37847222222222221</v>
      </c>
      <c r="I203" s="1">
        <v>-5</v>
      </c>
      <c r="J203" s="1">
        <v>-16</v>
      </c>
      <c r="K203" s="1" t="s">
        <v>18</v>
      </c>
      <c r="L203" s="1" t="s">
        <v>19</v>
      </c>
      <c r="M203" s="1">
        <v>738</v>
      </c>
    </row>
    <row r="204" spans="1:13" x14ac:dyDescent="0.35">
      <c r="A204" s="1" t="s">
        <v>450</v>
      </c>
      <c r="B204" s="2">
        <v>45968</v>
      </c>
      <c r="C204" s="1" t="s">
        <v>46</v>
      </c>
      <c r="D204" s="1" t="s">
        <v>22</v>
      </c>
      <c r="E204" s="1" t="s">
        <v>16</v>
      </c>
      <c r="F204" s="1" t="s">
        <v>17</v>
      </c>
      <c r="G204" s="3">
        <v>0.39583333333333331</v>
      </c>
      <c r="H204" s="3">
        <v>0.40277777777777779</v>
      </c>
      <c r="I204" s="1">
        <v>10</v>
      </c>
      <c r="J204" s="1">
        <v>2</v>
      </c>
      <c r="K204" s="1" t="s">
        <v>18</v>
      </c>
      <c r="L204" s="1" t="s">
        <v>19</v>
      </c>
      <c r="M204" s="1">
        <v>738</v>
      </c>
    </row>
    <row r="205" spans="1:13" x14ac:dyDescent="0.35">
      <c r="A205" s="1" t="s">
        <v>451</v>
      </c>
      <c r="B205" s="2">
        <v>45968</v>
      </c>
      <c r="C205" s="1" t="s">
        <v>452</v>
      </c>
      <c r="D205" s="1" t="s">
        <v>16</v>
      </c>
      <c r="E205" s="1" t="s">
        <v>44</v>
      </c>
      <c r="F205" s="1" t="s">
        <v>17</v>
      </c>
      <c r="G205" s="3">
        <v>0.43055555555555558</v>
      </c>
      <c r="H205" s="3">
        <v>0.43263888888888891</v>
      </c>
      <c r="I205" s="1">
        <v>3</v>
      </c>
      <c r="J205" s="1">
        <v>-3</v>
      </c>
      <c r="K205" s="1" t="s">
        <v>18</v>
      </c>
      <c r="L205" s="1" t="s">
        <v>19</v>
      </c>
      <c r="M205" s="1">
        <v>864</v>
      </c>
    </row>
    <row r="206" spans="1:13" x14ac:dyDescent="0.35">
      <c r="A206" s="1" t="s">
        <v>453</v>
      </c>
      <c r="B206" s="2">
        <v>45969</v>
      </c>
      <c r="C206" s="1" t="s">
        <v>454</v>
      </c>
      <c r="D206" s="1" t="s">
        <v>50</v>
      </c>
      <c r="E206" s="1" t="s">
        <v>78</v>
      </c>
      <c r="F206" s="1" t="s">
        <v>17</v>
      </c>
      <c r="G206" s="3">
        <v>0.22916666666666671</v>
      </c>
      <c r="H206" s="3">
        <v>0.22847222222222219</v>
      </c>
      <c r="I206" s="1">
        <v>-1</v>
      </c>
      <c r="J206" s="1">
        <v>7</v>
      </c>
      <c r="K206" s="1" t="s">
        <v>18</v>
      </c>
      <c r="L206" s="1" t="s">
        <v>19</v>
      </c>
      <c r="M206" s="1">
        <v>1584</v>
      </c>
    </row>
    <row r="207" spans="1:13" x14ac:dyDescent="0.35">
      <c r="A207" s="1" t="s">
        <v>455</v>
      </c>
      <c r="B207" s="2">
        <v>45969</v>
      </c>
      <c r="C207" s="1" t="s">
        <v>456</v>
      </c>
      <c r="D207" s="1" t="s">
        <v>47</v>
      </c>
      <c r="E207" s="1" t="s">
        <v>15</v>
      </c>
      <c r="F207" s="1" t="s">
        <v>17</v>
      </c>
      <c r="G207" s="3">
        <v>0.3125</v>
      </c>
      <c r="H207" s="3">
        <v>0.31319444444444439</v>
      </c>
      <c r="I207" s="1">
        <v>1</v>
      </c>
      <c r="J207" s="1">
        <v>6</v>
      </c>
      <c r="K207" s="1"/>
      <c r="L207" s="1" t="s">
        <v>19</v>
      </c>
      <c r="M207" s="1">
        <v>338</v>
      </c>
    </row>
    <row r="208" spans="1:13" x14ac:dyDescent="0.35">
      <c r="A208" s="1" t="s">
        <v>457</v>
      </c>
      <c r="B208" s="2">
        <v>45969</v>
      </c>
      <c r="C208" s="1" t="s">
        <v>458</v>
      </c>
      <c r="D208" s="1" t="s">
        <v>15</v>
      </c>
      <c r="E208" s="1" t="s">
        <v>23</v>
      </c>
      <c r="F208" s="1" t="s">
        <v>24</v>
      </c>
      <c r="G208" s="3">
        <v>0.70486111111111116</v>
      </c>
      <c r="H208" s="1"/>
      <c r="I208" s="1">
        <v>4</v>
      </c>
      <c r="J208" s="1">
        <v>-8</v>
      </c>
      <c r="K208" s="1" t="s">
        <v>18</v>
      </c>
      <c r="L208" s="1" t="s">
        <v>19</v>
      </c>
      <c r="M208" s="1">
        <v>861</v>
      </c>
    </row>
    <row r="209" spans="1:13" x14ac:dyDescent="0.35">
      <c r="A209" s="1" t="s">
        <v>459</v>
      </c>
      <c r="B209" s="2">
        <v>45969</v>
      </c>
      <c r="C209" s="1" t="s">
        <v>460</v>
      </c>
      <c r="D209" s="1" t="s">
        <v>27</v>
      </c>
      <c r="E209" s="1" t="s">
        <v>22</v>
      </c>
      <c r="F209" s="1" t="s">
        <v>28</v>
      </c>
      <c r="G209" s="3">
        <v>0.72569444444444442</v>
      </c>
      <c r="H209" s="3">
        <v>0.72013888888888888</v>
      </c>
      <c r="I209" s="1">
        <v>-8</v>
      </c>
      <c r="J209" s="1">
        <v>-4</v>
      </c>
      <c r="K209" s="1" t="s">
        <v>18</v>
      </c>
      <c r="L209" s="1" t="s">
        <v>19</v>
      </c>
      <c r="M209" s="1">
        <v>1389</v>
      </c>
    </row>
    <row r="210" spans="1:13" x14ac:dyDescent="0.35">
      <c r="A210" s="1" t="s">
        <v>461</v>
      </c>
      <c r="B210" s="2">
        <v>45969</v>
      </c>
      <c r="C210" s="1" t="s">
        <v>14</v>
      </c>
      <c r="D210" s="1" t="s">
        <v>22</v>
      </c>
      <c r="E210" s="1" t="s">
        <v>44</v>
      </c>
      <c r="F210" s="1" t="s">
        <v>28</v>
      </c>
      <c r="G210" s="3">
        <v>0.77777777777777779</v>
      </c>
      <c r="H210" s="3">
        <v>0.81458333333333333</v>
      </c>
      <c r="I210" s="1">
        <v>53</v>
      </c>
      <c r="J210" s="1">
        <v>41</v>
      </c>
      <c r="K210" s="1" t="s">
        <v>98</v>
      </c>
      <c r="L210" s="1" t="s">
        <v>19</v>
      </c>
      <c r="M210" s="1">
        <v>186</v>
      </c>
    </row>
    <row r="211" spans="1:13" x14ac:dyDescent="0.35">
      <c r="A211" s="1" t="s">
        <v>462</v>
      </c>
      <c r="B211" s="2">
        <v>45969</v>
      </c>
      <c r="C211" s="1" t="s">
        <v>463</v>
      </c>
      <c r="D211" s="1" t="s">
        <v>41</v>
      </c>
      <c r="E211" s="1" t="s">
        <v>27</v>
      </c>
      <c r="F211" s="1" t="s">
        <v>38</v>
      </c>
      <c r="G211" s="3">
        <v>0.80902777777777779</v>
      </c>
      <c r="H211" s="3">
        <v>0.82222222222222219</v>
      </c>
      <c r="I211" s="1">
        <v>19</v>
      </c>
      <c r="J211" s="1">
        <v>17</v>
      </c>
      <c r="K211" s="1" t="s">
        <v>98</v>
      </c>
      <c r="L211" s="1" t="s">
        <v>19</v>
      </c>
      <c r="M211" s="1">
        <v>1120</v>
      </c>
    </row>
    <row r="212" spans="1:13" x14ac:dyDescent="0.35">
      <c r="A212" s="1" t="s">
        <v>464</v>
      </c>
      <c r="B212" s="2">
        <v>45970</v>
      </c>
      <c r="C212" s="1" t="s">
        <v>465</v>
      </c>
      <c r="D212" s="1" t="s">
        <v>37</v>
      </c>
      <c r="E212" s="1" t="s">
        <v>16</v>
      </c>
      <c r="F212" s="1" t="s">
        <v>24</v>
      </c>
      <c r="G212" s="3">
        <v>0.34375</v>
      </c>
      <c r="H212" s="3">
        <v>0.34722222222222221</v>
      </c>
      <c r="I212" s="1">
        <v>5</v>
      </c>
      <c r="J212" s="1">
        <v>10</v>
      </c>
      <c r="K212" s="1" t="s">
        <v>18</v>
      </c>
      <c r="L212" s="1" t="s">
        <v>19</v>
      </c>
      <c r="M212" s="1">
        <v>1717</v>
      </c>
    </row>
    <row r="213" spans="1:13" x14ac:dyDescent="0.35">
      <c r="A213" s="1" t="s">
        <v>466</v>
      </c>
      <c r="B213" s="2">
        <v>45970</v>
      </c>
      <c r="C213" s="1" t="s">
        <v>151</v>
      </c>
      <c r="D213" s="1" t="s">
        <v>27</v>
      </c>
      <c r="E213" s="1" t="s">
        <v>50</v>
      </c>
      <c r="F213" s="1" t="s">
        <v>17</v>
      </c>
      <c r="G213" s="3">
        <v>0.52083333333333337</v>
      </c>
      <c r="H213" s="3">
        <v>0.52569444444444446</v>
      </c>
      <c r="I213" s="1">
        <v>7</v>
      </c>
      <c r="J213" s="1">
        <v>4</v>
      </c>
      <c r="K213" s="1"/>
      <c r="L213" s="1" t="s">
        <v>19</v>
      </c>
      <c r="M213" s="1">
        <v>730</v>
      </c>
    </row>
    <row r="214" spans="1:13" x14ac:dyDescent="0.35">
      <c r="A214" s="1" t="s">
        <v>467</v>
      </c>
      <c r="B214" s="2">
        <v>45970</v>
      </c>
      <c r="C214" s="1" t="s">
        <v>468</v>
      </c>
      <c r="D214" s="1" t="s">
        <v>23</v>
      </c>
      <c r="E214" s="1" t="s">
        <v>44</v>
      </c>
      <c r="F214" s="1" t="s">
        <v>17</v>
      </c>
      <c r="G214" s="3">
        <v>0.79166666666666663</v>
      </c>
      <c r="H214" s="3">
        <v>0.79791666666666672</v>
      </c>
      <c r="I214" s="1">
        <v>9</v>
      </c>
      <c r="J214" s="1">
        <v>7</v>
      </c>
      <c r="K214" s="1" t="s">
        <v>18</v>
      </c>
      <c r="L214" s="1" t="s">
        <v>19</v>
      </c>
      <c r="M214" s="1">
        <v>1749</v>
      </c>
    </row>
    <row r="215" spans="1:13" x14ac:dyDescent="0.35">
      <c r="A215" s="1" t="s">
        <v>469</v>
      </c>
      <c r="B215" s="2">
        <v>45971</v>
      </c>
      <c r="C215" s="1" t="s">
        <v>470</v>
      </c>
      <c r="D215" s="1" t="s">
        <v>15</v>
      </c>
      <c r="E215" s="1" t="s">
        <v>16</v>
      </c>
      <c r="F215" s="1" t="s">
        <v>24</v>
      </c>
      <c r="G215" s="3">
        <v>0.35069444444444442</v>
      </c>
      <c r="H215" s="3">
        <v>0.35625000000000001</v>
      </c>
      <c r="I215" s="1">
        <v>8</v>
      </c>
      <c r="J215" s="1">
        <v>17</v>
      </c>
      <c r="K215" s="1" t="s">
        <v>18</v>
      </c>
      <c r="L215" s="1" t="s">
        <v>19</v>
      </c>
      <c r="M215" s="1">
        <v>1742</v>
      </c>
    </row>
    <row r="216" spans="1:13" x14ac:dyDescent="0.35">
      <c r="A216" s="1" t="s">
        <v>471</v>
      </c>
      <c r="B216" s="2">
        <v>45971</v>
      </c>
      <c r="C216" s="1" t="s">
        <v>472</v>
      </c>
      <c r="D216" s="1" t="s">
        <v>22</v>
      </c>
      <c r="E216" s="1" t="s">
        <v>27</v>
      </c>
      <c r="F216" s="1" t="s">
        <v>24</v>
      </c>
      <c r="G216" s="3">
        <v>0.62152777777777779</v>
      </c>
      <c r="H216" s="3">
        <v>0.63958333333333328</v>
      </c>
      <c r="I216" s="1">
        <v>26</v>
      </c>
      <c r="J216" s="1">
        <v>24</v>
      </c>
      <c r="K216" s="1" t="s">
        <v>276</v>
      </c>
      <c r="L216" s="1" t="s">
        <v>19</v>
      </c>
      <c r="M216" s="1">
        <v>1389</v>
      </c>
    </row>
    <row r="217" spans="1:13" x14ac:dyDescent="0.35">
      <c r="A217" s="1" t="s">
        <v>473</v>
      </c>
      <c r="B217" s="2">
        <v>45972</v>
      </c>
      <c r="C217" s="1" t="s">
        <v>474</v>
      </c>
      <c r="D217" s="1" t="s">
        <v>78</v>
      </c>
      <c r="E217" s="1" t="s">
        <v>23</v>
      </c>
      <c r="F217" s="1" t="s">
        <v>38</v>
      </c>
      <c r="G217" s="3">
        <v>0.52430555555555558</v>
      </c>
      <c r="H217" s="3">
        <v>0.52569444444444446</v>
      </c>
      <c r="I217" s="1">
        <v>2</v>
      </c>
      <c r="J217" s="1">
        <v>11</v>
      </c>
      <c r="K217" s="1" t="s">
        <v>18</v>
      </c>
      <c r="L217" s="1" t="s">
        <v>19</v>
      </c>
      <c r="M217" s="1">
        <v>602</v>
      </c>
    </row>
    <row r="218" spans="1:13" x14ac:dyDescent="0.35">
      <c r="A218" s="1" t="s">
        <v>475</v>
      </c>
      <c r="B218" s="2">
        <v>45972</v>
      </c>
      <c r="C218" s="1" t="s">
        <v>476</v>
      </c>
      <c r="D218" s="1" t="s">
        <v>22</v>
      </c>
      <c r="E218" s="1" t="s">
        <v>50</v>
      </c>
      <c r="F218" s="1" t="s">
        <v>38</v>
      </c>
      <c r="G218" s="3">
        <v>0.73263888888888884</v>
      </c>
      <c r="H218" s="3">
        <v>0.7631944444444444</v>
      </c>
      <c r="I218" s="1">
        <v>44</v>
      </c>
      <c r="J218" s="1">
        <v>45</v>
      </c>
      <c r="K218" s="1" t="s">
        <v>477</v>
      </c>
      <c r="L218" s="1" t="s">
        <v>19</v>
      </c>
      <c r="M218" s="1">
        <v>759</v>
      </c>
    </row>
    <row r="219" spans="1:13" x14ac:dyDescent="0.35">
      <c r="A219" s="1" t="s">
        <v>478</v>
      </c>
      <c r="B219" s="2">
        <v>45973</v>
      </c>
      <c r="C219" s="1" t="s">
        <v>479</v>
      </c>
      <c r="D219" s="1" t="s">
        <v>41</v>
      </c>
      <c r="E219" s="1" t="s">
        <v>47</v>
      </c>
      <c r="F219" s="1" t="s">
        <v>28</v>
      </c>
      <c r="G219" s="3">
        <v>0.4548611111111111</v>
      </c>
      <c r="H219" s="3">
        <v>0.44930555555555562</v>
      </c>
      <c r="I219" s="1">
        <v>-8</v>
      </c>
      <c r="J219" s="1">
        <v>-16</v>
      </c>
      <c r="K219" s="1" t="s">
        <v>18</v>
      </c>
      <c r="L219" s="1" t="s">
        <v>19</v>
      </c>
      <c r="M219" s="1">
        <v>2582</v>
      </c>
    </row>
    <row r="220" spans="1:13" x14ac:dyDescent="0.35">
      <c r="A220" s="1" t="s">
        <v>480</v>
      </c>
      <c r="B220" s="2">
        <v>45973</v>
      </c>
      <c r="C220" s="1" t="s">
        <v>481</v>
      </c>
      <c r="D220" s="1" t="s">
        <v>27</v>
      </c>
      <c r="E220" s="1" t="s">
        <v>44</v>
      </c>
      <c r="F220" s="1" t="s">
        <v>17</v>
      </c>
      <c r="G220" s="3">
        <v>0.57638888888888884</v>
      </c>
      <c r="H220" s="3">
        <v>0.57777777777777772</v>
      </c>
      <c r="I220" s="1">
        <v>2</v>
      </c>
      <c r="J220" s="1">
        <v>1</v>
      </c>
      <c r="K220" s="1" t="s">
        <v>18</v>
      </c>
      <c r="L220" s="1" t="s">
        <v>19</v>
      </c>
      <c r="M220" s="1">
        <v>1559</v>
      </c>
    </row>
    <row r="221" spans="1:13" x14ac:dyDescent="0.35">
      <c r="A221" s="1" t="s">
        <v>482</v>
      </c>
      <c r="B221" s="2">
        <v>45973</v>
      </c>
      <c r="C221" s="1" t="s">
        <v>483</v>
      </c>
      <c r="D221" s="1" t="s">
        <v>27</v>
      </c>
      <c r="E221" s="1" t="s">
        <v>50</v>
      </c>
      <c r="F221" s="1" t="s">
        <v>24</v>
      </c>
      <c r="G221" s="3">
        <v>0.69444444444444442</v>
      </c>
      <c r="H221" s="3">
        <v>0.69305555555555554</v>
      </c>
      <c r="I221" s="1">
        <v>-2</v>
      </c>
      <c r="J221" s="1">
        <v>6</v>
      </c>
      <c r="K221" s="1" t="s">
        <v>18</v>
      </c>
      <c r="L221" s="1" t="s">
        <v>19</v>
      </c>
      <c r="M221" s="1">
        <v>730</v>
      </c>
    </row>
    <row r="222" spans="1:13" x14ac:dyDescent="0.35">
      <c r="A222" s="1" t="s">
        <v>484</v>
      </c>
      <c r="B222" s="2">
        <v>45973</v>
      </c>
      <c r="C222" s="1" t="s">
        <v>485</v>
      </c>
      <c r="D222" s="1" t="s">
        <v>37</v>
      </c>
      <c r="E222" s="1" t="s">
        <v>31</v>
      </c>
      <c r="F222" s="1" t="s">
        <v>38</v>
      </c>
      <c r="G222" s="3">
        <v>0.73611111111111116</v>
      </c>
      <c r="H222" s="3">
        <v>0.7319444444444444</v>
      </c>
      <c r="I222" s="1">
        <v>-6</v>
      </c>
      <c r="J222" s="1">
        <v>2</v>
      </c>
      <c r="K222" s="1" t="s">
        <v>18</v>
      </c>
      <c r="L222" s="1" t="s">
        <v>19</v>
      </c>
      <c r="M222" s="1">
        <v>867</v>
      </c>
    </row>
    <row r="223" spans="1:13" x14ac:dyDescent="0.35">
      <c r="A223" s="1" t="s">
        <v>486</v>
      </c>
      <c r="B223" s="2">
        <v>45973</v>
      </c>
      <c r="C223" s="1" t="s">
        <v>487</v>
      </c>
      <c r="D223" s="1" t="s">
        <v>27</v>
      </c>
      <c r="E223" s="1" t="s">
        <v>44</v>
      </c>
      <c r="F223" s="1" t="s">
        <v>17</v>
      </c>
      <c r="G223" s="3">
        <v>0.78472222222222221</v>
      </c>
      <c r="H223" s="3">
        <v>0.78402777777777777</v>
      </c>
      <c r="I223" s="1">
        <v>-1</v>
      </c>
      <c r="J223" s="1"/>
      <c r="K223" s="1" t="s">
        <v>18</v>
      </c>
      <c r="L223" s="1" t="s">
        <v>19</v>
      </c>
      <c r="M223" s="1">
        <v>1559</v>
      </c>
    </row>
    <row r="224" spans="1:13" x14ac:dyDescent="0.35">
      <c r="A224" s="1" t="s">
        <v>488</v>
      </c>
      <c r="B224" s="2">
        <v>45973</v>
      </c>
      <c r="C224" s="1" t="s">
        <v>489</v>
      </c>
      <c r="D224" s="1" t="s">
        <v>41</v>
      </c>
      <c r="E224" s="1" t="s">
        <v>16</v>
      </c>
      <c r="F224" s="1" t="s">
        <v>17</v>
      </c>
      <c r="G224" s="3">
        <v>0.82291666666666663</v>
      </c>
      <c r="H224" s="3">
        <v>0.85</v>
      </c>
      <c r="I224" s="1">
        <v>39</v>
      </c>
      <c r="J224" s="1">
        <v>36</v>
      </c>
      <c r="K224" s="1" t="s">
        <v>60</v>
      </c>
      <c r="L224" s="1" t="s">
        <v>19</v>
      </c>
      <c r="M224" s="1">
        <v>1199</v>
      </c>
    </row>
    <row r="225" spans="1:13" x14ac:dyDescent="0.35">
      <c r="A225" s="1" t="s">
        <v>490</v>
      </c>
      <c r="B225" s="2">
        <v>45974</v>
      </c>
      <c r="C225" s="1" t="s">
        <v>239</v>
      </c>
      <c r="D225" s="1" t="s">
        <v>50</v>
      </c>
      <c r="E225" s="1" t="s">
        <v>27</v>
      </c>
      <c r="F225" s="1" t="s">
        <v>28</v>
      </c>
      <c r="G225" s="3">
        <v>0.4548611111111111</v>
      </c>
      <c r="H225" s="3">
        <v>0.4513888888888889</v>
      </c>
      <c r="I225" s="1">
        <v>-5</v>
      </c>
      <c r="J225" s="1">
        <v>-12</v>
      </c>
      <c r="K225" s="1"/>
      <c r="L225" s="1" t="s">
        <v>19</v>
      </c>
      <c r="M225" s="1">
        <v>730</v>
      </c>
    </row>
    <row r="226" spans="1:13" x14ac:dyDescent="0.35">
      <c r="A226" s="1" t="s">
        <v>491</v>
      </c>
      <c r="B226" s="2">
        <v>45974</v>
      </c>
      <c r="C226" s="1" t="s">
        <v>492</v>
      </c>
      <c r="D226" s="1" t="s">
        <v>27</v>
      </c>
      <c r="E226" s="1" t="s">
        <v>15</v>
      </c>
      <c r="F226" s="1" t="s">
        <v>24</v>
      </c>
      <c r="G226" s="3">
        <v>0.73958333333333337</v>
      </c>
      <c r="H226" s="3">
        <v>0.74305555555555558</v>
      </c>
      <c r="I226" s="1">
        <v>5</v>
      </c>
      <c r="J226" s="1"/>
      <c r="K226" s="1" t="s">
        <v>18</v>
      </c>
      <c r="L226" s="1" t="s">
        <v>19</v>
      </c>
      <c r="M226" s="1">
        <v>1232</v>
      </c>
    </row>
    <row r="227" spans="1:13" x14ac:dyDescent="0.35">
      <c r="A227" s="1" t="s">
        <v>493</v>
      </c>
      <c r="B227" s="2">
        <v>45974</v>
      </c>
      <c r="C227" s="1" t="s">
        <v>494</v>
      </c>
      <c r="D227" s="1" t="s">
        <v>27</v>
      </c>
      <c r="E227" s="1" t="s">
        <v>44</v>
      </c>
      <c r="F227" s="1" t="s">
        <v>38</v>
      </c>
      <c r="G227" s="3">
        <v>0.8125</v>
      </c>
      <c r="H227" s="3">
        <v>0.81805555555555554</v>
      </c>
      <c r="I227" s="1">
        <v>2880</v>
      </c>
      <c r="J227" s="1">
        <v>11</v>
      </c>
      <c r="K227" s="1" t="s">
        <v>18</v>
      </c>
      <c r="L227" s="1" t="s">
        <v>19</v>
      </c>
      <c r="M227" s="1">
        <v>1559</v>
      </c>
    </row>
    <row r="228" spans="1:13" x14ac:dyDescent="0.35">
      <c r="A228" s="1" t="s">
        <v>495</v>
      </c>
      <c r="B228" s="2">
        <v>45975</v>
      </c>
      <c r="C228" s="1" t="s">
        <v>496</v>
      </c>
      <c r="D228" s="1" t="s">
        <v>50</v>
      </c>
      <c r="E228" s="1" t="s">
        <v>27</v>
      </c>
      <c r="F228" s="1" t="s">
        <v>17</v>
      </c>
      <c r="G228" s="3">
        <v>0.4513888888888889</v>
      </c>
      <c r="H228" s="3">
        <v>0.45833333333333331</v>
      </c>
      <c r="I228" s="1">
        <v>10</v>
      </c>
      <c r="J228" s="1">
        <v>13</v>
      </c>
      <c r="K228" s="1"/>
      <c r="L228" s="1" t="s">
        <v>19</v>
      </c>
      <c r="M228" s="1">
        <v>730</v>
      </c>
    </row>
    <row r="229" spans="1:13" x14ac:dyDescent="0.35">
      <c r="A229" s="1" t="s">
        <v>497</v>
      </c>
      <c r="B229" s="2">
        <v>45975</v>
      </c>
      <c r="C229" s="1" t="s">
        <v>290</v>
      </c>
      <c r="D229" s="1" t="s">
        <v>23</v>
      </c>
      <c r="E229" s="1" t="s">
        <v>50</v>
      </c>
      <c r="F229" s="1" t="s">
        <v>28</v>
      </c>
      <c r="G229" s="3">
        <v>0.70833333333333337</v>
      </c>
      <c r="H229" s="3">
        <v>0.71319444444444446</v>
      </c>
      <c r="I229" s="1">
        <v>7</v>
      </c>
      <c r="J229" s="1">
        <v>-2</v>
      </c>
      <c r="K229" s="1" t="s">
        <v>18</v>
      </c>
      <c r="L229" s="1" t="s">
        <v>19</v>
      </c>
      <c r="M229" s="1">
        <v>1197</v>
      </c>
    </row>
    <row r="230" spans="1:13" x14ac:dyDescent="0.35">
      <c r="A230" s="1" t="s">
        <v>498</v>
      </c>
      <c r="B230" s="2">
        <v>45976</v>
      </c>
      <c r="C230" s="1" t="s">
        <v>499</v>
      </c>
      <c r="D230" s="1" t="s">
        <v>93</v>
      </c>
      <c r="E230" s="1" t="s">
        <v>23</v>
      </c>
      <c r="F230" s="1" t="s">
        <v>24</v>
      </c>
      <c r="G230" s="3">
        <v>0.2361111111111111</v>
      </c>
      <c r="H230" s="3">
        <v>0.23333333333333331</v>
      </c>
      <c r="I230" s="1">
        <v>-4</v>
      </c>
      <c r="J230" s="1">
        <v>-4</v>
      </c>
      <c r="K230" s="1" t="s">
        <v>18</v>
      </c>
      <c r="L230" s="1" t="s">
        <v>19</v>
      </c>
      <c r="M230" s="1">
        <v>886</v>
      </c>
    </row>
    <row r="231" spans="1:13" x14ac:dyDescent="0.35">
      <c r="A231" s="1" t="s">
        <v>500</v>
      </c>
      <c r="B231" s="2">
        <v>45976</v>
      </c>
      <c r="C231" s="1" t="s">
        <v>501</v>
      </c>
      <c r="D231" s="1" t="s">
        <v>214</v>
      </c>
      <c r="E231" s="1" t="s">
        <v>44</v>
      </c>
      <c r="F231" s="1" t="s">
        <v>24</v>
      </c>
      <c r="G231" s="3">
        <v>0.3263888888888889</v>
      </c>
      <c r="H231" s="3">
        <v>0.32708333333333328</v>
      </c>
      <c r="I231" s="1">
        <v>1</v>
      </c>
      <c r="J231" s="1">
        <v>-1</v>
      </c>
      <c r="K231" s="1" t="s">
        <v>18</v>
      </c>
      <c r="L231" s="1" t="s">
        <v>19</v>
      </c>
      <c r="M231" s="1">
        <v>1749</v>
      </c>
    </row>
    <row r="232" spans="1:13" x14ac:dyDescent="0.35">
      <c r="A232" s="1" t="s">
        <v>502</v>
      </c>
      <c r="B232" s="2">
        <v>45976</v>
      </c>
      <c r="C232" s="1" t="s">
        <v>470</v>
      </c>
      <c r="D232" s="1" t="s">
        <v>50</v>
      </c>
      <c r="E232" s="1" t="s">
        <v>15</v>
      </c>
      <c r="F232" s="1" t="s">
        <v>24</v>
      </c>
      <c r="G232" s="3">
        <v>0.3263888888888889</v>
      </c>
      <c r="H232" s="3">
        <v>0.3215277777777778</v>
      </c>
      <c r="I232" s="1">
        <v>-7</v>
      </c>
      <c r="J232" s="1">
        <v>-9</v>
      </c>
      <c r="K232" s="1" t="s">
        <v>18</v>
      </c>
      <c r="L232" s="1" t="s">
        <v>19</v>
      </c>
      <c r="M232" s="1">
        <v>1942</v>
      </c>
    </row>
    <row r="233" spans="1:13" x14ac:dyDescent="0.35">
      <c r="A233" s="1" t="s">
        <v>503</v>
      </c>
      <c r="B233" s="2">
        <v>45976</v>
      </c>
      <c r="C233" s="1" t="s">
        <v>504</v>
      </c>
      <c r="D233" s="1" t="s">
        <v>50</v>
      </c>
      <c r="E233" s="1" t="s">
        <v>22</v>
      </c>
      <c r="F233" s="1" t="s">
        <v>38</v>
      </c>
      <c r="G233" s="3">
        <v>0.33333333333333331</v>
      </c>
      <c r="H233" s="3">
        <v>0.33958333333333329</v>
      </c>
      <c r="I233" s="1">
        <v>9</v>
      </c>
      <c r="J233" s="1">
        <v>1</v>
      </c>
      <c r="K233" s="1" t="s">
        <v>18</v>
      </c>
      <c r="L233" s="1" t="s">
        <v>19</v>
      </c>
      <c r="M233" s="1">
        <v>759</v>
      </c>
    </row>
    <row r="234" spans="1:13" x14ac:dyDescent="0.35">
      <c r="A234" s="1" t="s">
        <v>505</v>
      </c>
      <c r="B234" s="2">
        <v>45976</v>
      </c>
      <c r="C234" s="1" t="s">
        <v>506</v>
      </c>
      <c r="D234" s="1" t="s">
        <v>23</v>
      </c>
      <c r="E234" s="1" t="s">
        <v>78</v>
      </c>
      <c r="F234" s="1" t="s">
        <v>17</v>
      </c>
      <c r="G234" s="3">
        <v>0.36458333333333331</v>
      </c>
      <c r="H234" s="3">
        <v>0.37083333333333329</v>
      </c>
      <c r="I234" s="1">
        <v>9</v>
      </c>
      <c r="J234" s="1">
        <v>12</v>
      </c>
      <c r="K234" s="1" t="s">
        <v>18</v>
      </c>
      <c r="L234" s="1" t="s">
        <v>19</v>
      </c>
      <c r="M234" s="1">
        <v>602</v>
      </c>
    </row>
    <row r="235" spans="1:13" x14ac:dyDescent="0.35">
      <c r="A235" s="1" t="s">
        <v>507</v>
      </c>
      <c r="B235" s="2">
        <v>45976</v>
      </c>
      <c r="C235" s="1" t="s">
        <v>508</v>
      </c>
      <c r="D235" s="1" t="s">
        <v>37</v>
      </c>
      <c r="E235" s="1" t="s">
        <v>44</v>
      </c>
      <c r="F235" s="1" t="s">
        <v>38</v>
      </c>
      <c r="G235" s="3">
        <v>0.59375</v>
      </c>
      <c r="H235" s="3">
        <v>0.59583333333333333</v>
      </c>
      <c r="I235" s="1">
        <v>3</v>
      </c>
      <c r="J235" s="1">
        <v>-3</v>
      </c>
      <c r="K235" s="1" t="s">
        <v>18</v>
      </c>
      <c r="L235" s="1" t="s">
        <v>19</v>
      </c>
      <c r="M235" s="1">
        <v>2489</v>
      </c>
    </row>
    <row r="236" spans="1:13" x14ac:dyDescent="0.35">
      <c r="A236" s="1" t="s">
        <v>509</v>
      </c>
      <c r="B236" s="2">
        <v>45976</v>
      </c>
      <c r="C236" s="1" t="s">
        <v>510</v>
      </c>
      <c r="D236" s="1" t="s">
        <v>23</v>
      </c>
      <c r="E236" s="1" t="s">
        <v>22</v>
      </c>
      <c r="F236" s="1" t="s">
        <v>17</v>
      </c>
      <c r="G236" s="3">
        <v>0.62152777777777779</v>
      </c>
      <c r="H236" s="3">
        <v>0.62013888888888891</v>
      </c>
      <c r="I236" s="1">
        <v>-2</v>
      </c>
      <c r="J236" s="1"/>
      <c r="K236" s="1" t="s">
        <v>18</v>
      </c>
      <c r="L236" s="1" t="s">
        <v>19</v>
      </c>
      <c r="M236" s="1">
        <v>1622</v>
      </c>
    </row>
    <row r="237" spans="1:13" x14ac:dyDescent="0.35">
      <c r="A237" s="1" t="s">
        <v>511</v>
      </c>
      <c r="B237" s="2">
        <v>45977</v>
      </c>
      <c r="C237" s="1" t="s">
        <v>512</v>
      </c>
      <c r="D237" s="1" t="s">
        <v>41</v>
      </c>
      <c r="E237" s="1" t="s">
        <v>50</v>
      </c>
      <c r="F237" s="1" t="s">
        <v>24</v>
      </c>
      <c r="G237" s="3">
        <v>0.22916666666666671</v>
      </c>
      <c r="H237" s="3">
        <v>0.23472222222222219</v>
      </c>
      <c r="I237" s="1">
        <v>8</v>
      </c>
      <c r="J237" s="1">
        <v>10</v>
      </c>
      <c r="K237" s="1" t="s">
        <v>18</v>
      </c>
      <c r="L237" s="1" t="s">
        <v>19</v>
      </c>
      <c r="M237" s="1">
        <v>596</v>
      </c>
    </row>
    <row r="238" spans="1:13" x14ac:dyDescent="0.35">
      <c r="A238" s="1" t="s">
        <v>513</v>
      </c>
      <c r="B238" s="2">
        <v>45977</v>
      </c>
      <c r="C238" s="1" t="s">
        <v>426</v>
      </c>
      <c r="D238" s="1" t="s">
        <v>16</v>
      </c>
      <c r="E238" s="1" t="s">
        <v>50</v>
      </c>
      <c r="F238" s="1" t="s">
        <v>17</v>
      </c>
      <c r="G238" s="3">
        <v>0.47569444444444442</v>
      </c>
      <c r="H238" s="3">
        <v>0.47638888888888892</v>
      </c>
      <c r="I238" s="1">
        <v>1</v>
      </c>
      <c r="J238" s="1">
        <v>-9</v>
      </c>
      <c r="K238" s="1" t="s">
        <v>18</v>
      </c>
      <c r="L238" s="1" t="s">
        <v>19</v>
      </c>
      <c r="M238" s="1">
        <v>606</v>
      </c>
    </row>
    <row r="239" spans="1:13" x14ac:dyDescent="0.35">
      <c r="A239" s="1" t="s">
        <v>514</v>
      </c>
      <c r="B239" s="2">
        <v>45977</v>
      </c>
      <c r="C239" s="1" t="s">
        <v>312</v>
      </c>
      <c r="D239" s="1" t="s">
        <v>23</v>
      </c>
      <c r="E239" s="1" t="s">
        <v>47</v>
      </c>
      <c r="F239" s="1" t="s">
        <v>24</v>
      </c>
      <c r="G239" s="3">
        <v>0.50694444444444442</v>
      </c>
      <c r="H239" s="3">
        <v>0.50555555555555554</v>
      </c>
      <c r="I239" s="1">
        <v>-2</v>
      </c>
      <c r="J239" s="1">
        <v>-11</v>
      </c>
      <c r="K239" s="1" t="s">
        <v>18</v>
      </c>
      <c r="L239" s="1" t="s">
        <v>19</v>
      </c>
      <c r="M239" s="1">
        <v>965</v>
      </c>
    </row>
    <row r="240" spans="1:13" x14ac:dyDescent="0.35">
      <c r="A240" s="1" t="s">
        <v>515</v>
      </c>
      <c r="B240" s="2">
        <v>45977</v>
      </c>
      <c r="C240" s="1" t="s">
        <v>190</v>
      </c>
      <c r="D240" s="1" t="s">
        <v>50</v>
      </c>
      <c r="E240" s="1" t="s">
        <v>22</v>
      </c>
      <c r="F240" s="1" t="s">
        <v>24</v>
      </c>
      <c r="G240" s="3">
        <v>0.65625</v>
      </c>
      <c r="H240" s="3">
        <v>0.66249999999999998</v>
      </c>
      <c r="I240" s="1">
        <v>9</v>
      </c>
      <c r="J240" s="1">
        <v>16</v>
      </c>
      <c r="K240" s="1" t="s">
        <v>18</v>
      </c>
      <c r="L240" s="1" t="s">
        <v>19</v>
      </c>
      <c r="M240" s="1">
        <v>759</v>
      </c>
    </row>
    <row r="241" spans="1:13" x14ac:dyDescent="0.35">
      <c r="A241" s="1" t="s">
        <v>516</v>
      </c>
      <c r="B241" s="2">
        <v>45977</v>
      </c>
      <c r="C241" s="1" t="s">
        <v>517</v>
      </c>
      <c r="D241" s="1" t="s">
        <v>22</v>
      </c>
      <c r="E241" s="1" t="s">
        <v>16</v>
      </c>
      <c r="F241" s="1" t="s">
        <v>38</v>
      </c>
      <c r="G241" s="3">
        <v>0.71180555555555558</v>
      </c>
      <c r="H241" s="3">
        <v>0.7368055555555556</v>
      </c>
      <c r="I241" s="1">
        <v>36</v>
      </c>
      <c r="J241" s="1">
        <v>34</v>
      </c>
      <c r="K241" s="1" t="s">
        <v>98</v>
      </c>
      <c r="L241" s="1" t="s">
        <v>19</v>
      </c>
      <c r="M241" s="1">
        <v>738</v>
      </c>
    </row>
    <row r="242" spans="1:13" x14ac:dyDescent="0.35">
      <c r="A242" s="1" t="s">
        <v>518</v>
      </c>
      <c r="B242" s="2">
        <v>45977</v>
      </c>
      <c r="C242" s="1" t="s">
        <v>519</v>
      </c>
      <c r="D242" s="1" t="s">
        <v>31</v>
      </c>
      <c r="E242" s="1" t="s">
        <v>27</v>
      </c>
      <c r="F242" s="1" t="s">
        <v>38</v>
      </c>
      <c r="G242" s="3">
        <v>0.75694444444444442</v>
      </c>
      <c r="H242" s="3">
        <v>0.79583333333333328</v>
      </c>
      <c r="I242" s="1">
        <v>56</v>
      </c>
      <c r="J242" s="1">
        <v>60</v>
      </c>
      <c r="K242" s="1" t="s">
        <v>54</v>
      </c>
      <c r="L242" s="1" t="s">
        <v>19</v>
      </c>
      <c r="M242" s="1">
        <v>1053</v>
      </c>
    </row>
    <row r="243" spans="1:13" x14ac:dyDescent="0.35">
      <c r="A243" s="1" t="s">
        <v>520</v>
      </c>
      <c r="B243" s="2">
        <v>45978</v>
      </c>
      <c r="C243" s="1" t="s">
        <v>521</v>
      </c>
      <c r="D243" s="1" t="s">
        <v>16</v>
      </c>
      <c r="E243" s="1" t="s">
        <v>50</v>
      </c>
      <c r="F243" s="1" t="s">
        <v>38</v>
      </c>
      <c r="G243" s="3">
        <v>0.41319444444444442</v>
      </c>
      <c r="H243" s="3">
        <v>0.4152777777777778</v>
      </c>
      <c r="I243" s="1">
        <v>3</v>
      </c>
      <c r="J243" s="1">
        <v>11</v>
      </c>
      <c r="K243" s="1" t="s">
        <v>18</v>
      </c>
      <c r="L243" s="1" t="s">
        <v>19</v>
      </c>
      <c r="M243" s="1">
        <v>606</v>
      </c>
    </row>
    <row r="244" spans="1:13" x14ac:dyDescent="0.35">
      <c r="A244" s="1" t="s">
        <v>522</v>
      </c>
      <c r="B244" s="2">
        <v>45978</v>
      </c>
      <c r="C244" s="1" t="s">
        <v>46</v>
      </c>
      <c r="D244" s="1" t="s">
        <v>27</v>
      </c>
      <c r="E244" s="1" t="s">
        <v>23</v>
      </c>
      <c r="F244" s="1" t="s">
        <v>38</v>
      </c>
      <c r="G244" s="3">
        <v>0.51388888888888884</v>
      </c>
      <c r="H244" s="3">
        <v>0.52013888888888893</v>
      </c>
      <c r="I244" s="1">
        <v>9</v>
      </c>
      <c r="J244" s="1">
        <v>0</v>
      </c>
      <c r="K244" s="1" t="s">
        <v>18</v>
      </c>
      <c r="L244" s="1" t="s">
        <v>19</v>
      </c>
      <c r="M244" s="1">
        <v>641</v>
      </c>
    </row>
    <row r="245" spans="1:13" x14ac:dyDescent="0.35">
      <c r="A245" s="1" t="s">
        <v>523</v>
      </c>
      <c r="B245" s="2">
        <v>45978</v>
      </c>
      <c r="C245" s="1" t="s">
        <v>524</v>
      </c>
      <c r="D245" s="1" t="s">
        <v>41</v>
      </c>
      <c r="E245" s="1" t="s">
        <v>27</v>
      </c>
      <c r="F245" s="1" t="s">
        <v>17</v>
      </c>
      <c r="G245" s="3">
        <v>0.67708333333333337</v>
      </c>
      <c r="H245" s="3">
        <v>0.67986111111111114</v>
      </c>
      <c r="I245" s="1">
        <v>4</v>
      </c>
      <c r="J245" s="1">
        <v>9</v>
      </c>
      <c r="K245" s="1" t="s">
        <v>18</v>
      </c>
      <c r="L245" s="1" t="s">
        <v>19</v>
      </c>
      <c r="M245" s="1">
        <v>1120</v>
      </c>
    </row>
    <row r="246" spans="1:13" x14ac:dyDescent="0.35">
      <c r="A246" s="1" t="s">
        <v>525</v>
      </c>
      <c r="B246" s="2">
        <v>45978</v>
      </c>
      <c r="C246" s="1" t="s">
        <v>526</v>
      </c>
      <c r="D246" s="1" t="s">
        <v>41</v>
      </c>
      <c r="E246" s="1" t="s">
        <v>50</v>
      </c>
      <c r="F246" s="1" t="s">
        <v>24</v>
      </c>
      <c r="G246" s="3">
        <v>0.73263888888888884</v>
      </c>
      <c r="H246" s="3">
        <v>0.73541666666666672</v>
      </c>
      <c r="I246" s="1">
        <v>4</v>
      </c>
      <c r="J246" s="1">
        <v>-4</v>
      </c>
      <c r="K246" s="1" t="s">
        <v>18</v>
      </c>
      <c r="L246" s="1" t="s">
        <v>19</v>
      </c>
      <c r="M246" s="1">
        <v>596</v>
      </c>
    </row>
    <row r="247" spans="1:13" x14ac:dyDescent="0.35">
      <c r="A247" s="1" t="s">
        <v>527</v>
      </c>
      <c r="B247" s="2">
        <v>45978</v>
      </c>
      <c r="C247" s="1" t="s">
        <v>528</v>
      </c>
      <c r="D247" s="1" t="s">
        <v>16</v>
      </c>
      <c r="E247" s="1" t="s">
        <v>27</v>
      </c>
      <c r="F247" s="1" t="s">
        <v>17</v>
      </c>
      <c r="G247" s="3">
        <v>0.80555555555555558</v>
      </c>
      <c r="H247" s="3">
        <v>0.80763888888888891</v>
      </c>
      <c r="I247" s="1">
        <v>3</v>
      </c>
      <c r="J247" s="1">
        <v>5</v>
      </c>
      <c r="K247" s="1"/>
      <c r="L247" s="1" t="s">
        <v>19</v>
      </c>
      <c r="M247" s="1">
        <v>802</v>
      </c>
    </row>
    <row r="248" spans="1:13" x14ac:dyDescent="0.35">
      <c r="A248" s="1" t="s">
        <v>529</v>
      </c>
      <c r="B248" s="2">
        <v>45979</v>
      </c>
      <c r="C248" s="1" t="s">
        <v>530</v>
      </c>
      <c r="D248" s="1" t="s">
        <v>59</v>
      </c>
      <c r="E248" s="1" t="s">
        <v>44</v>
      </c>
      <c r="F248" s="1" t="s">
        <v>24</v>
      </c>
      <c r="G248" s="3">
        <v>0.3263888888888889</v>
      </c>
      <c r="H248" s="3">
        <v>0.32708333333333328</v>
      </c>
      <c r="I248" s="1">
        <v>1</v>
      </c>
      <c r="J248" s="1">
        <v>4</v>
      </c>
      <c r="K248" s="1" t="s">
        <v>18</v>
      </c>
      <c r="L248" s="1" t="s">
        <v>19</v>
      </c>
      <c r="M248" s="1">
        <v>945</v>
      </c>
    </row>
    <row r="249" spans="1:13" x14ac:dyDescent="0.35">
      <c r="A249" s="1" t="s">
        <v>531</v>
      </c>
      <c r="B249" s="2">
        <v>45979</v>
      </c>
      <c r="C249" s="1" t="s">
        <v>532</v>
      </c>
      <c r="D249" s="1" t="s">
        <v>27</v>
      </c>
      <c r="E249" s="1" t="s">
        <v>23</v>
      </c>
      <c r="F249" s="1" t="s">
        <v>17</v>
      </c>
      <c r="G249" s="3">
        <v>0.69097222222222221</v>
      </c>
      <c r="H249" s="3">
        <v>0.71875</v>
      </c>
      <c r="I249" s="1">
        <v>40</v>
      </c>
      <c r="J249" s="1">
        <v>32</v>
      </c>
      <c r="K249" s="1" t="s">
        <v>60</v>
      </c>
      <c r="L249" s="1" t="s">
        <v>19</v>
      </c>
      <c r="M249" s="1">
        <v>641</v>
      </c>
    </row>
    <row r="250" spans="1:13" x14ac:dyDescent="0.35">
      <c r="A250" s="1" t="s">
        <v>533</v>
      </c>
      <c r="B250" s="2">
        <v>45979</v>
      </c>
      <c r="C250" s="1" t="s">
        <v>26</v>
      </c>
      <c r="D250" s="1" t="s">
        <v>23</v>
      </c>
      <c r="E250" s="1" t="s">
        <v>22</v>
      </c>
      <c r="F250" s="1" t="s">
        <v>28</v>
      </c>
      <c r="G250" s="3">
        <v>0.78125</v>
      </c>
      <c r="H250" s="3">
        <v>0.77777777777777779</v>
      </c>
      <c r="I250" s="1">
        <v>-5</v>
      </c>
      <c r="J250" s="1">
        <v>4</v>
      </c>
      <c r="K250" s="1" t="s">
        <v>18</v>
      </c>
      <c r="L250" s="1" t="s">
        <v>19</v>
      </c>
      <c r="M250" s="1">
        <v>1622</v>
      </c>
    </row>
    <row r="251" spans="1:13" x14ac:dyDescent="0.35">
      <c r="A251" s="1" t="s">
        <v>534</v>
      </c>
      <c r="B251" s="2">
        <v>45980</v>
      </c>
      <c r="C251" s="1" t="s">
        <v>535</v>
      </c>
      <c r="D251" s="1" t="s">
        <v>78</v>
      </c>
      <c r="E251" s="1" t="s">
        <v>23</v>
      </c>
      <c r="F251" s="1" t="s">
        <v>24</v>
      </c>
      <c r="G251" s="3">
        <v>0.34375</v>
      </c>
      <c r="H251" s="3">
        <v>0.34236111111111112</v>
      </c>
      <c r="I251" s="1">
        <v>-2</v>
      </c>
      <c r="J251" s="1">
        <v>-13</v>
      </c>
      <c r="K251" s="1" t="s">
        <v>18</v>
      </c>
      <c r="L251" s="1" t="s">
        <v>19</v>
      </c>
      <c r="M251" s="1">
        <v>602</v>
      </c>
    </row>
    <row r="252" spans="1:13" x14ac:dyDescent="0.35">
      <c r="A252" s="1" t="s">
        <v>536</v>
      </c>
      <c r="B252" s="2">
        <v>45980</v>
      </c>
      <c r="C252" s="1" t="s">
        <v>532</v>
      </c>
      <c r="D252" s="1" t="s">
        <v>50</v>
      </c>
      <c r="E252" s="1" t="s">
        <v>41</v>
      </c>
      <c r="F252" s="1" t="s">
        <v>24</v>
      </c>
      <c r="G252" s="3">
        <v>0.39583333333333331</v>
      </c>
      <c r="H252" s="3">
        <v>0.42291666666666672</v>
      </c>
      <c r="I252" s="1">
        <v>39</v>
      </c>
      <c r="J252" s="1">
        <v>42</v>
      </c>
      <c r="K252" s="1" t="s">
        <v>477</v>
      </c>
      <c r="L252" s="1" t="s">
        <v>19</v>
      </c>
      <c r="M252" s="1">
        <v>596</v>
      </c>
    </row>
    <row r="253" spans="1:13" x14ac:dyDescent="0.35">
      <c r="A253" s="1" t="s">
        <v>537</v>
      </c>
      <c r="B253" s="2">
        <v>45980</v>
      </c>
      <c r="C253" s="1" t="s">
        <v>363</v>
      </c>
      <c r="D253" s="1" t="s">
        <v>15</v>
      </c>
      <c r="E253" s="1" t="s">
        <v>27</v>
      </c>
      <c r="F253" s="1" t="s">
        <v>28</v>
      </c>
      <c r="G253" s="3">
        <v>0.4861111111111111</v>
      </c>
      <c r="H253" s="3">
        <v>0.48472222222222222</v>
      </c>
      <c r="I253" s="1">
        <v>-2</v>
      </c>
      <c r="J253" s="1">
        <v>-1</v>
      </c>
      <c r="K253" s="1"/>
      <c r="L253" s="1" t="s">
        <v>19</v>
      </c>
      <c r="M253" s="1">
        <v>1232</v>
      </c>
    </row>
    <row r="254" spans="1:13" x14ac:dyDescent="0.35">
      <c r="A254" s="1" t="s">
        <v>538</v>
      </c>
      <c r="B254" s="2">
        <v>45980</v>
      </c>
      <c r="C254" s="1" t="s">
        <v>539</v>
      </c>
      <c r="D254" s="1" t="s">
        <v>50</v>
      </c>
      <c r="E254" s="1" t="s">
        <v>44</v>
      </c>
      <c r="F254" s="1" t="s">
        <v>28</v>
      </c>
      <c r="G254" s="3">
        <v>0.74652777777777779</v>
      </c>
      <c r="H254" s="3">
        <v>0.75208333333333333</v>
      </c>
      <c r="I254" s="1">
        <v>8</v>
      </c>
      <c r="J254" s="1">
        <v>16</v>
      </c>
      <c r="K254" s="1" t="s">
        <v>18</v>
      </c>
      <c r="L254" s="1" t="s">
        <v>19</v>
      </c>
      <c r="M254" s="1">
        <v>945</v>
      </c>
    </row>
    <row r="255" spans="1:13" x14ac:dyDescent="0.35">
      <c r="A255" s="1" t="s">
        <v>540</v>
      </c>
      <c r="B255" s="2">
        <v>45980</v>
      </c>
      <c r="C255" s="1" t="s">
        <v>541</v>
      </c>
      <c r="D255" s="1" t="s">
        <v>27</v>
      </c>
      <c r="E255" s="1" t="s">
        <v>22</v>
      </c>
      <c r="F255" s="1" t="s">
        <v>24</v>
      </c>
      <c r="G255" s="3">
        <v>0.78125</v>
      </c>
      <c r="H255" s="3">
        <v>0.79236111111111107</v>
      </c>
      <c r="I255" s="1">
        <v>16</v>
      </c>
      <c r="J255" s="1">
        <v>11</v>
      </c>
      <c r="K255" s="1" t="s">
        <v>303</v>
      </c>
      <c r="L255" s="1" t="s">
        <v>19</v>
      </c>
      <c r="M255" s="1">
        <v>1389</v>
      </c>
    </row>
    <row r="256" spans="1:13" x14ac:dyDescent="0.35">
      <c r="A256" s="1" t="s">
        <v>542</v>
      </c>
      <c r="B256" s="2">
        <v>45981</v>
      </c>
      <c r="C256" s="1" t="s">
        <v>543</v>
      </c>
      <c r="D256" s="1" t="s">
        <v>22</v>
      </c>
      <c r="E256" s="1" t="s">
        <v>47</v>
      </c>
      <c r="F256" s="1" t="s">
        <v>24</v>
      </c>
      <c r="G256" s="3">
        <v>0.33333333333333331</v>
      </c>
      <c r="H256" s="3">
        <v>0.36666666666666659</v>
      </c>
      <c r="I256" s="1">
        <v>48</v>
      </c>
      <c r="J256" s="1">
        <v>37</v>
      </c>
      <c r="K256" s="1" t="s">
        <v>276</v>
      </c>
      <c r="L256" s="1" t="s">
        <v>19</v>
      </c>
      <c r="M256" s="1">
        <v>2580</v>
      </c>
    </row>
    <row r="257" spans="1:13" x14ac:dyDescent="0.35">
      <c r="A257" s="1" t="s">
        <v>544</v>
      </c>
      <c r="B257" s="2">
        <v>45981</v>
      </c>
      <c r="C257" s="1" t="s">
        <v>307</v>
      </c>
      <c r="D257" s="1" t="s">
        <v>84</v>
      </c>
      <c r="E257" s="1" t="s">
        <v>16</v>
      </c>
      <c r="F257" s="1" t="s">
        <v>17</v>
      </c>
      <c r="G257" s="3">
        <v>0.36805555555555558</v>
      </c>
      <c r="H257" s="3">
        <v>0.39861111111111108</v>
      </c>
      <c r="I257" s="1">
        <v>44</v>
      </c>
      <c r="J257" s="1">
        <v>38</v>
      </c>
      <c r="K257" s="1" t="s">
        <v>319</v>
      </c>
      <c r="L257" s="1" t="s">
        <v>19</v>
      </c>
      <c r="M257" s="1">
        <v>1717</v>
      </c>
    </row>
    <row r="258" spans="1:13" x14ac:dyDescent="0.35">
      <c r="A258" s="1" t="s">
        <v>545</v>
      </c>
      <c r="B258" s="2">
        <v>45981</v>
      </c>
      <c r="C258" s="1" t="s">
        <v>70</v>
      </c>
      <c r="D258" s="1" t="s">
        <v>44</v>
      </c>
      <c r="E258" s="1" t="s">
        <v>546</v>
      </c>
      <c r="F258" s="1" t="s">
        <v>17</v>
      </c>
      <c r="G258" s="3">
        <v>0.6875</v>
      </c>
      <c r="H258" s="3">
        <v>0.68194444444444446</v>
      </c>
      <c r="I258" s="1">
        <v>-8</v>
      </c>
      <c r="J258" s="1">
        <v>-18</v>
      </c>
      <c r="K258" s="1" t="s">
        <v>18</v>
      </c>
      <c r="L258" s="1" t="s">
        <v>19</v>
      </c>
      <c r="M258" s="1">
        <v>2375</v>
      </c>
    </row>
    <row r="259" spans="1:13" x14ac:dyDescent="0.35">
      <c r="A259" s="1" t="s">
        <v>547</v>
      </c>
      <c r="B259" s="2">
        <v>45981</v>
      </c>
      <c r="C259" s="1" t="s">
        <v>548</v>
      </c>
      <c r="D259" s="1" t="s">
        <v>27</v>
      </c>
      <c r="E259" s="1" t="s">
        <v>15</v>
      </c>
      <c r="F259" s="1" t="s">
        <v>38</v>
      </c>
      <c r="G259" s="3">
        <v>0.90277777777777779</v>
      </c>
      <c r="H259" s="3">
        <v>0.90763888888888888</v>
      </c>
      <c r="I259" s="1">
        <v>7</v>
      </c>
      <c r="J259" s="1">
        <v>11</v>
      </c>
      <c r="K259" s="1" t="s">
        <v>18</v>
      </c>
      <c r="L259" s="1" t="s">
        <v>19</v>
      </c>
      <c r="M259" s="1">
        <v>1232</v>
      </c>
    </row>
    <row r="260" spans="1:13" x14ac:dyDescent="0.35">
      <c r="A260" s="1" t="s">
        <v>549</v>
      </c>
      <c r="B260" s="2">
        <v>45982</v>
      </c>
      <c r="C260" s="1" t="s">
        <v>56</v>
      </c>
      <c r="D260" s="1" t="s">
        <v>22</v>
      </c>
      <c r="E260" s="1" t="s">
        <v>16</v>
      </c>
      <c r="F260" s="1" t="s">
        <v>17</v>
      </c>
      <c r="G260" s="3">
        <v>0.40972222222222221</v>
      </c>
      <c r="H260" s="3">
        <v>0.40902777777777782</v>
      </c>
      <c r="I260" s="1">
        <v>-1</v>
      </c>
      <c r="J260" s="1">
        <v>3</v>
      </c>
      <c r="K260" s="1"/>
      <c r="L260" s="1" t="s">
        <v>19</v>
      </c>
      <c r="M260" s="1">
        <v>738</v>
      </c>
    </row>
    <row r="261" spans="1:13" x14ac:dyDescent="0.35">
      <c r="A261" s="1" t="s">
        <v>550</v>
      </c>
      <c r="B261" s="2">
        <v>45982</v>
      </c>
      <c r="C261" s="1" t="s">
        <v>286</v>
      </c>
      <c r="D261" s="1" t="s">
        <v>50</v>
      </c>
      <c r="E261" s="1" t="s">
        <v>27</v>
      </c>
      <c r="F261" s="1" t="s">
        <v>24</v>
      </c>
      <c r="G261" s="3">
        <v>0.73263888888888884</v>
      </c>
      <c r="H261" s="3">
        <v>0.73124999999999996</v>
      </c>
      <c r="I261" s="1">
        <v>-2</v>
      </c>
      <c r="J261" s="1">
        <v>-5</v>
      </c>
      <c r="K261" s="1" t="s">
        <v>18</v>
      </c>
      <c r="L261" s="1" t="s">
        <v>19</v>
      </c>
      <c r="M261" s="1">
        <v>730</v>
      </c>
    </row>
    <row r="262" spans="1:13" x14ac:dyDescent="0.35">
      <c r="A262" s="1" t="s">
        <v>551</v>
      </c>
      <c r="B262" s="2">
        <v>45983</v>
      </c>
      <c r="C262" s="1" t="s">
        <v>552</v>
      </c>
      <c r="D262" s="1" t="s">
        <v>44</v>
      </c>
      <c r="E262" s="1" t="s">
        <v>23</v>
      </c>
      <c r="F262" s="1" t="s">
        <v>24</v>
      </c>
      <c r="G262" s="3">
        <v>0.46875</v>
      </c>
      <c r="H262" s="3">
        <v>0.47152777777777782</v>
      </c>
      <c r="I262" s="1">
        <v>4</v>
      </c>
      <c r="J262" s="1">
        <v>-1</v>
      </c>
      <c r="K262" s="1" t="s">
        <v>18</v>
      </c>
      <c r="L262" s="1" t="s">
        <v>19</v>
      </c>
      <c r="M262" s="1">
        <v>1749</v>
      </c>
    </row>
    <row r="263" spans="1:13" x14ac:dyDescent="0.35">
      <c r="A263" s="1" t="s">
        <v>553</v>
      </c>
      <c r="B263" s="2">
        <v>45983</v>
      </c>
      <c r="C263" s="1" t="s">
        <v>554</v>
      </c>
      <c r="D263" s="1" t="s">
        <v>50</v>
      </c>
      <c r="E263" s="1" t="s">
        <v>555</v>
      </c>
      <c r="F263" s="1" t="s">
        <v>24</v>
      </c>
      <c r="G263" s="3">
        <v>0.72916666666666663</v>
      </c>
      <c r="H263" s="3">
        <v>0.7270833333333333</v>
      </c>
      <c r="I263" s="1">
        <v>-3</v>
      </c>
      <c r="J263" s="1">
        <v>-9</v>
      </c>
      <c r="K263" s="1" t="s">
        <v>18</v>
      </c>
      <c r="L263" s="1" t="s">
        <v>19</v>
      </c>
      <c r="M263" s="1">
        <v>606</v>
      </c>
    </row>
    <row r="264" spans="1:13" x14ac:dyDescent="0.35">
      <c r="A264" s="1" t="s">
        <v>556</v>
      </c>
      <c r="B264" s="2">
        <v>45984</v>
      </c>
      <c r="C264" s="1" t="s">
        <v>557</v>
      </c>
      <c r="D264" s="1" t="s">
        <v>31</v>
      </c>
      <c r="E264" s="1" t="s">
        <v>22</v>
      </c>
      <c r="F264" s="1" t="s">
        <v>24</v>
      </c>
      <c r="G264" s="3">
        <v>0.84375</v>
      </c>
      <c r="H264" s="3">
        <v>0.84236111111111112</v>
      </c>
      <c r="I264" s="1">
        <v>-2</v>
      </c>
      <c r="J264" s="1">
        <v>-7</v>
      </c>
      <c r="K264" s="1" t="s">
        <v>18</v>
      </c>
      <c r="L264" s="1" t="s">
        <v>19</v>
      </c>
      <c r="M264" s="1">
        <v>2243</v>
      </c>
    </row>
    <row r="265" spans="1:13" x14ac:dyDescent="0.35">
      <c r="A265" s="1" t="s">
        <v>558</v>
      </c>
      <c r="B265" s="2">
        <v>45985</v>
      </c>
      <c r="C265" s="1" t="s">
        <v>559</v>
      </c>
      <c r="D265" s="1" t="s">
        <v>23</v>
      </c>
      <c r="E265" s="1" t="s">
        <v>27</v>
      </c>
      <c r="F265" s="1" t="s">
        <v>24</v>
      </c>
      <c r="G265" s="3">
        <v>0.64236111111111116</v>
      </c>
      <c r="H265" s="3">
        <v>0.64027777777777772</v>
      </c>
      <c r="I265" s="1">
        <v>-3</v>
      </c>
      <c r="J265" s="1">
        <v>5</v>
      </c>
      <c r="K265" s="1" t="s">
        <v>18</v>
      </c>
      <c r="L265" s="1" t="s">
        <v>19</v>
      </c>
      <c r="M265" s="1">
        <v>641</v>
      </c>
    </row>
    <row r="266" spans="1:13" x14ac:dyDescent="0.35">
      <c r="A266" s="1" t="s">
        <v>560</v>
      </c>
      <c r="B266" s="2">
        <v>45985</v>
      </c>
      <c r="C266" s="1" t="s">
        <v>506</v>
      </c>
      <c r="D266" s="1" t="s">
        <v>16</v>
      </c>
      <c r="E266" s="1" t="s">
        <v>50</v>
      </c>
      <c r="F266" s="1" t="s">
        <v>24</v>
      </c>
      <c r="G266" s="3">
        <v>0.70138888888888884</v>
      </c>
      <c r="H266" s="3">
        <v>0.70763888888888893</v>
      </c>
      <c r="I266" s="1">
        <v>9</v>
      </c>
      <c r="J266" s="1">
        <v>12</v>
      </c>
      <c r="K266" s="1" t="s">
        <v>18</v>
      </c>
      <c r="L266" s="1" t="s">
        <v>19</v>
      </c>
      <c r="M266" s="1">
        <v>606</v>
      </c>
    </row>
    <row r="267" spans="1:13" x14ac:dyDescent="0.35">
      <c r="A267" s="1" t="s">
        <v>561</v>
      </c>
      <c r="B267" s="2">
        <v>45986</v>
      </c>
      <c r="C267" s="1" t="s">
        <v>562</v>
      </c>
      <c r="D267" s="1" t="s">
        <v>41</v>
      </c>
      <c r="E267" s="1" t="s">
        <v>44</v>
      </c>
      <c r="F267" s="1" t="s">
        <v>17</v>
      </c>
      <c r="G267" s="3">
        <v>0.25</v>
      </c>
      <c r="H267" s="3">
        <v>0.25347222222222221</v>
      </c>
      <c r="I267" s="1">
        <v>5</v>
      </c>
      <c r="J267" s="1">
        <v>3</v>
      </c>
      <c r="K267" s="1" t="s">
        <v>18</v>
      </c>
      <c r="L267" s="1" t="s">
        <v>19</v>
      </c>
      <c r="M267" s="1">
        <v>1260</v>
      </c>
    </row>
    <row r="268" spans="1:13" x14ac:dyDescent="0.35">
      <c r="A268" s="1" t="s">
        <v>563</v>
      </c>
      <c r="B268" s="2">
        <v>45986</v>
      </c>
      <c r="C268" s="1" t="s">
        <v>167</v>
      </c>
      <c r="D268" s="1" t="s">
        <v>50</v>
      </c>
      <c r="E268" s="1" t="s">
        <v>27</v>
      </c>
      <c r="F268" s="1" t="s">
        <v>17</v>
      </c>
      <c r="G268" s="3">
        <v>0.28819444444444442</v>
      </c>
      <c r="H268" s="3">
        <v>0.29375000000000001</v>
      </c>
      <c r="I268" s="1">
        <v>8</v>
      </c>
      <c r="J268" s="1">
        <v>18</v>
      </c>
      <c r="K268" s="1"/>
      <c r="L268" s="1" t="s">
        <v>19</v>
      </c>
      <c r="M268" s="1">
        <v>730</v>
      </c>
    </row>
    <row r="269" spans="1:13" x14ac:dyDescent="0.35">
      <c r="A269" s="1" t="s">
        <v>564</v>
      </c>
      <c r="B269" s="2">
        <v>45986</v>
      </c>
      <c r="C269" s="1" t="s">
        <v>565</v>
      </c>
      <c r="D269" s="1" t="s">
        <v>47</v>
      </c>
      <c r="E269" s="1" t="s">
        <v>16</v>
      </c>
      <c r="F269" s="1" t="s">
        <v>17</v>
      </c>
      <c r="G269" s="3">
        <v>0.37847222222222221</v>
      </c>
      <c r="H269" s="3">
        <v>0.38263888888888892</v>
      </c>
      <c r="I269" s="1">
        <v>6</v>
      </c>
      <c r="J269" s="1">
        <v>9</v>
      </c>
      <c r="K269" s="1"/>
      <c r="L269" s="1" t="s">
        <v>19</v>
      </c>
      <c r="M269" s="1">
        <v>1842</v>
      </c>
    </row>
    <row r="270" spans="1:13" x14ac:dyDescent="0.35">
      <c r="A270" s="1" t="s">
        <v>566</v>
      </c>
      <c r="B270" s="2">
        <v>45986</v>
      </c>
      <c r="C270" s="1" t="s">
        <v>567</v>
      </c>
      <c r="D270" s="1" t="s">
        <v>22</v>
      </c>
      <c r="E270" s="1" t="s">
        <v>37</v>
      </c>
      <c r="F270" s="1" t="s">
        <v>28</v>
      </c>
      <c r="G270" s="3">
        <v>0.4861111111111111</v>
      </c>
      <c r="H270" s="3">
        <v>0.48819444444444438</v>
      </c>
      <c r="I270" s="1">
        <v>3</v>
      </c>
      <c r="J270" s="1">
        <v>-1</v>
      </c>
      <c r="K270" s="1" t="s">
        <v>18</v>
      </c>
      <c r="L270" s="1" t="s">
        <v>19</v>
      </c>
      <c r="M270" s="1">
        <v>2415</v>
      </c>
    </row>
    <row r="271" spans="1:13" x14ac:dyDescent="0.35">
      <c r="A271" s="1" t="s">
        <v>568</v>
      </c>
      <c r="B271" s="2">
        <v>45987</v>
      </c>
      <c r="C271" s="1" t="s">
        <v>334</v>
      </c>
      <c r="D271" s="1" t="s">
        <v>50</v>
      </c>
      <c r="E271" s="1" t="s">
        <v>27</v>
      </c>
      <c r="F271" s="1" t="s">
        <v>38</v>
      </c>
      <c r="G271" s="3">
        <v>0.25347222222222221</v>
      </c>
      <c r="H271" s="3">
        <v>0.2479166666666667</v>
      </c>
      <c r="I271" s="1">
        <v>-8</v>
      </c>
      <c r="J271" s="1">
        <v>-13</v>
      </c>
      <c r="K271" s="1" t="s">
        <v>18</v>
      </c>
      <c r="L271" s="1" t="s">
        <v>19</v>
      </c>
      <c r="M271" s="1">
        <v>730</v>
      </c>
    </row>
    <row r="272" spans="1:13" x14ac:dyDescent="0.35">
      <c r="A272" s="1" t="s">
        <v>569</v>
      </c>
      <c r="B272" s="2">
        <v>45987</v>
      </c>
      <c r="C272" s="1" t="s">
        <v>570</v>
      </c>
      <c r="D272" s="1" t="s">
        <v>50</v>
      </c>
      <c r="E272" s="1" t="s">
        <v>15</v>
      </c>
      <c r="F272" s="1" t="s">
        <v>38</v>
      </c>
      <c r="G272" s="3">
        <v>0.54166666666666663</v>
      </c>
      <c r="H272" s="3">
        <v>0.55902777777777779</v>
      </c>
      <c r="I272" s="1">
        <v>25</v>
      </c>
      <c r="J272" s="1">
        <v>23</v>
      </c>
      <c r="K272" s="1" t="s">
        <v>54</v>
      </c>
      <c r="L272" s="1" t="s">
        <v>19</v>
      </c>
      <c r="M272" s="1">
        <v>1942</v>
      </c>
    </row>
    <row r="273" spans="1:13" x14ac:dyDescent="0.35">
      <c r="A273" s="1" t="s">
        <v>571</v>
      </c>
      <c r="B273" s="2">
        <v>45988</v>
      </c>
      <c r="C273" s="1" t="s">
        <v>186</v>
      </c>
      <c r="D273" s="1" t="s">
        <v>23</v>
      </c>
      <c r="E273" s="1" t="s">
        <v>22</v>
      </c>
      <c r="F273" s="1" t="s">
        <v>28</v>
      </c>
      <c r="G273" s="3">
        <v>0.54861111111111116</v>
      </c>
      <c r="H273" s="3">
        <v>0.5541666666666667</v>
      </c>
      <c r="I273" s="1">
        <v>8</v>
      </c>
      <c r="J273" s="1">
        <v>15</v>
      </c>
      <c r="K273" s="1" t="s">
        <v>18</v>
      </c>
      <c r="L273" s="1" t="s">
        <v>19</v>
      </c>
      <c r="M273" s="1">
        <v>1622</v>
      </c>
    </row>
    <row r="274" spans="1:13" x14ac:dyDescent="0.35">
      <c r="A274" s="1" t="s">
        <v>572</v>
      </c>
      <c r="B274" s="2">
        <v>45988</v>
      </c>
      <c r="C274" s="1" t="s">
        <v>573</v>
      </c>
      <c r="D274" s="1" t="s">
        <v>50</v>
      </c>
      <c r="E274" s="1" t="s">
        <v>22</v>
      </c>
      <c r="F274" s="1" t="s">
        <v>17</v>
      </c>
      <c r="G274" s="3">
        <v>0.5625</v>
      </c>
      <c r="H274" s="3">
        <v>0.56944444444444442</v>
      </c>
      <c r="I274" s="1">
        <v>10</v>
      </c>
      <c r="J274" s="1">
        <v>19</v>
      </c>
      <c r="K274" s="1"/>
      <c r="L274" s="1" t="s">
        <v>19</v>
      </c>
      <c r="M274" s="1">
        <v>759</v>
      </c>
    </row>
    <row r="275" spans="1:13" x14ac:dyDescent="0.35">
      <c r="A275" s="1" t="s">
        <v>574</v>
      </c>
      <c r="B275" s="2">
        <v>45989</v>
      </c>
      <c r="C275" s="1" t="s">
        <v>575</v>
      </c>
      <c r="D275" s="1" t="s">
        <v>22</v>
      </c>
      <c r="E275" s="1" t="s">
        <v>27</v>
      </c>
      <c r="F275" s="1" t="s">
        <v>38</v>
      </c>
      <c r="G275" s="3">
        <v>0.33333333333333331</v>
      </c>
      <c r="H275" s="3">
        <v>0.33124999999999999</v>
      </c>
      <c r="I275" s="1">
        <v>-3</v>
      </c>
      <c r="J275" s="1">
        <v>-12</v>
      </c>
      <c r="K275" s="1" t="s">
        <v>18</v>
      </c>
      <c r="L275" s="1" t="s">
        <v>19</v>
      </c>
      <c r="M275" s="1">
        <v>1389</v>
      </c>
    </row>
    <row r="276" spans="1:13" x14ac:dyDescent="0.35">
      <c r="A276" s="1" t="s">
        <v>576</v>
      </c>
      <c r="B276" s="2">
        <v>45989</v>
      </c>
      <c r="C276" s="1" t="s">
        <v>577</v>
      </c>
      <c r="D276" s="1" t="s">
        <v>27</v>
      </c>
      <c r="E276" s="1" t="s">
        <v>16</v>
      </c>
      <c r="F276" s="1" t="s">
        <v>28</v>
      </c>
      <c r="G276" s="3">
        <v>0.70833333333333337</v>
      </c>
      <c r="H276" s="3">
        <v>0.71527777777777779</v>
      </c>
      <c r="I276" s="1">
        <v>10</v>
      </c>
      <c r="J276" s="1">
        <v>3</v>
      </c>
      <c r="K276" s="1" t="s">
        <v>18</v>
      </c>
      <c r="L276" s="1" t="s">
        <v>19</v>
      </c>
      <c r="M276" s="1">
        <v>802</v>
      </c>
    </row>
    <row r="277" spans="1:13" x14ac:dyDescent="0.35">
      <c r="A277" s="1" t="s">
        <v>578</v>
      </c>
      <c r="B277" s="2">
        <v>45990</v>
      </c>
      <c r="C277" s="1" t="s">
        <v>579</v>
      </c>
      <c r="D277" s="1" t="s">
        <v>50</v>
      </c>
      <c r="E277" s="1" t="s">
        <v>44</v>
      </c>
      <c r="F277" s="1" t="s">
        <v>28</v>
      </c>
      <c r="G277" s="3">
        <v>0.31944444444444442</v>
      </c>
      <c r="H277" s="3">
        <v>0.31527777777777782</v>
      </c>
      <c r="I277" s="1">
        <v>-6</v>
      </c>
      <c r="J277" s="1">
        <v>3</v>
      </c>
      <c r="K277" s="1"/>
      <c r="L277" s="1" t="s">
        <v>19</v>
      </c>
      <c r="M277" s="1">
        <v>945</v>
      </c>
    </row>
    <row r="278" spans="1:13" x14ac:dyDescent="0.35">
      <c r="A278" s="1" t="s">
        <v>580</v>
      </c>
      <c r="B278" s="2">
        <v>45990</v>
      </c>
      <c r="C278" s="1" t="s">
        <v>581</v>
      </c>
      <c r="D278" s="1" t="s">
        <v>202</v>
      </c>
      <c r="E278" s="1" t="s">
        <v>16</v>
      </c>
      <c r="F278" s="1" t="s">
        <v>24</v>
      </c>
      <c r="G278" s="3">
        <v>0.63194444444444442</v>
      </c>
      <c r="H278" s="3">
        <v>0.62777777777777777</v>
      </c>
      <c r="I278" s="1">
        <v>-6</v>
      </c>
      <c r="J278" s="1">
        <v>-10</v>
      </c>
      <c r="K278" s="1" t="s">
        <v>18</v>
      </c>
      <c r="L278" s="1" t="s">
        <v>19</v>
      </c>
      <c r="M278" s="1">
        <v>1199</v>
      </c>
    </row>
    <row r="279" spans="1:13" x14ac:dyDescent="0.35">
      <c r="A279" s="1" t="s">
        <v>580</v>
      </c>
      <c r="B279" s="2">
        <v>45990</v>
      </c>
      <c r="C279" s="1" t="s">
        <v>581</v>
      </c>
      <c r="D279" s="1" t="s">
        <v>202</v>
      </c>
      <c r="E279" s="1" t="s">
        <v>16</v>
      </c>
      <c r="F279" s="1" t="s">
        <v>24</v>
      </c>
      <c r="G279" s="3">
        <v>0.63194444444444442</v>
      </c>
      <c r="H279" s="3">
        <v>0.62777777777777777</v>
      </c>
      <c r="I279" s="1">
        <v>-6</v>
      </c>
      <c r="J279" s="1">
        <v>-10</v>
      </c>
      <c r="K279" s="1" t="s">
        <v>18</v>
      </c>
      <c r="L279" s="1" t="s">
        <v>19</v>
      </c>
      <c r="M279" s="1">
        <v>1199</v>
      </c>
    </row>
    <row r="280" spans="1:13" x14ac:dyDescent="0.35">
      <c r="A280" s="1" t="s">
        <v>582</v>
      </c>
      <c r="B280" s="2">
        <v>45991</v>
      </c>
      <c r="C280" s="1" t="s">
        <v>583</v>
      </c>
      <c r="D280" s="1" t="s">
        <v>47</v>
      </c>
      <c r="E280" s="1" t="s">
        <v>16</v>
      </c>
      <c r="F280" s="1" t="s">
        <v>17</v>
      </c>
      <c r="G280" s="3">
        <v>0.4861111111111111</v>
      </c>
      <c r="H280" s="3">
        <v>0.48888888888888887</v>
      </c>
      <c r="I280" s="1">
        <v>4</v>
      </c>
      <c r="J280" s="1">
        <v>-6</v>
      </c>
      <c r="K280" s="1" t="s">
        <v>18</v>
      </c>
      <c r="L280" s="1" t="s">
        <v>19</v>
      </c>
      <c r="M280" s="1">
        <v>1842</v>
      </c>
    </row>
    <row r="281" spans="1:13" x14ac:dyDescent="0.35">
      <c r="A281" s="1" t="s">
        <v>584</v>
      </c>
      <c r="B281" s="2">
        <v>45991</v>
      </c>
      <c r="C281" s="1" t="s">
        <v>585</v>
      </c>
      <c r="D281" s="1" t="s">
        <v>50</v>
      </c>
      <c r="E281" s="1" t="s">
        <v>15</v>
      </c>
      <c r="F281" s="1" t="s">
        <v>24</v>
      </c>
      <c r="G281" s="3">
        <v>0.61458333333333337</v>
      </c>
      <c r="H281" s="3">
        <v>0.61111111111111116</v>
      </c>
      <c r="I281" s="1">
        <v>-5</v>
      </c>
      <c r="J281" s="1">
        <v>4</v>
      </c>
      <c r="K281" s="1" t="s">
        <v>18</v>
      </c>
      <c r="L281" s="1" t="s">
        <v>19</v>
      </c>
      <c r="M281" s="1">
        <v>1942</v>
      </c>
    </row>
    <row r="282" spans="1:13" x14ac:dyDescent="0.35">
      <c r="A282" s="1" t="s">
        <v>586</v>
      </c>
      <c r="B282" s="2">
        <v>45991</v>
      </c>
      <c r="C282" s="1" t="s">
        <v>587</v>
      </c>
      <c r="D282" s="1" t="s">
        <v>588</v>
      </c>
      <c r="E282" s="1" t="s">
        <v>31</v>
      </c>
      <c r="F282" s="1" t="s">
        <v>24</v>
      </c>
      <c r="G282" s="3">
        <v>0.8125</v>
      </c>
      <c r="H282" s="3">
        <v>0.81527777777777777</v>
      </c>
      <c r="I282" s="1">
        <v>4</v>
      </c>
      <c r="J282" s="1">
        <v>6</v>
      </c>
      <c r="K282" s="1"/>
      <c r="L282" s="1" t="s">
        <v>19</v>
      </c>
      <c r="M282" s="1">
        <v>1053</v>
      </c>
    </row>
    <row r="283" spans="1:13" x14ac:dyDescent="0.35">
      <c r="A283" s="1" t="s">
        <v>589</v>
      </c>
      <c r="B283" s="2">
        <v>45992</v>
      </c>
      <c r="C283" s="1" t="s">
        <v>501</v>
      </c>
      <c r="D283" s="1" t="s">
        <v>50</v>
      </c>
      <c r="E283" s="1" t="s">
        <v>16</v>
      </c>
      <c r="F283" s="1" t="s">
        <v>38</v>
      </c>
      <c r="G283" s="3">
        <v>0.30555555555555558</v>
      </c>
      <c r="H283" s="3">
        <v>0.31805555555555548</v>
      </c>
      <c r="I283" s="1">
        <v>18</v>
      </c>
      <c r="J283" s="1">
        <v>14</v>
      </c>
      <c r="K283" s="1" t="s">
        <v>303</v>
      </c>
      <c r="L283" s="1" t="s">
        <v>19</v>
      </c>
      <c r="M283" s="1">
        <v>606</v>
      </c>
    </row>
    <row r="284" spans="1:13" x14ac:dyDescent="0.35">
      <c r="A284" s="1" t="s">
        <v>590</v>
      </c>
      <c r="B284" s="2">
        <v>45992</v>
      </c>
      <c r="C284" s="1" t="s">
        <v>180</v>
      </c>
      <c r="D284" s="1" t="s">
        <v>591</v>
      </c>
      <c r="E284" s="1" t="s">
        <v>50</v>
      </c>
      <c r="F284" s="1" t="s">
        <v>28</v>
      </c>
      <c r="G284" s="3">
        <v>0.36805555555555558</v>
      </c>
      <c r="H284" s="3">
        <v>0.38611111111111113</v>
      </c>
      <c r="I284" s="1">
        <v>26</v>
      </c>
      <c r="J284" s="1">
        <v>29</v>
      </c>
      <c r="K284" s="1" t="s">
        <v>303</v>
      </c>
      <c r="L284" s="1" t="s">
        <v>19</v>
      </c>
      <c r="M284" s="1">
        <v>730</v>
      </c>
    </row>
    <row r="285" spans="1:13" x14ac:dyDescent="0.35">
      <c r="A285" s="1" t="s">
        <v>592</v>
      </c>
      <c r="B285" s="2">
        <v>45993</v>
      </c>
      <c r="C285" s="1" t="s">
        <v>169</v>
      </c>
      <c r="D285" s="1" t="s">
        <v>50</v>
      </c>
      <c r="E285" s="1" t="s">
        <v>15</v>
      </c>
      <c r="F285" s="1" t="s">
        <v>24</v>
      </c>
      <c r="G285" s="3">
        <v>0.34375</v>
      </c>
      <c r="H285" s="3">
        <v>0.34722222222222221</v>
      </c>
      <c r="I285" s="1">
        <v>5</v>
      </c>
      <c r="J285" s="1">
        <v>11</v>
      </c>
      <c r="K285" s="1" t="s">
        <v>18</v>
      </c>
      <c r="L285" s="1" t="s">
        <v>19</v>
      </c>
      <c r="M285" s="1">
        <v>1942</v>
      </c>
    </row>
    <row r="286" spans="1:13" x14ac:dyDescent="0.35">
      <c r="A286" s="1" t="s">
        <v>593</v>
      </c>
      <c r="B286" s="2">
        <v>45993</v>
      </c>
      <c r="C286" s="1" t="s">
        <v>594</v>
      </c>
      <c r="D286" s="1" t="s">
        <v>16</v>
      </c>
      <c r="E286" s="1" t="s">
        <v>50</v>
      </c>
      <c r="F286" s="1" t="s">
        <v>17</v>
      </c>
      <c r="G286" s="3">
        <v>0.59375</v>
      </c>
      <c r="H286" s="3">
        <v>0.59722222222222221</v>
      </c>
      <c r="I286" s="1">
        <v>5</v>
      </c>
      <c r="J286" s="1">
        <v>-6</v>
      </c>
      <c r="K286" s="1" t="s">
        <v>18</v>
      </c>
      <c r="L286" s="1" t="s">
        <v>19</v>
      </c>
      <c r="M286" s="1">
        <v>606</v>
      </c>
    </row>
    <row r="287" spans="1:13" x14ac:dyDescent="0.35">
      <c r="A287" s="1" t="s">
        <v>595</v>
      </c>
      <c r="B287" s="2">
        <v>45993</v>
      </c>
      <c r="C287" s="1" t="s">
        <v>596</v>
      </c>
      <c r="D287" s="1" t="s">
        <v>47</v>
      </c>
      <c r="E287" s="1" t="s">
        <v>50</v>
      </c>
      <c r="F287" s="1" t="s">
        <v>24</v>
      </c>
      <c r="G287" s="3">
        <v>0.66319444444444442</v>
      </c>
      <c r="H287" s="3">
        <v>0.67083333333333328</v>
      </c>
      <c r="I287" s="1">
        <v>11</v>
      </c>
      <c r="J287" s="1">
        <v>12</v>
      </c>
      <c r="K287" s="1" t="s">
        <v>18</v>
      </c>
      <c r="L287" s="1" t="s">
        <v>19</v>
      </c>
      <c r="M287" s="1">
        <v>2134</v>
      </c>
    </row>
    <row r="288" spans="1:13" x14ac:dyDescent="0.35">
      <c r="A288" s="1" t="s">
        <v>597</v>
      </c>
      <c r="B288" s="2">
        <v>45993</v>
      </c>
      <c r="C288" s="1" t="s">
        <v>598</v>
      </c>
      <c r="D288" s="1" t="s">
        <v>50</v>
      </c>
      <c r="E288" s="1" t="s">
        <v>31</v>
      </c>
      <c r="F288" s="1" t="s">
        <v>17</v>
      </c>
      <c r="G288" s="3">
        <v>0.77430555555555558</v>
      </c>
      <c r="H288" s="3">
        <v>0.77083333333333337</v>
      </c>
      <c r="I288" s="1">
        <v>-5</v>
      </c>
      <c r="J288" s="1">
        <v>-12</v>
      </c>
      <c r="K288" s="1" t="s">
        <v>18</v>
      </c>
      <c r="L288" s="1" t="s">
        <v>19</v>
      </c>
      <c r="M288" s="1">
        <v>1743</v>
      </c>
    </row>
    <row r="289" spans="1:13" x14ac:dyDescent="0.35">
      <c r="A289" s="1" t="s">
        <v>599</v>
      </c>
      <c r="B289" s="2">
        <v>45993</v>
      </c>
      <c r="C289" s="1" t="s">
        <v>600</v>
      </c>
      <c r="D289" s="1" t="s">
        <v>591</v>
      </c>
      <c r="E289" s="1" t="s">
        <v>16</v>
      </c>
      <c r="F289" s="1" t="s">
        <v>24</v>
      </c>
      <c r="G289" s="3">
        <v>0.875</v>
      </c>
      <c r="H289" s="3">
        <v>0.9375</v>
      </c>
      <c r="I289" s="1">
        <v>90</v>
      </c>
      <c r="J289" s="1">
        <v>95</v>
      </c>
      <c r="K289" s="1" t="s">
        <v>54</v>
      </c>
      <c r="L289" s="1" t="s">
        <v>19</v>
      </c>
      <c r="M289" s="1">
        <v>802</v>
      </c>
    </row>
    <row r="290" spans="1:13" x14ac:dyDescent="0.35">
      <c r="A290" s="1" t="s">
        <v>601</v>
      </c>
      <c r="B290" s="2">
        <v>45994</v>
      </c>
      <c r="C290" s="1" t="s">
        <v>265</v>
      </c>
      <c r="D290" s="1" t="s">
        <v>16</v>
      </c>
      <c r="E290" s="1" t="s">
        <v>41</v>
      </c>
      <c r="F290" s="1" t="s">
        <v>28</v>
      </c>
      <c r="G290" s="3">
        <v>0.39930555555555558</v>
      </c>
      <c r="H290" s="3">
        <v>0.39444444444444438</v>
      </c>
      <c r="I290" s="1">
        <v>-7</v>
      </c>
      <c r="J290" s="1">
        <v>-2</v>
      </c>
      <c r="K290" s="1" t="s">
        <v>18</v>
      </c>
      <c r="L290" s="1" t="s">
        <v>19</v>
      </c>
      <c r="M290" s="1">
        <v>1199</v>
      </c>
    </row>
    <row r="291" spans="1:13" x14ac:dyDescent="0.35">
      <c r="A291" s="1" t="s">
        <v>602</v>
      </c>
      <c r="B291" s="2">
        <v>45994</v>
      </c>
      <c r="C291" s="1" t="s">
        <v>603</v>
      </c>
      <c r="D291" s="1" t="s">
        <v>50</v>
      </c>
      <c r="E291" s="1" t="s">
        <v>16</v>
      </c>
      <c r="F291" s="1" t="s">
        <v>38</v>
      </c>
      <c r="G291" s="3">
        <v>0.90277777777777779</v>
      </c>
      <c r="H291" s="3">
        <v>0.89722222222222225</v>
      </c>
      <c r="I291" s="1">
        <v>-8</v>
      </c>
      <c r="J291" s="1">
        <v>1</v>
      </c>
      <c r="K291" s="1"/>
      <c r="L291" s="1" t="s">
        <v>19</v>
      </c>
      <c r="M291" s="1">
        <v>606</v>
      </c>
    </row>
    <row r="292" spans="1:13" x14ac:dyDescent="0.35">
      <c r="A292" s="1" t="s">
        <v>604</v>
      </c>
      <c r="B292" s="2">
        <v>45995</v>
      </c>
      <c r="C292" s="1" t="s">
        <v>605</v>
      </c>
      <c r="D292" s="1" t="s">
        <v>23</v>
      </c>
      <c r="E292" s="1" t="s">
        <v>27</v>
      </c>
      <c r="F292" s="1" t="s">
        <v>28</v>
      </c>
      <c r="G292" s="3">
        <v>0.85416666666666663</v>
      </c>
      <c r="H292" s="1"/>
      <c r="I292" s="1">
        <v>4</v>
      </c>
      <c r="J292" s="1">
        <v>-5</v>
      </c>
      <c r="K292" s="1" t="s">
        <v>18</v>
      </c>
      <c r="L292" s="1" t="s">
        <v>19</v>
      </c>
      <c r="M292" s="1">
        <v>641</v>
      </c>
    </row>
    <row r="293" spans="1:13" x14ac:dyDescent="0.35">
      <c r="A293" s="1" t="s">
        <v>606</v>
      </c>
      <c r="B293" s="2">
        <v>45996</v>
      </c>
      <c r="C293" s="1" t="s">
        <v>607</v>
      </c>
      <c r="D293" s="1" t="s">
        <v>37</v>
      </c>
      <c r="E293" s="1" t="s">
        <v>15</v>
      </c>
      <c r="F293" s="1" t="s">
        <v>17</v>
      </c>
      <c r="G293" s="3">
        <v>0.25347222222222221</v>
      </c>
      <c r="H293" s="3">
        <v>0.31666666666666671</v>
      </c>
      <c r="I293" s="1">
        <v>91</v>
      </c>
      <c r="J293" s="1">
        <v>82</v>
      </c>
      <c r="K293" s="1" t="s">
        <v>276</v>
      </c>
      <c r="L293" s="1" t="s">
        <v>19</v>
      </c>
      <c r="M293" s="1">
        <v>955</v>
      </c>
    </row>
    <row r="294" spans="1:13" x14ac:dyDescent="0.35">
      <c r="A294" s="1" t="s">
        <v>608</v>
      </c>
      <c r="B294" s="2">
        <v>45996</v>
      </c>
      <c r="C294" s="1" t="s">
        <v>609</v>
      </c>
      <c r="D294" s="1" t="s">
        <v>27</v>
      </c>
      <c r="E294" s="1" t="s">
        <v>44</v>
      </c>
      <c r="F294" s="1" t="s">
        <v>17</v>
      </c>
      <c r="G294" s="3">
        <v>0.58680555555555558</v>
      </c>
      <c r="H294" s="3">
        <v>0.5854166666666667</v>
      </c>
      <c r="I294" s="1">
        <v>-2</v>
      </c>
      <c r="J294" s="1">
        <v>3</v>
      </c>
      <c r="K294" s="1" t="s">
        <v>18</v>
      </c>
      <c r="L294" s="1" t="s">
        <v>19</v>
      </c>
      <c r="M294" s="1">
        <v>1559</v>
      </c>
    </row>
    <row r="295" spans="1:13" x14ac:dyDescent="0.35">
      <c r="A295" s="1" t="s">
        <v>610</v>
      </c>
      <c r="B295" s="2">
        <v>45996</v>
      </c>
      <c r="C295" s="1" t="s">
        <v>611</v>
      </c>
      <c r="D295" s="1" t="s">
        <v>41</v>
      </c>
      <c r="E295" s="1" t="s">
        <v>16</v>
      </c>
      <c r="F295" s="1" t="s">
        <v>17</v>
      </c>
      <c r="G295" s="3">
        <v>0.74652777777777779</v>
      </c>
      <c r="H295" s="3">
        <v>0.80208333333333337</v>
      </c>
      <c r="I295" s="1">
        <v>80</v>
      </c>
      <c r="J295" s="1">
        <v>78</v>
      </c>
      <c r="K295" s="1" t="s">
        <v>129</v>
      </c>
      <c r="L295" s="1" t="s">
        <v>19</v>
      </c>
      <c r="M295" s="1">
        <v>1199</v>
      </c>
    </row>
    <row r="296" spans="1:13" x14ac:dyDescent="0.35">
      <c r="A296" s="1" t="s">
        <v>612</v>
      </c>
      <c r="B296" s="2">
        <v>45997</v>
      </c>
      <c r="C296" s="1" t="s">
        <v>613</v>
      </c>
      <c r="D296" s="1" t="s">
        <v>16</v>
      </c>
      <c r="E296" s="1" t="s">
        <v>27</v>
      </c>
      <c r="F296" s="1" t="s">
        <v>17</v>
      </c>
      <c r="G296" s="3">
        <v>0.51736111111111116</v>
      </c>
      <c r="H296" s="3">
        <v>0.51527777777777772</v>
      </c>
      <c r="I296" s="1">
        <v>-3</v>
      </c>
      <c r="J296" s="1">
        <v>-2</v>
      </c>
      <c r="K296" s="1" t="s">
        <v>18</v>
      </c>
      <c r="L296" s="1" t="s">
        <v>19</v>
      </c>
      <c r="M296" s="1">
        <v>802</v>
      </c>
    </row>
    <row r="297" spans="1:13" x14ac:dyDescent="0.35">
      <c r="A297" s="1" t="s">
        <v>614</v>
      </c>
      <c r="B297" s="2">
        <v>45998</v>
      </c>
      <c r="C297" s="1" t="s">
        <v>353</v>
      </c>
      <c r="D297" s="1" t="s">
        <v>591</v>
      </c>
      <c r="E297" s="1" t="s">
        <v>16</v>
      </c>
      <c r="F297" s="1" t="s">
        <v>24</v>
      </c>
      <c r="G297" s="3">
        <v>0.2673611111111111</v>
      </c>
      <c r="H297" s="3">
        <v>0.27291666666666659</v>
      </c>
      <c r="I297" s="1">
        <v>8</v>
      </c>
      <c r="J297" s="1">
        <v>-3</v>
      </c>
      <c r="K297" s="1" t="s">
        <v>18</v>
      </c>
      <c r="L297" s="1" t="s">
        <v>19</v>
      </c>
      <c r="M297" s="1">
        <v>802</v>
      </c>
    </row>
    <row r="298" spans="1:13" x14ac:dyDescent="0.35">
      <c r="A298" s="1" t="s">
        <v>615</v>
      </c>
      <c r="B298" s="2">
        <v>45998</v>
      </c>
      <c r="C298" s="1" t="s">
        <v>616</v>
      </c>
      <c r="D298" s="1" t="s">
        <v>50</v>
      </c>
      <c r="E298" s="1" t="s">
        <v>47</v>
      </c>
      <c r="F298" s="1" t="s">
        <v>38</v>
      </c>
      <c r="G298" s="3">
        <v>0.60069444444444442</v>
      </c>
      <c r="H298" s="3">
        <v>0.65416666666666667</v>
      </c>
      <c r="I298" s="1">
        <v>77</v>
      </c>
      <c r="J298" s="1">
        <v>75</v>
      </c>
      <c r="K298" s="1" t="s">
        <v>617</v>
      </c>
      <c r="L298" s="1" t="s">
        <v>19</v>
      </c>
      <c r="M298" s="1">
        <v>2134</v>
      </c>
    </row>
    <row r="299" spans="1:13" x14ac:dyDescent="0.35">
      <c r="A299" s="1" t="s">
        <v>618</v>
      </c>
      <c r="B299" s="2">
        <v>45999</v>
      </c>
      <c r="C299" s="1" t="s">
        <v>619</v>
      </c>
      <c r="D299" s="1" t="s">
        <v>23</v>
      </c>
      <c r="E299" s="1" t="s">
        <v>27</v>
      </c>
      <c r="F299" s="1" t="s">
        <v>17</v>
      </c>
      <c r="G299" s="3">
        <v>0.40972222222222221</v>
      </c>
      <c r="H299" s="3">
        <v>0.4152777777777778</v>
      </c>
      <c r="I299" s="1">
        <v>8</v>
      </c>
      <c r="J299" s="1">
        <v>-2</v>
      </c>
      <c r="K299" s="1" t="s">
        <v>18</v>
      </c>
      <c r="L299" s="1" t="s">
        <v>19</v>
      </c>
      <c r="M299" s="1">
        <v>641</v>
      </c>
    </row>
    <row r="300" spans="1:13" x14ac:dyDescent="0.35">
      <c r="A300" s="1" t="s">
        <v>620</v>
      </c>
      <c r="B300" s="2">
        <v>45999</v>
      </c>
      <c r="C300" s="1" t="s">
        <v>621</v>
      </c>
      <c r="D300" s="1" t="s">
        <v>15</v>
      </c>
      <c r="E300" s="1" t="s">
        <v>37</v>
      </c>
      <c r="F300" s="1" t="s">
        <v>38</v>
      </c>
      <c r="G300" s="3">
        <v>0.50694444444444442</v>
      </c>
      <c r="H300" s="3">
        <v>0.5131944444444444</v>
      </c>
      <c r="I300" s="1">
        <v>9</v>
      </c>
      <c r="J300" s="1">
        <v>14</v>
      </c>
      <c r="K300" s="1" t="s">
        <v>18</v>
      </c>
      <c r="L300" s="1" t="s">
        <v>19</v>
      </c>
      <c r="M300" s="1">
        <v>955</v>
      </c>
    </row>
    <row r="301" spans="1:13" x14ac:dyDescent="0.35">
      <c r="A301" s="1" t="s">
        <v>622</v>
      </c>
      <c r="B301" s="2">
        <v>45999</v>
      </c>
      <c r="C301" s="1" t="s">
        <v>468</v>
      </c>
      <c r="D301" s="1" t="s">
        <v>47</v>
      </c>
      <c r="E301" s="1" t="s">
        <v>31</v>
      </c>
      <c r="F301" s="1" t="s">
        <v>17</v>
      </c>
      <c r="G301" s="3">
        <v>0.51041666666666663</v>
      </c>
      <c r="H301" s="3">
        <v>0.51180555555555551</v>
      </c>
      <c r="I301" s="1">
        <v>2</v>
      </c>
      <c r="J301" s="1">
        <v>3</v>
      </c>
      <c r="K301" s="1" t="s">
        <v>18</v>
      </c>
      <c r="L301" s="1" t="s">
        <v>19</v>
      </c>
      <c r="M301" s="1">
        <v>414</v>
      </c>
    </row>
    <row r="302" spans="1:13" x14ac:dyDescent="0.35">
      <c r="A302" s="1" t="s">
        <v>623</v>
      </c>
      <c r="B302" s="2">
        <v>45999</v>
      </c>
      <c r="C302" s="1" t="s">
        <v>442</v>
      </c>
      <c r="D302" s="1" t="s">
        <v>50</v>
      </c>
      <c r="E302" s="1" t="s">
        <v>214</v>
      </c>
      <c r="F302" s="1" t="s">
        <v>17</v>
      </c>
      <c r="G302" s="3">
        <v>0.61805555555555558</v>
      </c>
      <c r="H302" s="3">
        <v>0.62291666666666667</v>
      </c>
      <c r="I302" s="1">
        <v>7</v>
      </c>
      <c r="J302" s="1">
        <v>12</v>
      </c>
      <c r="K302" s="1" t="s">
        <v>18</v>
      </c>
      <c r="L302" s="1" t="s">
        <v>19</v>
      </c>
      <c r="M302" s="1">
        <v>1197</v>
      </c>
    </row>
    <row r="303" spans="1:13" x14ac:dyDescent="0.35">
      <c r="A303" s="1" t="s">
        <v>624</v>
      </c>
      <c r="B303" s="2">
        <v>45999</v>
      </c>
      <c r="C303" s="1" t="s">
        <v>559</v>
      </c>
      <c r="D303" s="1" t="s">
        <v>27</v>
      </c>
      <c r="E303" s="1" t="s">
        <v>47</v>
      </c>
      <c r="F303" s="1" t="s">
        <v>38</v>
      </c>
      <c r="G303" s="3">
        <v>0.73958333333333337</v>
      </c>
      <c r="H303" s="3">
        <v>0.7416666666666667</v>
      </c>
      <c r="I303" s="1">
        <v>3</v>
      </c>
      <c r="J303" s="1">
        <v>7</v>
      </c>
      <c r="K303" s="1" t="s">
        <v>18</v>
      </c>
      <c r="L303" s="1" t="s">
        <v>19</v>
      </c>
      <c r="M303" s="1">
        <v>1462</v>
      </c>
    </row>
    <row r="304" spans="1:13" x14ac:dyDescent="0.35">
      <c r="A304" s="1" t="s">
        <v>625</v>
      </c>
      <c r="B304" s="2">
        <v>45999</v>
      </c>
      <c r="C304" s="1" t="s">
        <v>626</v>
      </c>
      <c r="D304" s="1" t="s">
        <v>15</v>
      </c>
      <c r="E304" s="1" t="s">
        <v>50</v>
      </c>
      <c r="F304" s="1" t="s">
        <v>28</v>
      </c>
      <c r="G304" s="3">
        <v>0.94097222222222221</v>
      </c>
      <c r="H304" s="3">
        <v>0.94930555555555551</v>
      </c>
      <c r="I304" s="1">
        <v>12</v>
      </c>
      <c r="J304" s="1">
        <v>16</v>
      </c>
      <c r="K304" s="1" t="s">
        <v>18</v>
      </c>
      <c r="L304" s="1" t="s">
        <v>19</v>
      </c>
      <c r="M304" s="1">
        <v>1942</v>
      </c>
    </row>
    <row r="305" spans="1:13" x14ac:dyDescent="0.35">
      <c r="A305" s="1" t="s">
        <v>627</v>
      </c>
      <c r="B305" s="2">
        <v>46000</v>
      </c>
      <c r="C305" s="1" t="s">
        <v>628</v>
      </c>
      <c r="D305" s="1" t="s">
        <v>47</v>
      </c>
      <c r="E305" s="1" t="s">
        <v>629</v>
      </c>
      <c r="F305" s="1" t="s">
        <v>24</v>
      </c>
      <c r="G305" s="3">
        <v>0.37152777777777779</v>
      </c>
      <c r="H305" s="3">
        <v>0.37847222222222221</v>
      </c>
      <c r="I305" s="1">
        <v>10</v>
      </c>
      <c r="J305" s="1">
        <v>10</v>
      </c>
      <c r="K305" s="1" t="s">
        <v>18</v>
      </c>
      <c r="L305" s="1" t="s">
        <v>19</v>
      </c>
      <c r="M305" s="1">
        <v>651</v>
      </c>
    </row>
    <row r="306" spans="1:13" x14ac:dyDescent="0.35">
      <c r="A306" s="1" t="s">
        <v>630</v>
      </c>
      <c r="B306" s="2">
        <v>46000</v>
      </c>
      <c r="C306" s="1" t="s">
        <v>631</v>
      </c>
      <c r="D306" s="1" t="s">
        <v>16</v>
      </c>
      <c r="E306" s="1" t="s">
        <v>23</v>
      </c>
      <c r="F306" s="1" t="s">
        <v>17</v>
      </c>
      <c r="G306" s="3">
        <v>0.625</v>
      </c>
      <c r="H306" s="3">
        <v>0.67152777777777772</v>
      </c>
      <c r="I306" s="1">
        <v>67</v>
      </c>
      <c r="J306" s="1">
        <v>60</v>
      </c>
      <c r="K306" s="1" t="s">
        <v>54</v>
      </c>
      <c r="L306" s="1" t="s">
        <v>19</v>
      </c>
      <c r="M306" s="1">
        <v>886</v>
      </c>
    </row>
    <row r="307" spans="1:13" x14ac:dyDescent="0.35">
      <c r="A307" s="1" t="s">
        <v>632</v>
      </c>
      <c r="B307" s="2">
        <v>46000</v>
      </c>
      <c r="C307" s="1" t="s">
        <v>633</v>
      </c>
      <c r="D307" s="1" t="s">
        <v>202</v>
      </c>
      <c r="E307" s="1" t="s">
        <v>37</v>
      </c>
      <c r="F307" s="1" t="s">
        <v>28</v>
      </c>
      <c r="G307" s="3">
        <v>0.68055555555555558</v>
      </c>
      <c r="H307" s="3">
        <v>0.67777777777777781</v>
      </c>
      <c r="I307" s="1">
        <v>-4</v>
      </c>
      <c r="J307" s="1">
        <v>-13</v>
      </c>
      <c r="K307" s="1" t="s">
        <v>18</v>
      </c>
      <c r="L307" s="1" t="s">
        <v>19</v>
      </c>
      <c r="M307" s="1">
        <v>2722</v>
      </c>
    </row>
    <row r="308" spans="1:13" x14ac:dyDescent="0.35">
      <c r="A308" s="1" t="s">
        <v>634</v>
      </c>
      <c r="B308" s="2">
        <v>46001</v>
      </c>
      <c r="C308" s="1" t="s">
        <v>452</v>
      </c>
      <c r="D308" s="1" t="s">
        <v>413</v>
      </c>
      <c r="E308" s="1" t="s">
        <v>16</v>
      </c>
      <c r="F308" s="1" t="s">
        <v>24</v>
      </c>
      <c r="G308" s="3">
        <v>0.34722222222222221</v>
      </c>
      <c r="H308" s="3">
        <v>0.35208333333333341</v>
      </c>
      <c r="I308" s="1">
        <v>7</v>
      </c>
      <c r="J308" s="1">
        <v>16</v>
      </c>
      <c r="K308" s="1" t="s">
        <v>18</v>
      </c>
      <c r="L308" s="1" t="s">
        <v>19</v>
      </c>
      <c r="M308" s="1">
        <v>1742</v>
      </c>
    </row>
    <row r="309" spans="1:13" x14ac:dyDescent="0.35">
      <c r="A309" s="1" t="s">
        <v>635</v>
      </c>
      <c r="B309" s="2">
        <v>46001</v>
      </c>
      <c r="C309" s="1" t="s">
        <v>468</v>
      </c>
      <c r="D309" s="1" t="s">
        <v>27</v>
      </c>
      <c r="E309" s="1" t="s">
        <v>50</v>
      </c>
      <c r="F309" s="1" t="s">
        <v>17</v>
      </c>
      <c r="G309" s="3">
        <v>0.92361111111111116</v>
      </c>
      <c r="H309" s="3">
        <v>0.92986111111111114</v>
      </c>
      <c r="I309" s="1">
        <v>9</v>
      </c>
      <c r="J309" s="1">
        <v>18</v>
      </c>
      <c r="K309" s="1"/>
      <c r="L309" s="1" t="s">
        <v>19</v>
      </c>
      <c r="M309" s="1">
        <v>730</v>
      </c>
    </row>
    <row r="310" spans="1:13" x14ac:dyDescent="0.35">
      <c r="A310" s="1" t="s">
        <v>636</v>
      </c>
      <c r="B310" s="2">
        <v>46002</v>
      </c>
      <c r="C310" s="1" t="s">
        <v>637</v>
      </c>
      <c r="D310" s="1" t="s">
        <v>15</v>
      </c>
      <c r="E310" s="1" t="s">
        <v>47</v>
      </c>
      <c r="F310" s="1" t="s">
        <v>17</v>
      </c>
      <c r="G310" s="3">
        <v>0.2638888888888889</v>
      </c>
      <c r="H310" s="3">
        <v>0.37777777777777782</v>
      </c>
      <c r="I310" s="1">
        <v>164</v>
      </c>
      <c r="J310" s="1">
        <v>149</v>
      </c>
      <c r="K310" s="1" t="s">
        <v>263</v>
      </c>
      <c r="L310" s="1" t="s">
        <v>19</v>
      </c>
      <c r="M310" s="1">
        <v>338</v>
      </c>
    </row>
    <row r="311" spans="1:13" x14ac:dyDescent="0.35">
      <c r="A311" s="1" t="s">
        <v>638</v>
      </c>
      <c r="B311" s="2">
        <v>46003</v>
      </c>
      <c r="C311" s="1" t="s">
        <v>603</v>
      </c>
      <c r="D311" s="1" t="s">
        <v>546</v>
      </c>
      <c r="E311" s="1" t="s">
        <v>27</v>
      </c>
      <c r="F311" s="1" t="s">
        <v>17</v>
      </c>
      <c r="G311" s="3">
        <v>0.44097222222222221</v>
      </c>
      <c r="H311" s="3">
        <v>0.45833333333333331</v>
      </c>
      <c r="I311" s="1">
        <v>25</v>
      </c>
      <c r="J311" s="1">
        <v>26</v>
      </c>
      <c r="K311" s="1" t="s">
        <v>54</v>
      </c>
      <c r="L311" s="1" t="s">
        <v>19</v>
      </c>
      <c r="M311" s="1">
        <v>1053</v>
      </c>
    </row>
    <row r="312" spans="1:13" x14ac:dyDescent="0.35">
      <c r="A312" s="1" t="s">
        <v>639</v>
      </c>
      <c r="B312" s="2">
        <v>46003</v>
      </c>
      <c r="C312" s="1" t="s">
        <v>628</v>
      </c>
      <c r="D312" s="1" t="s">
        <v>16</v>
      </c>
      <c r="E312" s="1" t="s">
        <v>41</v>
      </c>
      <c r="F312" s="1" t="s">
        <v>17</v>
      </c>
      <c r="G312" s="3">
        <v>0.47569444444444442</v>
      </c>
      <c r="H312" s="3">
        <v>0.47083333333333333</v>
      </c>
      <c r="I312" s="1">
        <v>-7</v>
      </c>
      <c r="J312" s="1">
        <v>-11</v>
      </c>
      <c r="K312" s="1" t="s">
        <v>18</v>
      </c>
      <c r="L312" s="1" t="s">
        <v>19</v>
      </c>
      <c r="M312" s="1">
        <v>1199</v>
      </c>
    </row>
    <row r="313" spans="1:13" x14ac:dyDescent="0.35">
      <c r="A313" s="1" t="s">
        <v>640</v>
      </c>
      <c r="B313" s="2">
        <v>46003</v>
      </c>
      <c r="C313" s="1" t="s">
        <v>641</v>
      </c>
      <c r="D313" s="1" t="s">
        <v>41</v>
      </c>
      <c r="E313" s="1" t="s">
        <v>15</v>
      </c>
      <c r="F313" s="1" t="s">
        <v>24</v>
      </c>
      <c r="G313" s="3">
        <v>0.78125</v>
      </c>
      <c r="H313" s="3">
        <v>0.80625000000000002</v>
      </c>
      <c r="I313" s="1">
        <v>36</v>
      </c>
      <c r="J313" s="1">
        <v>33</v>
      </c>
      <c r="K313" s="1" t="s">
        <v>60</v>
      </c>
      <c r="L313" s="1" t="s">
        <v>19</v>
      </c>
      <c r="M313" s="1">
        <v>2338</v>
      </c>
    </row>
    <row r="314" spans="1:13" x14ac:dyDescent="0.35">
      <c r="A314" s="1" t="s">
        <v>642</v>
      </c>
      <c r="B314" s="2">
        <v>46004</v>
      </c>
      <c r="C314" s="1" t="s">
        <v>643</v>
      </c>
      <c r="D314" s="1" t="s">
        <v>16</v>
      </c>
      <c r="E314" s="1" t="s">
        <v>50</v>
      </c>
      <c r="F314" s="1" t="s">
        <v>38</v>
      </c>
      <c r="G314" s="3">
        <v>0.2673611111111111</v>
      </c>
      <c r="H314" s="3">
        <v>0.26944444444444438</v>
      </c>
      <c r="I314" s="1">
        <v>3</v>
      </c>
      <c r="J314" s="1">
        <v>7</v>
      </c>
      <c r="K314" s="1" t="s">
        <v>18</v>
      </c>
      <c r="L314" s="1" t="s">
        <v>19</v>
      </c>
      <c r="M314" s="1">
        <v>606</v>
      </c>
    </row>
    <row r="315" spans="1:13" x14ac:dyDescent="0.35">
      <c r="A315" s="1" t="s">
        <v>644</v>
      </c>
      <c r="B315" s="2">
        <v>46004</v>
      </c>
      <c r="C315" s="1" t="s">
        <v>645</v>
      </c>
      <c r="D315" s="1" t="s">
        <v>22</v>
      </c>
      <c r="E315" s="1" t="s">
        <v>50</v>
      </c>
      <c r="F315" s="1" t="s">
        <v>17</v>
      </c>
      <c r="G315" s="3">
        <v>0.31944444444444442</v>
      </c>
      <c r="H315" s="3">
        <v>0.32361111111111113</v>
      </c>
      <c r="I315" s="1">
        <v>6</v>
      </c>
      <c r="J315" s="1">
        <v>4</v>
      </c>
      <c r="K315" s="1"/>
      <c r="L315" s="1" t="s">
        <v>19</v>
      </c>
      <c r="M315" s="1">
        <v>759</v>
      </c>
    </row>
    <row r="316" spans="1:13" x14ac:dyDescent="0.35">
      <c r="A316" s="1" t="s">
        <v>646</v>
      </c>
      <c r="B316" s="2">
        <v>46004</v>
      </c>
      <c r="C316" s="1" t="s">
        <v>647</v>
      </c>
      <c r="D316" s="1" t="s">
        <v>79</v>
      </c>
      <c r="E316" s="1" t="s">
        <v>44</v>
      </c>
      <c r="F316" s="1" t="s">
        <v>24</v>
      </c>
      <c r="G316" s="3">
        <v>0.33333333333333331</v>
      </c>
      <c r="H316" s="3">
        <v>0.34444444444444439</v>
      </c>
      <c r="I316" s="1">
        <v>16</v>
      </c>
      <c r="J316" s="1">
        <v>15</v>
      </c>
      <c r="K316" s="1" t="s">
        <v>303</v>
      </c>
      <c r="L316" s="1" t="s">
        <v>19</v>
      </c>
      <c r="M316" s="1">
        <v>945</v>
      </c>
    </row>
    <row r="317" spans="1:13" x14ac:dyDescent="0.35">
      <c r="A317" s="1" t="s">
        <v>648</v>
      </c>
      <c r="B317" s="2">
        <v>46004</v>
      </c>
      <c r="C317" s="1" t="s">
        <v>649</v>
      </c>
      <c r="D317" s="1" t="s">
        <v>22</v>
      </c>
      <c r="E317" s="1" t="s">
        <v>27</v>
      </c>
      <c r="F317" s="1" t="s">
        <v>17</v>
      </c>
      <c r="G317" s="3">
        <v>0.69791666666666663</v>
      </c>
      <c r="H317" s="3">
        <v>0.69513888888888886</v>
      </c>
      <c r="I317" s="1">
        <v>-4</v>
      </c>
      <c r="J317" s="1">
        <v>-14</v>
      </c>
      <c r="K317" s="1"/>
      <c r="L317" s="1" t="s">
        <v>19</v>
      </c>
      <c r="M317" s="1">
        <v>1389</v>
      </c>
    </row>
    <row r="318" spans="1:13" x14ac:dyDescent="0.35">
      <c r="A318" s="1" t="s">
        <v>650</v>
      </c>
      <c r="B318" s="2">
        <v>46006</v>
      </c>
      <c r="C318" s="1" t="s">
        <v>651</v>
      </c>
      <c r="D318" s="1" t="s">
        <v>78</v>
      </c>
      <c r="E318" s="1" t="s">
        <v>23</v>
      </c>
      <c r="F318" s="1" t="s">
        <v>17</v>
      </c>
      <c r="G318" s="3">
        <v>0.25347222222222221</v>
      </c>
      <c r="H318" s="3">
        <v>0.25624999999999998</v>
      </c>
      <c r="I318" s="1">
        <v>4</v>
      </c>
      <c r="J318" s="1">
        <v>0</v>
      </c>
      <c r="K318" s="1"/>
      <c r="L318" s="1" t="s">
        <v>19</v>
      </c>
      <c r="M318" s="1">
        <v>602</v>
      </c>
    </row>
    <row r="319" spans="1:13" x14ac:dyDescent="0.35">
      <c r="A319" s="1" t="s">
        <v>652</v>
      </c>
      <c r="B319" s="2">
        <v>46006</v>
      </c>
      <c r="C319" s="1" t="s">
        <v>596</v>
      </c>
      <c r="D319" s="1" t="s">
        <v>16</v>
      </c>
      <c r="E319" s="1" t="s">
        <v>41</v>
      </c>
      <c r="F319" s="1" t="s">
        <v>24</v>
      </c>
      <c r="G319" s="3">
        <v>0.70833333333333337</v>
      </c>
      <c r="H319" s="3">
        <v>0.75416666666666665</v>
      </c>
      <c r="I319" s="1">
        <v>66</v>
      </c>
      <c r="J319" s="1">
        <v>64</v>
      </c>
      <c r="K319" s="1" t="s">
        <v>54</v>
      </c>
      <c r="L319" s="1" t="s">
        <v>19</v>
      </c>
      <c r="M319" s="1">
        <v>1199</v>
      </c>
    </row>
    <row r="320" spans="1:13" x14ac:dyDescent="0.35">
      <c r="A320" s="1" t="s">
        <v>653</v>
      </c>
      <c r="B320" s="2">
        <v>46008</v>
      </c>
      <c r="C320" s="1" t="s">
        <v>654</v>
      </c>
      <c r="D320" s="1" t="s">
        <v>27</v>
      </c>
      <c r="E320" s="1" t="s">
        <v>15</v>
      </c>
      <c r="F320" s="1" t="s">
        <v>38</v>
      </c>
      <c r="G320" s="3">
        <v>0.35416666666666669</v>
      </c>
      <c r="H320" s="3">
        <v>0.35902777777777778</v>
      </c>
      <c r="I320" s="1">
        <v>7</v>
      </c>
      <c r="J320" s="1">
        <v>3</v>
      </c>
      <c r="K320" s="1" t="s">
        <v>18</v>
      </c>
      <c r="L320" s="1" t="s">
        <v>19</v>
      </c>
      <c r="M320" s="1">
        <v>1232</v>
      </c>
    </row>
    <row r="321" spans="1:13" x14ac:dyDescent="0.35">
      <c r="A321" s="1" t="s">
        <v>655</v>
      </c>
      <c r="B321" s="2">
        <v>46008</v>
      </c>
      <c r="C321" s="1" t="s">
        <v>656</v>
      </c>
      <c r="D321" s="1" t="s">
        <v>50</v>
      </c>
      <c r="E321" s="1" t="s">
        <v>44</v>
      </c>
      <c r="F321" s="1" t="s">
        <v>17</v>
      </c>
      <c r="G321" s="3">
        <v>0.48958333333333331</v>
      </c>
      <c r="H321" s="3">
        <v>0.4861111111111111</v>
      </c>
      <c r="I321" s="1">
        <v>-5</v>
      </c>
      <c r="J321" s="1">
        <v>-9</v>
      </c>
      <c r="K321" s="1" t="s">
        <v>18</v>
      </c>
      <c r="L321" s="1" t="s">
        <v>19</v>
      </c>
      <c r="M321" s="1">
        <v>945</v>
      </c>
    </row>
    <row r="322" spans="1:13" x14ac:dyDescent="0.35">
      <c r="A322" s="1" t="s">
        <v>657</v>
      </c>
      <c r="B322" s="2">
        <v>46008</v>
      </c>
      <c r="C322" s="1" t="s">
        <v>658</v>
      </c>
      <c r="D322" s="1" t="s">
        <v>588</v>
      </c>
      <c r="E322" s="1" t="s">
        <v>23</v>
      </c>
      <c r="F322" s="1" t="s">
        <v>28</v>
      </c>
      <c r="G322" s="3">
        <v>0.61111111111111116</v>
      </c>
      <c r="H322" s="3">
        <v>0.61736111111111114</v>
      </c>
      <c r="I322" s="1">
        <v>9</v>
      </c>
      <c r="J322" s="1">
        <v>9</v>
      </c>
      <c r="K322" s="1" t="s">
        <v>18</v>
      </c>
      <c r="L322" s="1" t="s">
        <v>19</v>
      </c>
      <c r="M322" s="1">
        <v>641</v>
      </c>
    </row>
    <row r="323" spans="1:13" x14ac:dyDescent="0.35">
      <c r="A323" s="1" t="s">
        <v>659</v>
      </c>
      <c r="B323" s="2">
        <v>46009</v>
      </c>
      <c r="C323" s="1" t="s">
        <v>342</v>
      </c>
      <c r="D323" s="1" t="s">
        <v>27</v>
      </c>
      <c r="E323" s="1" t="s">
        <v>37</v>
      </c>
      <c r="F323" s="1" t="s">
        <v>24</v>
      </c>
      <c r="G323" s="3">
        <v>0.35069444444444442</v>
      </c>
      <c r="H323" s="1"/>
      <c r="I323" s="1">
        <v>0</v>
      </c>
      <c r="J323" s="1">
        <v>0</v>
      </c>
      <c r="K323" s="1" t="s">
        <v>18</v>
      </c>
      <c r="L323" s="1" t="s">
        <v>19</v>
      </c>
      <c r="M323" s="1">
        <v>1658</v>
      </c>
    </row>
    <row r="324" spans="1:13" x14ac:dyDescent="0.35">
      <c r="A324" s="1" t="s">
        <v>660</v>
      </c>
      <c r="B324" s="2">
        <v>46009</v>
      </c>
      <c r="C324" s="1" t="s">
        <v>641</v>
      </c>
      <c r="D324" s="1" t="s">
        <v>41</v>
      </c>
      <c r="E324" s="1" t="s">
        <v>22</v>
      </c>
      <c r="F324" s="1" t="s">
        <v>17</v>
      </c>
      <c r="G324" s="3">
        <v>0.48958333333333331</v>
      </c>
      <c r="H324" s="3">
        <v>0.49027777777777781</v>
      </c>
      <c r="I324" s="1">
        <v>1</v>
      </c>
      <c r="J324" s="1">
        <v>-8</v>
      </c>
      <c r="K324" s="1" t="s">
        <v>18</v>
      </c>
      <c r="L324" s="1" t="s">
        <v>19</v>
      </c>
      <c r="M324" s="1">
        <v>1092</v>
      </c>
    </row>
    <row r="325" spans="1:13" x14ac:dyDescent="0.35">
      <c r="A325" s="1" t="s">
        <v>661</v>
      </c>
      <c r="B325" s="2">
        <v>46009</v>
      </c>
      <c r="C325" s="1" t="s">
        <v>575</v>
      </c>
      <c r="D325" s="1" t="s">
        <v>78</v>
      </c>
      <c r="E325" s="1" t="s">
        <v>16</v>
      </c>
      <c r="F325" s="1" t="s">
        <v>17</v>
      </c>
      <c r="G325" s="3">
        <v>0.59027777777777779</v>
      </c>
      <c r="H325" s="3">
        <v>0.58888888888888891</v>
      </c>
      <c r="I325" s="1">
        <v>-2</v>
      </c>
      <c r="J325" s="1">
        <v>-3</v>
      </c>
      <c r="K325" s="1"/>
      <c r="L325" s="1" t="s">
        <v>19</v>
      </c>
      <c r="M325" s="1">
        <v>1438</v>
      </c>
    </row>
    <row r="326" spans="1:13" x14ac:dyDescent="0.35">
      <c r="A326" s="1" t="s">
        <v>662</v>
      </c>
      <c r="B326" s="2">
        <v>46009</v>
      </c>
      <c r="C326" s="1" t="s">
        <v>663</v>
      </c>
      <c r="D326" s="1" t="s">
        <v>27</v>
      </c>
      <c r="E326" s="1" t="s">
        <v>50</v>
      </c>
      <c r="F326" s="1" t="s">
        <v>38</v>
      </c>
      <c r="G326" s="3">
        <v>0.72222222222222221</v>
      </c>
      <c r="H326" s="3">
        <v>0.72777777777777775</v>
      </c>
      <c r="I326" s="1">
        <v>8</v>
      </c>
      <c r="J326" s="1">
        <v>7</v>
      </c>
      <c r="K326" s="1" t="s">
        <v>18</v>
      </c>
      <c r="L326" s="1" t="s">
        <v>19</v>
      </c>
      <c r="M326" s="1">
        <v>730</v>
      </c>
    </row>
    <row r="327" spans="1:13" x14ac:dyDescent="0.35">
      <c r="A327" s="1" t="s">
        <v>664</v>
      </c>
      <c r="B327" s="2">
        <v>46009</v>
      </c>
      <c r="C327" s="1" t="s">
        <v>665</v>
      </c>
      <c r="D327" s="1" t="s">
        <v>666</v>
      </c>
      <c r="E327" s="1" t="s">
        <v>37</v>
      </c>
      <c r="F327" s="1" t="s">
        <v>24</v>
      </c>
      <c r="G327" s="3">
        <v>0.80208333333333337</v>
      </c>
      <c r="H327" s="3">
        <v>0.80208333333333337</v>
      </c>
      <c r="I327" s="1">
        <v>0</v>
      </c>
      <c r="J327" s="1">
        <v>10</v>
      </c>
      <c r="K327" s="1" t="s">
        <v>18</v>
      </c>
      <c r="L327" s="1" t="s">
        <v>19</v>
      </c>
      <c r="M327" s="1">
        <v>2489</v>
      </c>
    </row>
    <row r="328" spans="1:13" x14ac:dyDescent="0.35">
      <c r="A328" s="1" t="s">
        <v>667</v>
      </c>
      <c r="B328" s="2">
        <v>46010</v>
      </c>
      <c r="C328" s="1" t="s">
        <v>668</v>
      </c>
      <c r="D328" s="1" t="s">
        <v>23</v>
      </c>
      <c r="E328" s="1" t="s">
        <v>22</v>
      </c>
      <c r="F328" s="1" t="s">
        <v>24</v>
      </c>
      <c r="G328" s="3">
        <v>0.53472222222222221</v>
      </c>
      <c r="H328" s="3">
        <v>0.53472222222222221</v>
      </c>
      <c r="I328" s="1">
        <v>0</v>
      </c>
      <c r="J328" s="1">
        <v>3</v>
      </c>
      <c r="K328" s="1" t="s">
        <v>18</v>
      </c>
      <c r="L328" s="1" t="s">
        <v>19</v>
      </c>
      <c r="M328" s="1">
        <v>1622</v>
      </c>
    </row>
    <row r="329" spans="1:13" x14ac:dyDescent="0.35">
      <c r="A329" s="1" t="s">
        <v>669</v>
      </c>
      <c r="B329" s="2">
        <v>46010</v>
      </c>
      <c r="C329" s="1" t="s">
        <v>670</v>
      </c>
      <c r="D329" s="1" t="s">
        <v>50</v>
      </c>
      <c r="E329" s="1" t="s">
        <v>41</v>
      </c>
      <c r="F329" s="1" t="s">
        <v>38</v>
      </c>
      <c r="G329" s="3">
        <v>0.61805555555555558</v>
      </c>
      <c r="H329" s="3">
        <v>0.61875000000000002</v>
      </c>
      <c r="I329" s="1">
        <v>1</v>
      </c>
      <c r="J329" s="1">
        <v>-2</v>
      </c>
      <c r="K329" s="1" t="s">
        <v>18</v>
      </c>
      <c r="L329" s="1" t="s">
        <v>19</v>
      </c>
      <c r="M329" s="1">
        <v>596</v>
      </c>
    </row>
    <row r="330" spans="1:13" x14ac:dyDescent="0.35">
      <c r="A330" s="1" t="s">
        <v>671</v>
      </c>
      <c r="B330" s="2">
        <v>46010</v>
      </c>
      <c r="C330" s="1" t="s">
        <v>672</v>
      </c>
      <c r="D330" s="1" t="s">
        <v>23</v>
      </c>
      <c r="E330" s="1" t="s">
        <v>16</v>
      </c>
      <c r="F330" s="1" t="s">
        <v>24</v>
      </c>
      <c r="G330" s="3">
        <v>0.75</v>
      </c>
      <c r="H330" s="3">
        <v>0.74513888888888891</v>
      </c>
      <c r="I330" s="1">
        <v>-7</v>
      </c>
      <c r="J330" s="1">
        <v>-14</v>
      </c>
      <c r="K330" s="1" t="s">
        <v>18</v>
      </c>
      <c r="L330" s="1" t="s">
        <v>19</v>
      </c>
      <c r="M330" s="1">
        <v>886</v>
      </c>
    </row>
    <row r="331" spans="1:13" x14ac:dyDescent="0.35">
      <c r="A331" s="1" t="s">
        <v>673</v>
      </c>
      <c r="B331" s="2">
        <v>46010</v>
      </c>
      <c r="C331" s="1" t="s">
        <v>196</v>
      </c>
      <c r="D331" s="1" t="s">
        <v>588</v>
      </c>
      <c r="E331" s="1" t="s">
        <v>23</v>
      </c>
      <c r="F331" s="1" t="s">
        <v>17</v>
      </c>
      <c r="G331" s="3">
        <v>0.83333333333333337</v>
      </c>
      <c r="H331" s="3">
        <v>0.83888888888888891</v>
      </c>
      <c r="I331" s="1">
        <v>8</v>
      </c>
      <c r="J331" s="1">
        <v>10</v>
      </c>
      <c r="K331" s="1" t="s">
        <v>18</v>
      </c>
      <c r="L331" s="1" t="s">
        <v>19</v>
      </c>
      <c r="M331" s="1">
        <v>0</v>
      </c>
    </row>
    <row r="332" spans="1:13" x14ac:dyDescent="0.35">
      <c r="A332" s="1" t="s">
        <v>674</v>
      </c>
      <c r="B332" s="2">
        <v>46011</v>
      </c>
      <c r="C332" s="1" t="s">
        <v>675</v>
      </c>
      <c r="D332" s="1" t="s">
        <v>418</v>
      </c>
      <c r="E332" s="1" t="s">
        <v>22</v>
      </c>
      <c r="F332" s="1" t="s">
        <v>17</v>
      </c>
      <c r="G332" s="3">
        <v>0.63541666666666663</v>
      </c>
      <c r="H332" s="3">
        <v>0.63263888888888886</v>
      </c>
      <c r="I332" s="1">
        <v>-4</v>
      </c>
      <c r="J332" s="1">
        <v>6</v>
      </c>
      <c r="K332" s="1" t="s">
        <v>18</v>
      </c>
      <c r="L332" s="1" t="s">
        <v>19</v>
      </c>
      <c r="M332" s="1">
        <v>1092</v>
      </c>
    </row>
    <row r="333" spans="1:13" x14ac:dyDescent="0.35">
      <c r="A333" s="1" t="s">
        <v>676</v>
      </c>
      <c r="B333" s="2">
        <v>46011</v>
      </c>
      <c r="C333" s="1" t="s">
        <v>677</v>
      </c>
      <c r="D333" s="1" t="s">
        <v>16</v>
      </c>
      <c r="E333" s="1" t="s">
        <v>78</v>
      </c>
      <c r="F333" s="1" t="s">
        <v>24</v>
      </c>
      <c r="G333" s="3">
        <v>0.63541666666666663</v>
      </c>
      <c r="H333" s="3">
        <v>0.64236111111111116</v>
      </c>
      <c r="I333" s="1">
        <v>10</v>
      </c>
      <c r="J333" s="1">
        <v>-1</v>
      </c>
      <c r="K333" s="1" t="s">
        <v>18</v>
      </c>
      <c r="L333" s="1" t="s">
        <v>19</v>
      </c>
      <c r="M333" s="1">
        <v>1438</v>
      </c>
    </row>
    <row r="334" spans="1:13" x14ac:dyDescent="0.35">
      <c r="A334" s="1" t="s">
        <v>678</v>
      </c>
      <c r="B334" s="2">
        <v>46012</v>
      </c>
      <c r="C334" s="1" t="s">
        <v>369</v>
      </c>
      <c r="D334" s="1" t="s">
        <v>78</v>
      </c>
      <c r="E334" s="1" t="s">
        <v>41</v>
      </c>
      <c r="F334" s="1" t="s">
        <v>24</v>
      </c>
      <c r="G334" s="3">
        <v>0.52083333333333337</v>
      </c>
      <c r="H334" s="3">
        <v>0.54305555555555551</v>
      </c>
      <c r="I334" s="1">
        <v>32</v>
      </c>
      <c r="J334" s="1">
        <v>21</v>
      </c>
      <c r="K334" s="1" t="s">
        <v>54</v>
      </c>
      <c r="L334" s="1" t="s">
        <v>19</v>
      </c>
      <c r="M334" s="1">
        <v>1969</v>
      </c>
    </row>
    <row r="335" spans="1:13" x14ac:dyDescent="0.35">
      <c r="A335" s="1" t="s">
        <v>679</v>
      </c>
      <c r="B335" s="2">
        <v>46012</v>
      </c>
      <c r="C335" s="1" t="s">
        <v>637</v>
      </c>
      <c r="D335" s="1" t="s">
        <v>16</v>
      </c>
      <c r="E335" s="1" t="s">
        <v>41</v>
      </c>
      <c r="F335" s="1" t="s">
        <v>24</v>
      </c>
      <c r="G335" s="3">
        <v>0.76736111111111116</v>
      </c>
      <c r="H335" s="3">
        <v>0.77222222222222225</v>
      </c>
      <c r="I335" s="1">
        <v>7</v>
      </c>
      <c r="J335" s="1"/>
      <c r="K335" s="1" t="s">
        <v>18</v>
      </c>
      <c r="L335" s="1" t="s">
        <v>19</v>
      </c>
      <c r="M335" s="1">
        <v>1199</v>
      </c>
    </row>
    <row r="336" spans="1:13" x14ac:dyDescent="0.35">
      <c r="A336" s="1" t="s">
        <v>680</v>
      </c>
      <c r="B336" s="2">
        <v>46012</v>
      </c>
      <c r="C336" s="1" t="s">
        <v>415</v>
      </c>
      <c r="D336" s="1" t="s">
        <v>16</v>
      </c>
      <c r="E336" s="1" t="s">
        <v>23</v>
      </c>
      <c r="F336" s="1" t="s">
        <v>38</v>
      </c>
      <c r="G336" s="3">
        <v>0.77083333333333337</v>
      </c>
      <c r="H336" s="3">
        <v>0.76944444444444449</v>
      </c>
      <c r="I336" s="1">
        <v>-2</v>
      </c>
      <c r="J336" s="1">
        <v>-1</v>
      </c>
      <c r="K336" s="1" t="s">
        <v>18</v>
      </c>
      <c r="L336" s="1" t="s">
        <v>19</v>
      </c>
      <c r="M336" s="1">
        <v>886</v>
      </c>
    </row>
    <row r="337" spans="1:13" x14ac:dyDescent="0.35">
      <c r="A337" s="1" t="s">
        <v>681</v>
      </c>
      <c r="B337" s="2">
        <v>46013</v>
      </c>
      <c r="C337" s="1" t="s">
        <v>682</v>
      </c>
      <c r="D337" s="1" t="s">
        <v>22</v>
      </c>
      <c r="E337" s="1" t="s">
        <v>50</v>
      </c>
      <c r="F337" s="1" t="s">
        <v>24</v>
      </c>
      <c r="G337" s="3">
        <v>0.5625</v>
      </c>
      <c r="H337" s="3">
        <v>0.57499999999999996</v>
      </c>
      <c r="I337" s="1">
        <v>18</v>
      </c>
      <c r="J337" s="1">
        <v>10</v>
      </c>
      <c r="K337" s="1" t="s">
        <v>263</v>
      </c>
      <c r="L337" s="1" t="s">
        <v>19</v>
      </c>
      <c r="M337" s="1">
        <v>759</v>
      </c>
    </row>
    <row r="338" spans="1:13" x14ac:dyDescent="0.35">
      <c r="A338" s="1" t="s">
        <v>683</v>
      </c>
      <c r="B338" s="2">
        <v>46013</v>
      </c>
      <c r="C338" s="1" t="s">
        <v>684</v>
      </c>
      <c r="D338" s="1" t="s">
        <v>37</v>
      </c>
      <c r="E338" s="1" t="s">
        <v>27</v>
      </c>
      <c r="F338" s="1" t="s">
        <v>17</v>
      </c>
      <c r="G338" s="3">
        <v>0.61805555555555558</v>
      </c>
      <c r="H338" s="3">
        <v>0.65902777777777777</v>
      </c>
      <c r="I338" s="1">
        <v>59</v>
      </c>
      <c r="J338" s="1">
        <v>49</v>
      </c>
      <c r="K338" s="1" t="s">
        <v>129</v>
      </c>
      <c r="L338" s="1" t="s">
        <v>19</v>
      </c>
      <c r="M338" s="1">
        <v>1658</v>
      </c>
    </row>
    <row r="339" spans="1:13" x14ac:dyDescent="0.35">
      <c r="A339" s="1" t="s">
        <v>685</v>
      </c>
      <c r="B339" s="2">
        <v>46013</v>
      </c>
      <c r="C339" s="1" t="s">
        <v>686</v>
      </c>
      <c r="D339" s="1" t="s">
        <v>16</v>
      </c>
      <c r="E339" s="1" t="s">
        <v>23</v>
      </c>
      <c r="F339" s="1" t="s">
        <v>24</v>
      </c>
      <c r="G339" s="3">
        <v>0.68402777777777779</v>
      </c>
      <c r="H339" s="3">
        <v>0.68333333333333335</v>
      </c>
      <c r="I339" s="1">
        <v>-1</v>
      </c>
      <c r="J339" s="1">
        <v>-11</v>
      </c>
      <c r="K339" s="1" t="s">
        <v>18</v>
      </c>
      <c r="L339" s="1" t="s">
        <v>19</v>
      </c>
      <c r="M339" s="1">
        <v>886</v>
      </c>
    </row>
    <row r="340" spans="1:13" x14ac:dyDescent="0.35">
      <c r="A340" s="1" t="s">
        <v>687</v>
      </c>
      <c r="B340" s="2">
        <v>46013</v>
      </c>
      <c r="C340" s="1" t="s">
        <v>688</v>
      </c>
      <c r="D340" s="1" t="s">
        <v>50</v>
      </c>
      <c r="E340" s="1" t="s">
        <v>27</v>
      </c>
      <c r="F340" s="1" t="s">
        <v>17</v>
      </c>
      <c r="G340" s="3">
        <v>0.69444444444444442</v>
      </c>
      <c r="H340" s="3">
        <v>0.68888888888888888</v>
      </c>
      <c r="I340" s="1">
        <v>-8</v>
      </c>
      <c r="J340" s="1">
        <v>-4</v>
      </c>
      <c r="K340" s="1" t="s">
        <v>18</v>
      </c>
      <c r="L340" s="1" t="s">
        <v>19</v>
      </c>
      <c r="M340" s="1">
        <v>730</v>
      </c>
    </row>
    <row r="341" spans="1:13" x14ac:dyDescent="0.35">
      <c r="A341" s="1" t="s">
        <v>687</v>
      </c>
      <c r="B341" s="2">
        <v>46013</v>
      </c>
      <c r="C341" s="1" t="s">
        <v>688</v>
      </c>
      <c r="D341" s="1" t="s">
        <v>50</v>
      </c>
      <c r="E341" s="1" t="s">
        <v>27</v>
      </c>
      <c r="F341" s="1" t="s">
        <v>17</v>
      </c>
      <c r="G341" s="3">
        <v>0.69444444444444442</v>
      </c>
      <c r="H341" s="3">
        <v>0.68888888888888888</v>
      </c>
      <c r="I341" s="1">
        <v>-8</v>
      </c>
      <c r="J341" s="1">
        <v>-4</v>
      </c>
      <c r="K341" s="1" t="s">
        <v>18</v>
      </c>
      <c r="L341" s="1" t="s">
        <v>19</v>
      </c>
      <c r="M341" s="1">
        <v>730</v>
      </c>
    </row>
    <row r="342" spans="1:13" x14ac:dyDescent="0.35">
      <c r="A342" s="1" t="s">
        <v>689</v>
      </c>
      <c r="B342" s="2">
        <v>46014</v>
      </c>
      <c r="C342" s="1" t="s">
        <v>559</v>
      </c>
      <c r="D342" s="1" t="s">
        <v>50</v>
      </c>
      <c r="E342" s="1" t="s">
        <v>15</v>
      </c>
      <c r="F342" s="1" t="s">
        <v>17</v>
      </c>
      <c r="G342" s="3">
        <v>0.27777777777777779</v>
      </c>
      <c r="H342" s="3">
        <v>0.28402777777777782</v>
      </c>
      <c r="I342" s="1">
        <v>9</v>
      </c>
      <c r="J342" s="1">
        <v>4</v>
      </c>
      <c r="K342" s="1" t="s">
        <v>18</v>
      </c>
      <c r="L342" s="1" t="s">
        <v>19</v>
      </c>
      <c r="M342" s="1">
        <v>1942</v>
      </c>
    </row>
    <row r="343" spans="1:13" x14ac:dyDescent="0.35">
      <c r="A343" s="1" t="s">
        <v>690</v>
      </c>
      <c r="B343" s="2">
        <v>46014</v>
      </c>
      <c r="C343" s="1" t="s">
        <v>476</v>
      </c>
      <c r="D343" s="1" t="s">
        <v>16</v>
      </c>
      <c r="E343" s="1" t="s">
        <v>22</v>
      </c>
      <c r="F343" s="1" t="s">
        <v>24</v>
      </c>
      <c r="G343" s="3">
        <v>0.44444444444444442</v>
      </c>
      <c r="H343" s="3">
        <v>0.47222222222222221</v>
      </c>
      <c r="I343" s="1">
        <v>40</v>
      </c>
      <c r="J343" s="1">
        <v>29</v>
      </c>
      <c r="K343" s="1" t="s">
        <v>60</v>
      </c>
      <c r="L343" s="1" t="s">
        <v>19</v>
      </c>
      <c r="M343" s="1">
        <v>738</v>
      </c>
    </row>
    <row r="344" spans="1:13" x14ac:dyDescent="0.35">
      <c r="A344" s="1" t="s">
        <v>691</v>
      </c>
      <c r="B344" s="2">
        <v>46014</v>
      </c>
      <c r="C344" s="1" t="s">
        <v>692</v>
      </c>
      <c r="D344" s="1" t="s">
        <v>97</v>
      </c>
      <c r="E344" s="1" t="s">
        <v>44</v>
      </c>
      <c r="F344" s="1" t="s">
        <v>24</v>
      </c>
      <c r="G344" s="3">
        <v>0.79861111111111116</v>
      </c>
      <c r="H344" s="3">
        <v>0.82152777777777775</v>
      </c>
      <c r="I344" s="1">
        <v>33</v>
      </c>
      <c r="J344" s="1">
        <v>19</v>
      </c>
      <c r="K344" s="1" t="s">
        <v>319</v>
      </c>
      <c r="L344" s="1" t="s">
        <v>19</v>
      </c>
      <c r="M344" s="1">
        <v>1749</v>
      </c>
    </row>
    <row r="345" spans="1:13" x14ac:dyDescent="0.35">
      <c r="A345" s="1" t="s">
        <v>693</v>
      </c>
      <c r="B345" s="2">
        <v>46015</v>
      </c>
      <c r="C345" s="1" t="s">
        <v>694</v>
      </c>
      <c r="D345" s="1" t="s">
        <v>695</v>
      </c>
      <c r="E345" s="1" t="s">
        <v>41</v>
      </c>
      <c r="F345" s="1" t="s">
        <v>17</v>
      </c>
      <c r="G345" s="3">
        <v>0.75</v>
      </c>
      <c r="H345" s="3">
        <v>0.75138888888888888</v>
      </c>
      <c r="I345" s="1">
        <v>2</v>
      </c>
      <c r="J345" s="1">
        <v>1</v>
      </c>
      <c r="K345" s="1" t="s">
        <v>18</v>
      </c>
      <c r="L345" s="1" t="s">
        <v>19</v>
      </c>
      <c r="M345" s="1">
        <v>2722</v>
      </c>
    </row>
    <row r="346" spans="1:13" x14ac:dyDescent="0.35">
      <c r="A346" s="1" t="s">
        <v>696</v>
      </c>
      <c r="B346" s="2">
        <v>46016</v>
      </c>
      <c r="C346" s="1" t="s">
        <v>697</v>
      </c>
      <c r="D346" s="1" t="s">
        <v>27</v>
      </c>
      <c r="E346" s="1" t="s">
        <v>16</v>
      </c>
      <c r="F346" s="1" t="s">
        <v>17</v>
      </c>
      <c r="G346" s="3">
        <v>0.76388888888888884</v>
      </c>
      <c r="H346" s="3">
        <v>0.75902777777777775</v>
      </c>
      <c r="I346" s="1">
        <v>-7</v>
      </c>
      <c r="J346" s="1"/>
      <c r="K346" s="1" t="s">
        <v>18</v>
      </c>
      <c r="L346" s="1" t="s">
        <v>19</v>
      </c>
      <c r="M346" s="1">
        <v>802</v>
      </c>
    </row>
    <row r="347" spans="1:13" x14ac:dyDescent="0.35">
      <c r="A347" s="1" t="s">
        <v>698</v>
      </c>
      <c r="B347" s="2">
        <v>46016</v>
      </c>
      <c r="C347" s="1" t="s">
        <v>699</v>
      </c>
      <c r="D347" s="1" t="s">
        <v>37</v>
      </c>
      <c r="E347" s="1" t="s">
        <v>41</v>
      </c>
      <c r="F347" s="1" t="s">
        <v>38</v>
      </c>
      <c r="G347" s="3">
        <v>0.79513888888888884</v>
      </c>
      <c r="H347" s="3">
        <v>0.7993055555555556</v>
      </c>
      <c r="I347" s="1">
        <v>6</v>
      </c>
      <c r="J347" s="1">
        <v>-4</v>
      </c>
      <c r="K347" s="1" t="s">
        <v>18</v>
      </c>
      <c r="L347" s="1" t="s">
        <v>19</v>
      </c>
      <c r="M347" s="1">
        <v>2722</v>
      </c>
    </row>
    <row r="348" spans="1:13" x14ac:dyDescent="0.35">
      <c r="A348" s="1" t="s">
        <v>700</v>
      </c>
      <c r="B348" s="2">
        <v>46017</v>
      </c>
      <c r="C348" s="1" t="s">
        <v>454</v>
      </c>
      <c r="D348" s="1" t="s">
        <v>16</v>
      </c>
      <c r="E348" s="1" t="s">
        <v>47</v>
      </c>
      <c r="F348" s="1" t="s">
        <v>28</v>
      </c>
      <c r="G348" s="3">
        <v>0.25</v>
      </c>
      <c r="H348" s="3">
        <v>0.25555555555555548</v>
      </c>
      <c r="I348" s="1">
        <v>8</v>
      </c>
      <c r="J348" s="1">
        <v>6</v>
      </c>
      <c r="K348" s="1" t="s">
        <v>18</v>
      </c>
      <c r="L348" s="1" t="s">
        <v>19</v>
      </c>
      <c r="M348" s="1">
        <v>1842</v>
      </c>
    </row>
    <row r="349" spans="1:13" x14ac:dyDescent="0.35">
      <c r="A349" s="1" t="s">
        <v>701</v>
      </c>
      <c r="B349" s="2">
        <v>46017</v>
      </c>
      <c r="C349" s="1" t="s">
        <v>702</v>
      </c>
      <c r="D349" s="1" t="s">
        <v>27</v>
      </c>
      <c r="E349" s="1" t="s">
        <v>41</v>
      </c>
      <c r="F349" s="1" t="s">
        <v>17</v>
      </c>
      <c r="G349" s="3">
        <v>0.50347222222222221</v>
      </c>
      <c r="H349" s="3">
        <v>0.50069444444444444</v>
      </c>
      <c r="I349" s="1">
        <v>-4</v>
      </c>
      <c r="J349" s="1">
        <v>0</v>
      </c>
      <c r="K349" s="1" t="s">
        <v>18</v>
      </c>
      <c r="L349" s="1" t="s">
        <v>19</v>
      </c>
      <c r="M349" s="1">
        <v>1120</v>
      </c>
    </row>
    <row r="350" spans="1:13" x14ac:dyDescent="0.35">
      <c r="A350" s="1" t="s">
        <v>703</v>
      </c>
      <c r="B350" s="2">
        <v>46017</v>
      </c>
      <c r="C350" s="1" t="s">
        <v>404</v>
      </c>
      <c r="D350" s="1" t="s">
        <v>15</v>
      </c>
      <c r="E350" s="1" t="s">
        <v>44</v>
      </c>
      <c r="F350" s="1" t="s">
        <v>17</v>
      </c>
      <c r="G350" s="3">
        <v>0.55555555555555558</v>
      </c>
      <c r="H350" s="3">
        <v>0.5625</v>
      </c>
      <c r="I350" s="1">
        <v>10</v>
      </c>
      <c r="J350" s="1">
        <v>4</v>
      </c>
      <c r="K350" s="1" t="s">
        <v>18</v>
      </c>
      <c r="L350" s="1" t="s">
        <v>19</v>
      </c>
      <c r="M350" s="1">
        <v>2606</v>
      </c>
    </row>
    <row r="351" spans="1:13" x14ac:dyDescent="0.35">
      <c r="A351" s="1" t="s">
        <v>704</v>
      </c>
      <c r="B351" s="2">
        <v>46017</v>
      </c>
      <c r="C351" s="1" t="s">
        <v>705</v>
      </c>
      <c r="D351" s="1" t="s">
        <v>15</v>
      </c>
      <c r="E351" s="1" t="s">
        <v>27</v>
      </c>
      <c r="F351" s="1" t="s">
        <v>17</v>
      </c>
      <c r="G351" s="3">
        <v>0.60069444444444442</v>
      </c>
      <c r="H351" s="1"/>
      <c r="I351" s="1">
        <v>5</v>
      </c>
      <c r="J351" s="1">
        <v>-2</v>
      </c>
      <c r="K351" s="1" t="s">
        <v>18</v>
      </c>
      <c r="L351" s="1" t="s">
        <v>19</v>
      </c>
      <c r="M351" s="1">
        <v>1232</v>
      </c>
    </row>
    <row r="352" spans="1:13" x14ac:dyDescent="0.35">
      <c r="A352" s="1" t="s">
        <v>706</v>
      </c>
      <c r="B352" s="2">
        <v>46018</v>
      </c>
      <c r="C352" s="1" t="s">
        <v>388</v>
      </c>
      <c r="D352" s="1" t="s">
        <v>15</v>
      </c>
      <c r="E352" s="1" t="s">
        <v>50</v>
      </c>
      <c r="F352" s="1" t="s">
        <v>24</v>
      </c>
      <c r="G352" s="3">
        <v>0.60416666666666663</v>
      </c>
      <c r="H352" s="3">
        <v>0.60277777777777775</v>
      </c>
      <c r="I352" s="1">
        <v>-2</v>
      </c>
      <c r="J352" s="1">
        <v>2</v>
      </c>
      <c r="K352" s="1" t="s">
        <v>18</v>
      </c>
      <c r="L352" s="1" t="s">
        <v>19</v>
      </c>
      <c r="M352" s="1">
        <v>1942</v>
      </c>
    </row>
    <row r="353" spans="1:13" x14ac:dyDescent="0.35">
      <c r="A353" s="1" t="s">
        <v>707</v>
      </c>
      <c r="B353" s="2">
        <v>46019</v>
      </c>
      <c r="C353" s="1" t="s">
        <v>155</v>
      </c>
      <c r="D353" s="1" t="s">
        <v>50</v>
      </c>
      <c r="E353" s="1" t="s">
        <v>591</v>
      </c>
      <c r="F353" s="1" t="s">
        <v>24</v>
      </c>
      <c r="G353" s="3">
        <v>0.44097222222222221</v>
      </c>
      <c r="H353" s="3">
        <v>0.44444444444444442</v>
      </c>
      <c r="I353" s="1">
        <v>5</v>
      </c>
      <c r="J353" s="1">
        <v>15</v>
      </c>
      <c r="K353" s="1" t="s">
        <v>18</v>
      </c>
      <c r="L353" s="1" t="s">
        <v>19</v>
      </c>
      <c r="M353" s="1">
        <v>730</v>
      </c>
    </row>
    <row r="354" spans="1:13" x14ac:dyDescent="0.35">
      <c r="A354" s="1" t="s">
        <v>708</v>
      </c>
      <c r="B354" s="2">
        <v>46020</v>
      </c>
      <c r="C354" s="1" t="s">
        <v>241</v>
      </c>
      <c r="D354" s="1" t="s">
        <v>41</v>
      </c>
      <c r="E354" s="1" t="s">
        <v>37</v>
      </c>
      <c r="F354" s="1" t="s">
        <v>28</v>
      </c>
      <c r="G354" s="3">
        <v>0.3888888888888889</v>
      </c>
      <c r="H354" s="3">
        <v>0.38333333333333341</v>
      </c>
      <c r="I354" s="1">
        <v>-8</v>
      </c>
      <c r="J354" s="1">
        <v>-9</v>
      </c>
      <c r="K354" s="1" t="s">
        <v>18</v>
      </c>
      <c r="L354" s="1" t="s">
        <v>19</v>
      </c>
      <c r="M354" s="1">
        <v>2722</v>
      </c>
    </row>
    <row r="355" spans="1:13" x14ac:dyDescent="0.35">
      <c r="A355" s="1" t="s">
        <v>709</v>
      </c>
      <c r="B355" s="2">
        <v>46020</v>
      </c>
      <c r="C355" s="1" t="s">
        <v>710</v>
      </c>
      <c r="D355" s="1" t="s">
        <v>41</v>
      </c>
      <c r="E355" s="1" t="s">
        <v>23</v>
      </c>
      <c r="F355" s="1" t="s">
        <v>38</v>
      </c>
      <c r="G355" s="3">
        <v>0.61458333333333337</v>
      </c>
      <c r="H355" s="3">
        <v>0.60902777777777772</v>
      </c>
      <c r="I355" s="1">
        <v>-8</v>
      </c>
      <c r="J355" s="1">
        <v>-11</v>
      </c>
      <c r="K355" s="1" t="s">
        <v>18</v>
      </c>
      <c r="L355" s="1" t="s">
        <v>19</v>
      </c>
      <c r="M355" s="1">
        <v>1708</v>
      </c>
    </row>
    <row r="356" spans="1:13" x14ac:dyDescent="0.35">
      <c r="A356" s="1" t="s">
        <v>711</v>
      </c>
      <c r="B356" s="2">
        <v>46020</v>
      </c>
      <c r="C356" s="1" t="s">
        <v>712</v>
      </c>
      <c r="D356" s="1" t="s">
        <v>413</v>
      </c>
      <c r="E356" s="1" t="s">
        <v>27</v>
      </c>
      <c r="F356" s="1" t="s">
        <v>28</v>
      </c>
      <c r="G356" s="3">
        <v>0.71875</v>
      </c>
      <c r="H356" s="3">
        <v>0.72083333333333333</v>
      </c>
      <c r="I356" s="1">
        <v>3</v>
      </c>
      <c r="J356" s="1">
        <v>-3</v>
      </c>
      <c r="K356" s="1" t="s">
        <v>18</v>
      </c>
      <c r="L356" s="1" t="s">
        <v>19</v>
      </c>
      <c r="M356" s="1">
        <v>1232</v>
      </c>
    </row>
    <row r="357" spans="1:13" x14ac:dyDescent="0.35">
      <c r="A357" s="1" t="s">
        <v>713</v>
      </c>
      <c r="B357" s="2">
        <v>46020</v>
      </c>
      <c r="C357" s="1" t="s">
        <v>714</v>
      </c>
      <c r="D357" s="1" t="s">
        <v>27</v>
      </c>
      <c r="E357" s="1" t="s">
        <v>44</v>
      </c>
      <c r="F357" s="1" t="s">
        <v>28</v>
      </c>
      <c r="G357" s="3">
        <v>0.82638888888888884</v>
      </c>
      <c r="H357" s="3">
        <v>0.82986111111111116</v>
      </c>
      <c r="I357" s="1">
        <v>5</v>
      </c>
      <c r="J357" s="1">
        <v>8</v>
      </c>
      <c r="K357" s="1" t="s">
        <v>18</v>
      </c>
      <c r="L357" s="1" t="s">
        <v>19</v>
      </c>
      <c r="M357" s="1">
        <v>1559</v>
      </c>
    </row>
    <row r="358" spans="1:13" x14ac:dyDescent="0.35">
      <c r="A358" s="1" t="s">
        <v>715</v>
      </c>
      <c r="B358" s="2">
        <v>46021</v>
      </c>
      <c r="C358" s="1" t="s">
        <v>716</v>
      </c>
      <c r="D358" s="1" t="s">
        <v>22</v>
      </c>
      <c r="E358" s="1" t="s">
        <v>27</v>
      </c>
      <c r="F358" s="1" t="s">
        <v>28</v>
      </c>
      <c r="G358" s="3">
        <v>0.76736111111111116</v>
      </c>
      <c r="H358" s="3">
        <v>0.76180555555555551</v>
      </c>
      <c r="I358" s="1">
        <v>-8</v>
      </c>
      <c r="J358" s="1">
        <v>-1</v>
      </c>
      <c r="K358" s="1" t="s">
        <v>18</v>
      </c>
      <c r="L358" s="1" t="s">
        <v>19</v>
      </c>
      <c r="M358" s="1">
        <v>1389</v>
      </c>
    </row>
    <row r="359" spans="1:13" x14ac:dyDescent="0.35">
      <c r="A359" s="1" t="s">
        <v>717</v>
      </c>
      <c r="B359" s="2">
        <v>46021</v>
      </c>
      <c r="C359" s="1" t="s">
        <v>243</v>
      </c>
      <c r="D359" s="1" t="s">
        <v>27</v>
      </c>
      <c r="E359" s="1" t="s">
        <v>15</v>
      </c>
      <c r="F359" s="1" t="s">
        <v>17</v>
      </c>
      <c r="G359" s="3">
        <v>0.93402777777777779</v>
      </c>
      <c r="H359" s="3">
        <v>0.93888888888888888</v>
      </c>
      <c r="I359" s="1">
        <v>7</v>
      </c>
      <c r="J359" s="1">
        <v>0</v>
      </c>
      <c r="K359" s="1" t="s">
        <v>18</v>
      </c>
      <c r="L359" s="1" t="s">
        <v>19</v>
      </c>
      <c r="M359" s="1">
        <v>1232</v>
      </c>
    </row>
    <row r="360" spans="1:13" x14ac:dyDescent="0.35">
      <c r="A360" s="1" t="s">
        <v>718</v>
      </c>
      <c r="B360" s="2">
        <v>46022</v>
      </c>
      <c r="C360" s="1" t="s">
        <v>719</v>
      </c>
      <c r="D360" s="1" t="s">
        <v>44</v>
      </c>
      <c r="E360" s="1" t="s">
        <v>555</v>
      </c>
      <c r="F360" s="1" t="s">
        <v>17</v>
      </c>
      <c r="G360" s="3">
        <v>0.39930555555555558</v>
      </c>
      <c r="H360" s="3">
        <v>0.40069444444444452</v>
      </c>
      <c r="I360" s="1">
        <v>2</v>
      </c>
      <c r="J360" s="1">
        <v>-3</v>
      </c>
      <c r="K360" s="1" t="s">
        <v>18</v>
      </c>
      <c r="L360" s="1" t="s">
        <v>19</v>
      </c>
      <c r="M360" s="1">
        <v>864</v>
      </c>
    </row>
    <row r="361" spans="1:13" x14ac:dyDescent="0.35">
      <c r="A361" s="1" t="s">
        <v>720</v>
      </c>
      <c r="B361" s="2">
        <v>46022</v>
      </c>
      <c r="C361" s="1" t="s">
        <v>721</v>
      </c>
      <c r="D361" s="1" t="s">
        <v>23</v>
      </c>
      <c r="E361" s="1" t="s">
        <v>27</v>
      </c>
      <c r="F361" s="1" t="s">
        <v>38</v>
      </c>
      <c r="G361" s="3">
        <v>0.53472222222222221</v>
      </c>
      <c r="H361" s="3">
        <v>0.54166666666666663</v>
      </c>
      <c r="I361" s="1">
        <v>10</v>
      </c>
      <c r="J361" s="1">
        <v>2</v>
      </c>
      <c r="K361" s="1" t="s">
        <v>18</v>
      </c>
      <c r="L361" s="1" t="s">
        <v>19</v>
      </c>
      <c r="M361" s="1">
        <v>641</v>
      </c>
    </row>
    <row r="362" spans="1:13" x14ac:dyDescent="0.35">
      <c r="A362" s="1" t="s">
        <v>722</v>
      </c>
      <c r="B362" s="2">
        <v>46023</v>
      </c>
      <c r="C362" s="1" t="s">
        <v>723</v>
      </c>
      <c r="D362" s="1" t="s">
        <v>27</v>
      </c>
      <c r="E362" s="1" t="s">
        <v>16</v>
      </c>
      <c r="F362" s="1" t="s">
        <v>17</v>
      </c>
      <c r="G362" s="3">
        <v>0.3923611111111111</v>
      </c>
      <c r="H362" s="3">
        <v>0.3888888888888889</v>
      </c>
      <c r="I362" s="1">
        <v>-5</v>
      </c>
      <c r="J362" s="1">
        <v>0</v>
      </c>
      <c r="K362" s="1" t="s">
        <v>18</v>
      </c>
      <c r="L362" s="1" t="s">
        <v>19</v>
      </c>
      <c r="M362" s="1">
        <v>802</v>
      </c>
    </row>
    <row r="363" spans="1:13" x14ac:dyDescent="0.35">
      <c r="A363" s="1" t="s">
        <v>724</v>
      </c>
      <c r="B363" s="2">
        <v>46023</v>
      </c>
      <c r="C363" s="1" t="s">
        <v>397</v>
      </c>
      <c r="D363" s="1" t="s">
        <v>37</v>
      </c>
      <c r="E363" s="1" t="s">
        <v>41</v>
      </c>
      <c r="F363" s="1" t="s">
        <v>38</v>
      </c>
      <c r="G363" s="3">
        <v>0.59375</v>
      </c>
      <c r="H363" s="3">
        <v>0.59166666666666667</v>
      </c>
      <c r="I363" s="1">
        <v>-3</v>
      </c>
      <c r="J363" s="1">
        <v>-6</v>
      </c>
      <c r="K363" s="1" t="s">
        <v>18</v>
      </c>
      <c r="L363" s="1" t="s">
        <v>19</v>
      </c>
      <c r="M363" s="1">
        <v>2722</v>
      </c>
    </row>
    <row r="364" spans="1:13" x14ac:dyDescent="0.35">
      <c r="A364" s="1" t="s">
        <v>725</v>
      </c>
      <c r="B364" s="2">
        <v>46024</v>
      </c>
      <c r="C364" s="1" t="s">
        <v>726</v>
      </c>
      <c r="D364" s="1" t="s">
        <v>15</v>
      </c>
      <c r="E364" s="1" t="s">
        <v>78</v>
      </c>
      <c r="F364" s="1" t="s">
        <v>38</v>
      </c>
      <c r="G364" s="3">
        <v>0.46875</v>
      </c>
      <c r="H364" s="3">
        <v>0.47222222222222221</v>
      </c>
      <c r="I364" s="1">
        <v>5</v>
      </c>
      <c r="J364" s="1">
        <v>-6</v>
      </c>
      <c r="K364" s="1" t="s">
        <v>18</v>
      </c>
      <c r="L364" s="1" t="s">
        <v>19</v>
      </c>
      <c r="M364" s="1">
        <v>370</v>
      </c>
    </row>
    <row r="365" spans="1:13" x14ac:dyDescent="0.35">
      <c r="A365" s="1" t="s">
        <v>727</v>
      </c>
      <c r="B365" s="2">
        <v>46024</v>
      </c>
      <c r="C365" s="1" t="s">
        <v>728</v>
      </c>
      <c r="D365" s="1" t="s">
        <v>666</v>
      </c>
      <c r="E365" s="1" t="s">
        <v>16</v>
      </c>
      <c r="F365" s="1" t="s">
        <v>17</v>
      </c>
      <c r="G365" s="3">
        <v>0.50694444444444442</v>
      </c>
      <c r="H365" s="3">
        <v>0.50972222222222219</v>
      </c>
      <c r="I365" s="1">
        <v>4</v>
      </c>
      <c r="J365" s="1">
        <v>7</v>
      </c>
      <c r="K365" s="1" t="s">
        <v>18</v>
      </c>
      <c r="L365" s="1" t="s">
        <v>19</v>
      </c>
      <c r="M365" s="1">
        <v>864</v>
      </c>
    </row>
    <row r="366" spans="1:13" x14ac:dyDescent="0.35">
      <c r="A366" s="1" t="s">
        <v>729</v>
      </c>
      <c r="B366" s="2">
        <v>46024</v>
      </c>
      <c r="C366" s="1" t="s">
        <v>616</v>
      </c>
      <c r="D366" s="1" t="s">
        <v>27</v>
      </c>
      <c r="E366" s="1" t="s">
        <v>47</v>
      </c>
      <c r="F366" s="1" t="s">
        <v>38</v>
      </c>
      <c r="G366" s="3">
        <v>0.6875</v>
      </c>
      <c r="H366" s="3">
        <v>0.69027777777777777</v>
      </c>
      <c r="I366" s="1">
        <v>4</v>
      </c>
      <c r="J366" s="1">
        <v>3</v>
      </c>
      <c r="K366" s="1"/>
      <c r="L366" s="1" t="s">
        <v>19</v>
      </c>
      <c r="M366" s="1">
        <v>1462</v>
      </c>
    </row>
    <row r="367" spans="1:13" x14ac:dyDescent="0.35">
      <c r="A367" s="1" t="s">
        <v>730</v>
      </c>
      <c r="B367" s="2">
        <v>46024</v>
      </c>
      <c r="C367" s="1" t="s">
        <v>62</v>
      </c>
      <c r="D367" s="1" t="s">
        <v>15</v>
      </c>
      <c r="E367" s="1" t="s">
        <v>31</v>
      </c>
      <c r="F367" s="1" t="s">
        <v>38</v>
      </c>
      <c r="G367" s="3">
        <v>0.74305555555555558</v>
      </c>
      <c r="H367" s="3">
        <v>0.75</v>
      </c>
      <c r="I367" s="1">
        <v>10</v>
      </c>
      <c r="J367" s="1">
        <v>10</v>
      </c>
      <c r="K367" s="1" t="s">
        <v>18</v>
      </c>
      <c r="L367" s="1" t="s">
        <v>19</v>
      </c>
      <c r="M367" s="1">
        <v>236</v>
      </c>
    </row>
    <row r="368" spans="1:13" x14ac:dyDescent="0.35">
      <c r="A368" s="1" t="s">
        <v>731</v>
      </c>
      <c r="B368" s="2">
        <v>46024</v>
      </c>
      <c r="C368" s="1" t="s">
        <v>732</v>
      </c>
      <c r="D368" s="1" t="s">
        <v>22</v>
      </c>
      <c r="E368" s="1" t="s">
        <v>23</v>
      </c>
      <c r="F368" s="1" t="s">
        <v>28</v>
      </c>
      <c r="G368" s="3">
        <v>0.88541666666666663</v>
      </c>
      <c r="H368" s="3">
        <v>0.90208333333333335</v>
      </c>
      <c r="I368" s="1">
        <v>24</v>
      </c>
      <c r="J368" s="1">
        <v>25</v>
      </c>
      <c r="K368" s="1" t="s">
        <v>54</v>
      </c>
      <c r="L368" s="1" t="s">
        <v>19</v>
      </c>
      <c r="M368" s="1">
        <v>1622</v>
      </c>
    </row>
    <row r="369" spans="1:13" x14ac:dyDescent="0.35">
      <c r="A369" s="1" t="s">
        <v>733</v>
      </c>
      <c r="B369" s="2">
        <v>46025</v>
      </c>
      <c r="C369" s="1" t="s">
        <v>734</v>
      </c>
      <c r="D369" s="1" t="s">
        <v>15</v>
      </c>
      <c r="E369" s="1" t="s">
        <v>41</v>
      </c>
      <c r="F369" s="1" t="s">
        <v>28</v>
      </c>
      <c r="G369" s="3">
        <v>0.46875</v>
      </c>
      <c r="H369" s="3">
        <v>0.47291666666666671</v>
      </c>
      <c r="I369" s="1">
        <v>6</v>
      </c>
      <c r="J369" s="1">
        <v>-1</v>
      </c>
      <c r="K369" s="1" t="s">
        <v>18</v>
      </c>
      <c r="L369" s="1" t="s">
        <v>19</v>
      </c>
      <c r="M369" s="1">
        <v>2338</v>
      </c>
    </row>
    <row r="370" spans="1:13" x14ac:dyDescent="0.35">
      <c r="A370" s="1" t="s">
        <v>735</v>
      </c>
      <c r="B370" s="2">
        <v>46025</v>
      </c>
      <c r="C370" s="1" t="s">
        <v>275</v>
      </c>
      <c r="D370" s="1" t="s">
        <v>41</v>
      </c>
      <c r="E370" s="1" t="s">
        <v>16</v>
      </c>
      <c r="F370" s="1" t="s">
        <v>28</v>
      </c>
      <c r="G370" s="3">
        <v>0.65277777777777779</v>
      </c>
      <c r="H370" s="3">
        <v>0.66111111111111109</v>
      </c>
      <c r="I370" s="1">
        <v>12</v>
      </c>
      <c r="J370" s="1">
        <v>20</v>
      </c>
      <c r="K370" s="1" t="s">
        <v>18</v>
      </c>
      <c r="L370" s="1" t="s">
        <v>19</v>
      </c>
      <c r="M370" s="1">
        <v>1199</v>
      </c>
    </row>
    <row r="371" spans="1:13" x14ac:dyDescent="0.35">
      <c r="A371" s="1" t="s">
        <v>736</v>
      </c>
      <c r="B371" s="2">
        <v>46025</v>
      </c>
      <c r="C371" s="1" t="s">
        <v>737</v>
      </c>
      <c r="D371" s="1" t="s">
        <v>31</v>
      </c>
      <c r="E371" s="1" t="s">
        <v>50</v>
      </c>
      <c r="F371" s="1" t="s">
        <v>17</v>
      </c>
      <c r="G371" s="3">
        <v>0.86111111111111116</v>
      </c>
      <c r="H371" s="3">
        <v>0.86111111111111116</v>
      </c>
      <c r="I371" s="1">
        <v>0</v>
      </c>
      <c r="J371" s="1">
        <v>-4</v>
      </c>
      <c r="K371" s="1"/>
      <c r="L371" s="1" t="s">
        <v>19</v>
      </c>
      <c r="M371" s="1">
        <v>1743</v>
      </c>
    </row>
    <row r="372" spans="1:13" x14ac:dyDescent="0.35">
      <c r="A372" s="1" t="s">
        <v>738</v>
      </c>
      <c r="B372" s="2">
        <v>46026</v>
      </c>
      <c r="C372" s="1" t="s">
        <v>399</v>
      </c>
      <c r="D372" s="1" t="s">
        <v>41</v>
      </c>
      <c r="E372" s="1" t="s">
        <v>47</v>
      </c>
      <c r="F372" s="1" t="s">
        <v>17</v>
      </c>
      <c r="G372" s="3">
        <v>0.2673611111111111</v>
      </c>
      <c r="H372" s="3">
        <v>0.26319444444444451</v>
      </c>
      <c r="I372" s="1">
        <v>-6</v>
      </c>
      <c r="J372" s="1">
        <v>-11</v>
      </c>
      <c r="K372" s="1" t="s">
        <v>18</v>
      </c>
      <c r="L372" s="1" t="s">
        <v>19</v>
      </c>
      <c r="M372" s="1">
        <v>2582</v>
      </c>
    </row>
    <row r="373" spans="1:13" x14ac:dyDescent="0.35">
      <c r="A373" s="1" t="s">
        <v>739</v>
      </c>
      <c r="B373" s="2">
        <v>46026</v>
      </c>
      <c r="C373" s="1" t="s">
        <v>740</v>
      </c>
      <c r="D373" s="1" t="s">
        <v>47</v>
      </c>
      <c r="E373" s="1" t="s">
        <v>27</v>
      </c>
      <c r="F373" s="1" t="s">
        <v>28</v>
      </c>
      <c r="G373" s="3">
        <v>0.34375</v>
      </c>
      <c r="H373" s="3">
        <v>0.33888888888888891</v>
      </c>
      <c r="I373" s="1">
        <v>-7</v>
      </c>
      <c r="J373" s="1">
        <v>-1</v>
      </c>
      <c r="K373" s="1"/>
      <c r="L373" s="1" t="s">
        <v>19</v>
      </c>
      <c r="M373" s="1">
        <v>1462</v>
      </c>
    </row>
    <row r="374" spans="1:13" x14ac:dyDescent="0.35">
      <c r="A374" s="1" t="s">
        <v>741</v>
      </c>
      <c r="B374" s="2">
        <v>46026</v>
      </c>
      <c r="C374" s="1" t="s">
        <v>742</v>
      </c>
      <c r="D374" s="1" t="s">
        <v>15</v>
      </c>
      <c r="E374" s="1" t="s">
        <v>50</v>
      </c>
      <c r="F374" s="1" t="s">
        <v>28</v>
      </c>
      <c r="G374" s="3">
        <v>0.84375</v>
      </c>
      <c r="H374" s="3">
        <v>0.8520833333333333</v>
      </c>
      <c r="I374" s="1">
        <v>12</v>
      </c>
      <c r="J374" s="1">
        <v>8</v>
      </c>
      <c r="K374" s="1" t="s">
        <v>18</v>
      </c>
      <c r="L374" s="1" t="s">
        <v>19</v>
      </c>
      <c r="M374" s="1">
        <v>1942</v>
      </c>
    </row>
    <row r="375" spans="1:13" x14ac:dyDescent="0.35">
      <c r="A375" s="1" t="s">
        <v>743</v>
      </c>
      <c r="B375" s="2">
        <v>46027</v>
      </c>
      <c r="C375" s="1" t="s">
        <v>374</v>
      </c>
      <c r="D375" s="1" t="s">
        <v>41</v>
      </c>
      <c r="E375" s="1" t="s">
        <v>50</v>
      </c>
      <c r="F375" s="1" t="s">
        <v>24</v>
      </c>
      <c r="G375" s="3">
        <v>0.29166666666666669</v>
      </c>
      <c r="H375" s="3">
        <v>0.29583333333333328</v>
      </c>
      <c r="I375" s="1">
        <v>6</v>
      </c>
      <c r="J375" s="1">
        <v>13</v>
      </c>
      <c r="K375" s="1" t="s">
        <v>18</v>
      </c>
      <c r="L375" s="1" t="s">
        <v>19</v>
      </c>
      <c r="M375" s="1">
        <v>596</v>
      </c>
    </row>
    <row r="376" spans="1:13" x14ac:dyDescent="0.35">
      <c r="A376" s="1" t="s">
        <v>744</v>
      </c>
      <c r="B376" s="2">
        <v>46027</v>
      </c>
      <c r="C376" s="1" t="s">
        <v>619</v>
      </c>
      <c r="D376" s="1" t="s">
        <v>78</v>
      </c>
      <c r="E376" s="1" t="s">
        <v>15</v>
      </c>
      <c r="F376" s="1" t="s">
        <v>17</v>
      </c>
      <c r="G376" s="3">
        <v>0.40972222222222221</v>
      </c>
      <c r="H376" s="3">
        <v>0.42638888888888887</v>
      </c>
      <c r="I376" s="1">
        <v>24</v>
      </c>
      <c r="J376" s="1">
        <v>14</v>
      </c>
      <c r="K376" s="1" t="s">
        <v>98</v>
      </c>
      <c r="L376" s="1" t="s">
        <v>19</v>
      </c>
      <c r="M376" s="1">
        <v>370</v>
      </c>
    </row>
    <row r="377" spans="1:13" x14ac:dyDescent="0.35">
      <c r="A377" s="1" t="s">
        <v>745</v>
      </c>
      <c r="B377" s="2">
        <v>46027</v>
      </c>
      <c r="C377" s="1" t="s">
        <v>746</v>
      </c>
      <c r="D377" s="1" t="s">
        <v>41</v>
      </c>
      <c r="E377" s="1" t="s">
        <v>22</v>
      </c>
      <c r="F377" s="1" t="s">
        <v>17</v>
      </c>
      <c r="G377" s="3">
        <v>0.44791666666666669</v>
      </c>
      <c r="H377" s="3">
        <v>0.47916666666666669</v>
      </c>
      <c r="I377" s="1">
        <v>45</v>
      </c>
      <c r="J377" s="1">
        <v>53</v>
      </c>
      <c r="K377" s="1" t="s">
        <v>60</v>
      </c>
      <c r="L377" s="1" t="s">
        <v>19</v>
      </c>
      <c r="M377" s="1">
        <v>1092</v>
      </c>
    </row>
    <row r="378" spans="1:13" x14ac:dyDescent="0.35">
      <c r="A378" s="1" t="s">
        <v>747</v>
      </c>
      <c r="B378" s="2">
        <v>46027</v>
      </c>
      <c r="C378" s="1" t="s">
        <v>748</v>
      </c>
      <c r="D378" s="1" t="s">
        <v>50</v>
      </c>
      <c r="E378" s="1" t="s">
        <v>31</v>
      </c>
      <c r="F378" s="1" t="s">
        <v>38</v>
      </c>
      <c r="G378" s="3">
        <v>0.63541666666666663</v>
      </c>
      <c r="H378" s="3">
        <v>0.63055555555555554</v>
      </c>
      <c r="I378" s="1">
        <v>-7</v>
      </c>
      <c r="J378" s="1">
        <v>-10</v>
      </c>
      <c r="K378" s="1" t="s">
        <v>18</v>
      </c>
      <c r="L378" s="1" t="s">
        <v>19</v>
      </c>
      <c r="M378" s="1">
        <v>1743</v>
      </c>
    </row>
    <row r="379" spans="1:13" x14ac:dyDescent="0.35">
      <c r="A379" s="1" t="s">
        <v>749</v>
      </c>
      <c r="B379" s="2">
        <v>46028</v>
      </c>
      <c r="C379" s="1" t="s">
        <v>750</v>
      </c>
      <c r="D379" s="1" t="s">
        <v>27</v>
      </c>
      <c r="E379" s="1" t="s">
        <v>23</v>
      </c>
      <c r="F379" s="1" t="s">
        <v>28</v>
      </c>
      <c r="G379" s="3">
        <v>0.36805555555555558</v>
      </c>
      <c r="H379" s="1"/>
      <c r="I379" s="1"/>
      <c r="J379" s="1"/>
      <c r="K379" s="1" t="s">
        <v>303</v>
      </c>
      <c r="L379" s="1" t="s">
        <v>254</v>
      </c>
      <c r="M379" s="1">
        <v>641</v>
      </c>
    </row>
    <row r="380" spans="1:13" x14ac:dyDescent="0.35">
      <c r="A380" s="1" t="s">
        <v>751</v>
      </c>
      <c r="B380" s="2">
        <v>46028</v>
      </c>
      <c r="C380" s="1" t="s">
        <v>752</v>
      </c>
      <c r="D380" s="1" t="s">
        <v>16</v>
      </c>
      <c r="E380" s="1" t="s">
        <v>41</v>
      </c>
      <c r="F380" s="1" t="s">
        <v>17</v>
      </c>
      <c r="G380" s="3">
        <v>0.50347222222222221</v>
      </c>
      <c r="H380" s="3">
        <v>0.51527777777777772</v>
      </c>
      <c r="I380" s="1">
        <v>17</v>
      </c>
      <c r="J380" s="1">
        <v>14</v>
      </c>
      <c r="K380" s="1" t="s">
        <v>276</v>
      </c>
      <c r="L380" s="1" t="s">
        <v>19</v>
      </c>
      <c r="M380" s="1">
        <v>1199</v>
      </c>
    </row>
    <row r="381" spans="1:13" x14ac:dyDescent="0.35">
      <c r="A381" s="1" t="s">
        <v>753</v>
      </c>
      <c r="B381" s="2">
        <v>46028</v>
      </c>
      <c r="C381" s="1" t="s">
        <v>754</v>
      </c>
      <c r="D381" s="1" t="s">
        <v>22</v>
      </c>
      <c r="E381" s="1" t="s">
        <v>123</v>
      </c>
      <c r="F381" s="1" t="s">
        <v>17</v>
      </c>
      <c r="G381" s="3">
        <v>0.65277777777777779</v>
      </c>
      <c r="H381" s="3">
        <v>0.65763888888888888</v>
      </c>
      <c r="I381" s="1">
        <v>7</v>
      </c>
      <c r="J381" s="1">
        <v>9</v>
      </c>
      <c r="K381" s="1" t="s">
        <v>18</v>
      </c>
      <c r="L381" s="1" t="s">
        <v>19</v>
      </c>
      <c r="M381" s="1">
        <v>759</v>
      </c>
    </row>
    <row r="382" spans="1:13" x14ac:dyDescent="0.35">
      <c r="A382" s="1" t="s">
        <v>755</v>
      </c>
      <c r="B382" s="2">
        <v>46029</v>
      </c>
      <c r="C382" s="1" t="s">
        <v>756</v>
      </c>
      <c r="D382" s="1" t="s">
        <v>27</v>
      </c>
      <c r="E382" s="1" t="s">
        <v>78</v>
      </c>
      <c r="F382" s="1" t="s">
        <v>24</v>
      </c>
      <c r="G382" s="3">
        <v>0.72916666666666663</v>
      </c>
      <c r="H382" s="3">
        <v>0.80555555555555558</v>
      </c>
      <c r="I382" s="1">
        <v>110</v>
      </c>
      <c r="J382" s="1">
        <v>104</v>
      </c>
      <c r="K382" s="1" t="s">
        <v>129</v>
      </c>
      <c r="L382" s="1" t="s">
        <v>19</v>
      </c>
      <c r="M382" s="1">
        <v>866</v>
      </c>
    </row>
    <row r="383" spans="1:13" x14ac:dyDescent="0.35">
      <c r="A383" s="1" t="s">
        <v>757</v>
      </c>
      <c r="B383" s="2">
        <v>46030</v>
      </c>
      <c r="C383" s="1" t="s">
        <v>758</v>
      </c>
      <c r="D383" s="1" t="s">
        <v>37</v>
      </c>
      <c r="E383" s="1" t="s">
        <v>23</v>
      </c>
      <c r="F383" s="1" t="s">
        <v>38</v>
      </c>
      <c r="G383" s="3">
        <v>0.85069444444444442</v>
      </c>
      <c r="H383" s="3">
        <v>0.85416666666666663</v>
      </c>
      <c r="I383" s="1">
        <v>5</v>
      </c>
      <c r="J383" s="1">
        <v>9</v>
      </c>
      <c r="K383" s="1" t="s">
        <v>18</v>
      </c>
      <c r="L383" s="1" t="s">
        <v>19</v>
      </c>
      <c r="M383" s="1">
        <v>1023</v>
      </c>
    </row>
    <row r="384" spans="1:13" x14ac:dyDescent="0.35">
      <c r="A384" s="1" t="s">
        <v>759</v>
      </c>
      <c r="B384" s="2">
        <v>46030</v>
      </c>
      <c r="C384" s="1" t="s">
        <v>760</v>
      </c>
      <c r="D384" s="1" t="s">
        <v>16</v>
      </c>
      <c r="E384" s="1" t="s">
        <v>41</v>
      </c>
      <c r="F384" s="1" t="s">
        <v>17</v>
      </c>
      <c r="G384" s="3">
        <v>0.95138888888888884</v>
      </c>
      <c r="H384" s="3">
        <v>0.95416666666666672</v>
      </c>
      <c r="I384" s="1">
        <v>4</v>
      </c>
      <c r="J384" s="1">
        <v>0</v>
      </c>
      <c r="K384" s="1" t="s">
        <v>18</v>
      </c>
      <c r="L384" s="1" t="s">
        <v>19</v>
      </c>
      <c r="M384" s="1">
        <v>1199</v>
      </c>
    </row>
    <row r="385" spans="1:13" x14ac:dyDescent="0.35">
      <c r="A385" s="1" t="s">
        <v>761</v>
      </c>
      <c r="B385" s="2">
        <v>46031</v>
      </c>
      <c r="C385" s="1" t="s">
        <v>548</v>
      </c>
      <c r="D385" s="1" t="s">
        <v>23</v>
      </c>
      <c r="E385" s="1" t="s">
        <v>37</v>
      </c>
      <c r="F385" s="1" t="s">
        <v>24</v>
      </c>
      <c r="G385" s="3">
        <v>0.34722222222222221</v>
      </c>
      <c r="H385" s="1"/>
      <c r="I385" s="1"/>
      <c r="J385" s="1"/>
      <c r="K385" s="1" t="s">
        <v>129</v>
      </c>
      <c r="L385" s="1" t="s">
        <v>254</v>
      </c>
      <c r="M385" s="1">
        <v>1023</v>
      </c>
    </row>
    <row r="386" spans="1:13" x14ac:dyDescent="0.35">
      <c r="A386" s="1" t="s">
        <v>762</v>
      </c>
      <c r="B386" s="2">
        <v>46031</v>
      </c>
      <c r="C386" s="1" t="s">
        <v>249</v>
      </c>
      <c r="D386" s="1" t="s">
        <v>31</v>
      </c>
      <c r="E386" s="1" t="s">
        <v>50</v>
      </c>
      <c r="F386" s="1" t="s">
        <v>38</v>
      </c>
      <c r="G386" s="3">
        <v>0.41319444444444442</v>
      </c>
      <c r="H386" s="3">
        <v>0.41458333333333341</v>
      </c>
      <c r="I386" s="1">
        <v>2</v>
      </c>
      <c r="J386" s="1">
        <v>-1</v>
      </c>
      <c r="K386" s="1" t="s">
        <v>18</v>
      </c>
      <c r="L386" s="1" t="s">
        <v>19</v>
      </c>
      <c r="M386" s="1">
        <v>1743</v>
      </c>
    </row>
    <row r="387" spans="1:13" x14ac:dyDescent="0.35">
      <c r="A387" s="1" t="s">
        <v>763</v>
      </c>
      <c r="B387" s="2">
        <v>46031</v>
      </c>
      <c r="C387" s="1" t="s">
        <v>764</v>
      </c>
      <c r="D387" s="1" t="s">
        <v>50</v>
      </c>
      <c r="E387" s="1" t="s">
        <v>22</v>
      </c>
      <c r="F387" s="1" t="s">
        <v>28</v>
      </c>
      <c r="G387" s="3">
        <v>0.51736111111111116</v>
      </c>
      <c r="H387" s="3">
        <v>0.52430555555555558</v>
      </c>
      <c r="I387" s="1">
        <v>10</v>
      </c>
      <c r="J387" s="1">
        <v>2</v>
      </c>
      <c r="K387" s="1" t="s">
        <v>18</v>
      </c>
      <c r="L387" s="1" t="s">
        <v>19</v>
      </c>
      <c r="M387" s="1">
        <v>759</v>
      </c>
    </row>
    <row r="388" spans="1:13" x14ac:dyDescent="0.35">
      <c r="A388" s="1" t="s">
        <v>765</v>
      </c>
      <c r="B388" s="2">
        <v>46031</v>
      </c>
      <c r="C388" s="1" t="s">
        <v>766</v>
      </c>
      <c r="D388" s="1" t="s">
        <v>22</v>
      </c>
      <c r="E388" s="1" t="s">
        <v>27</v>
      </c>
      <c r="F388" s="1" t="s">
        <v>38</v>
      </c>
      <c r="G388" s="3">
        <v>0.78472222222222221</v>
      </c>
      <c r="H388" s="3">
        <v>0.78055555555555556</v>
      </c>
      <c r="I388" s="1">
        <v>-6</v>
      </c>
      <c r="J388" s="1">
        <v>4</v>
      </c>
      <c r="K388" s="1"/>
      <c r="L388" s="1" t="s">
        <v>19</v>
      </c>
      <c r="M388" s="1">
        <v>1389</v>
      </c>
    </row>
    <row r="389" spans="1:13" x14ac:dyDescent="0.35">
      <c r="A389" s="1" t="s">
        <v>767</v>
      </c>
      <c r="B389" s="2">
        <v>46031</v>
      </c>
      <c r="C389" s="1" t="s">
        <v>768</v>
      </c>
      <c r="D389" s="1" t="s">
        <v>16</v>
      </c>
      <c r="E389" s="1" t="s">
        <v>15</v>
      </c>
      <c r="F389" s="1" t="s">
        <v>28</v>
      </c>
      <c r="G389" s="3">
        <v>0.78819444444444442</v>
      </c>
      <c r="H389" s="3">
        <v>0.8208333333333333</v>
      </c>
      <c r="I389" s="1">
        <v>47</v>
      </c>
      <c r="J389" s="1">
        <v>51</v>
      </c>
      <c r="K389" s="1" t="s">
        <v>319</v>
      </c>
      <c r="L389" s="1" t="s">
        <v>19</v>
      </c>
      <c r="M389" s="1">
        <v>1742</v>
      </c>
    </row>
    <row r="390" spans="1:13" x14ac:dyDescent="0.35">
      <c r="A390" s="1" t="s">
        <v>769</v>
      </c>
      <c r="B390" s="2">
        <v>46033</v>
      </c>
      <c r="C390" s="1" t="s">
        <v>770</v>
      </c>
      <c r="D390" s="1" t="s">
        <v>15</v>
      </c>
      <c r="E390" s="1" t="s">
        <v>27</v>
      </c>
      <c r="F390" s="1" t="s">
        <v>24</v>
      </c>
      <c r="G390" s="3">
        <v>0.35069444444444442</v>
      </c>
      <c r="H390" s="3">
        <v>0.38680555555555562</v>
      </c>
      <c r="I390" s="1">
        <v>52</v>
      </c>
      <c r="J390" s="1">
        <v>48</v>
      </c>
      <c r="K390" s="1" t="s">
        <v>617</v>
      </c>
      <c r="L390" s="1" t="s">
        <v>19</v>
      </c>
      <c r="M390" s="1">
        <v>1232</v>
      </c>
    </row>
    <row r="391" spans="1:13" x14ac:dyDescent="0.35">
      <c r="A391" s="1" t="s">
        <v>771</v>
      </c>
      <c r="B391" s="2">
        <v>46033</v>
      </c>
      <c r="C391" s="1" t="s">
        <v>171</v>
      </c>
      <c r="D391" s="1" t="s">
        <v>44</v>
      </c>
      <c r="E391" s="1" t="s">
        <v>41</v>
      </c>
      <c r="F391" s="1" t="s">
        <v>28</v>
      </c>
      <c r="G391" s="3">
        <v>0.65972222222222221</v>
      </c>
      <c r="H391" s="3">
        <v>0.65902777777777777</v>
      </c>
      <c r="I391" s="1">
        <v>-1</v>
      </c>
      <c r="J391" s="1">
        <v>9</v>
      </c>
      <c r="K391" s="1"/>
      <c r="L391" s="1" t="s">
        <v>19</v>
      </c>
      <c r="M391" s="1">
        <v>1260</v>
      </c>
    </row>
    <row r="392" spans="1:13" x14ac:dyDescent="0.35">
      <c r="A392" s="1" t="s">
        <v>772</v>
      </c>
      <c r="B392" s="2">
        <v>46033</v>
      </c>
      <c r="C392" s="1" t="s">
        <v>773</v>
      </c>
      <c r="D392" s="1" t="s">
        <v>16</v>
      </c>
      <c r="E392" s="1" t="s">
        <v>27</v>
      </c>
      <c r="F392" s="1" t="s">
        <v>38</v>
      </c>
      <c r="G392" s="3">
        <v>0.75347222222222221</v>
      </c>
      <c r="H392" s="1"/>
      <c r="I392" s="1"/>
      <c r="J392" s="1"/>
      <c r="K392" s="1" t="s">
        <v>129</v>
      </c>
      <c r="L392" s="1" t="s">
        <v>254</v>
      </c>
      <c r="M392" s="1">
        <v>802</v>
      </c>
    </row>
    <row r="393" spans="1:13" x14ac:dyDescent="0.35">
      <c r="A393" s="1" t="s">
        <v>774</v>
      </c>
      <c r="B393" s="2">
        <v>46034</v>
      </c>
      <c r="C393" s="1" t="s">
        <v>133</v>
      </c>
      <c r="D393" s="1" t="s">
        <v>23</v>
      </c>
      <c r="E393" s="1" t="s">
        <v>22</v>
      </c>
      <c r="F393" s="1" t="s">
        <v>38</v>
      </c>
      <c r="G393" s="3">
        <v>0.40625</v>
      </c>
      <c r="H393" s="3">
        <v>0.41111111111111109</v>
      </c>
      <c r="I393" s="1">
        <v>7</v>
      </c>
      <c r="J393" s="1">
        <v>16</v>
      </c>
      <c r="K393" s="1" t="s">
        <v>18</v>
      </c>
      <c r="L393" s="1" t="s">
        <v>19</v>
      </c>
      <c r="M393" s="1">
        <v>1622</v>
      </c>
    </row>
    <row r="394" spans="1:13" x14ac:dyDescent="0.35">
      <c r="A394" s="1" t="s">
        <v>775</v>
      </c>
      <c r="B394" s="2">
        <v>46034</v>
      </c>
      <c r="C394" s="1" t="s">
        <v>776</v>
      </c>
      <c r="D394" s="1" t="s">
        <v>15</v>
      </c>
      <c r="E394" s="1" t="s">
        <v>27</v>
      </c>
      <c r="F394" s="1" t="s">
        <v>17</v>
      </c>
      <c r="G394" s="3">
        <v>0.41666666666666669</v>
      </c>
      <c r="H394" s="3">
        <v>0.42152777777777778</v>
      </c>
      <c r="I394" s="1">
        <v>7</v>
      </c>
      <c r="J394" s="1">
        <v>8</v>
      </c>
      <c r="K394" s="1"/>
      <c r="L394" s="1" t="s">
        <v>19</v>
      </c>
      <c r="M394" s="1">
        <v>1232</v>
      </c>
    </row>
    <row r="395" spans="1:13" x14ac:dyDescent="0.35">
      <c r="A395" s="1" t="s">
        <v>777</v>
      </c>
      <c r="B395" s="2">
        <v>46034</v>
      </c>
      <c r="C395" s="1" t="s">
        <v>778</v>
      </c>
      <c r="D395" s="1" t="s">
        <v>78</v>
      </c>
      <c r="E395" s="1" t="s">
        <v>27</v>
      </c>
      <c r="F395" s="1" t="s">
        <v>17</v>
      </c>
      <c r="G395" s="3">
        <v>0.88888888888888884</v>
      </c>
      <c r="H395" s="3">
        <v>0.89652777777777781</v>
      </c>
      <c r="I395" s="1">
        <v>11</v>
      </c>
      <c r="J395" s="1">
        <v>15</v>
      </c>
      <c r="K395" s="1" t="s">
        <v>18</v>
      </c>
      <c r="L395" s="1" t="s">
        <v>19</v>
      </c>
      <c r="M395" s="1">
        <v>866</v>
      </c>
    </row>
    <row r="396" spans="1:13" x14ac:dyDescent="0.35">
      <c r="A396" s="1" t="s">
        <v>779</v>
      </c>
      <c r="B396" s="2">
        <v>46035</v>
      </c>
      <c r="C396" s="1" t="s">
        <v>780</v>
      </c>
      <c r="D396" s="1" t="s">
        <v>78</v>
      </c>
      <c r="E396" s="1" t="s">
        <v>23</v>
      </c>
      <c r="F396" s="1" t="s">
        <v>38</v>
      </c>
      <c r="G396" s="3">
        <v>0.28472222222222221</v>
      </c>
      <c r="H396" s="3">
        <v>0.28263888888888888</v>
      </c>
      <c r="I396" s="1">
        <v>-3</v>
      </c>
      <c r="J396" s="1">
        <v>7</v>
      </c>
      <c r="K396" s="1"/>
      <c r="L396" s="1" t="s">
        <v>19</v>
      </c>
      <c r="M396" s="1">
        <v>602</v>
      </c>
    </row>
    <row r="397" spans="1:13" x14ac:dyDescent="0.35">
      <c r="A397" s="1" t="s">
        <v>781</v>
      </c>
      <c r="B397" s="2">
        <v>46035</v>
      </c>
      <c r="C397" s="1" t="s">
        <v>782</v>
      </c>
      <c r="D397" s="1" t="s">
        <v>23</v>
      </c>
      <c r="E397" s="1" t="s">
        <v>27</v>
      </c>
      <c r="F397" s="1" t="s">
        <v>24</v>
      </c>
      <c r="G397" s="3">
        <v>0.40277777777777779</v>
      </c>
      <c r="H397" s="3">
        <v>0.41041666666666671</v>
      </c>
      <c r="I397" s="1">
        <v>11</v>
      </c>
      <c r="J397" s="1">
        <v>14</v>
      </c>
      <c r="K397" s="1" t="s">
        <v>18</v>
      </c>
      <c r="L397" s="1" t="s">
        <v>19</v>
      </c>
      <c r="M397" s="1">
        <v>641</v>
      </c>
    </row>
    <row r="398" spans="1:13" x14ac:dyDescent="0.35">
      <c r="A398" s="1" t="s">
        <v>783</v>
      </c>
      <c r="B398" s="2">
        <v>46035</v>
      </c>
      <c r="C398" s="1" t="s">
        <v>77</v>
      </c>
      <c r="D398" s="1" t="s">
        <v>22</v>
      </c>
      <c r="E398" s="1" t="s">
        <v>78</v>
      </c>
      <c r="F398" s="1" t="s">
        <v>24</v>
      </c>
      <c r="G398" s="3">
        <v>0.43055555555555558</v>
      </c>
      <c r="H398" s="3">
        <v>0.43402777777777779</v>
      </c>
      <c r="I398" s="1">
        <v>5</v>
      </c>
      <c r="J398" s="1">
        <v>-2</v>
      </c>
      <c r="K398" s="1" t="s">
        <v>18</v>
      </c>
      <c r="L398" s="1" t="s">
        <v>19</v>
      </c>
      <c r="M398" s="1">
        <v>2149</v>
      </c>
    </row>
    <row r="399" spans="1:13" x14ac:dyDescent="0.35">
      <c r="A399" s="1" t="s">
        <v>784</v>
      </c>
      <c r="B399" s="2">
        <v>46035</v>
      </c>
      <c r="C399" s="1" t="s">
        <v>785</v>
      </c>
      <c r="D399" s="1" t="s">
        <v>15</v>
      </c>
      <c r="E399" s="1" t="s">
        <v>41</v>
      </c>
      <c r="F399" s="1" t="s">
        <v>17</v>
      </c>
      <c r="G399" s="3">
        <v>0.4375</v>
      </c>
      <c r="H399" s="3">
        <v>0.4375</v>
      </c>
      <c r="I399" s="1">
        <v>0</v>
      </c>
      <c r="J399" s="1">
        <v>-8</v>
      </c>
      <c r="K399" s="1"/>
      <c r="L399" s="1" t="s">
        <v>19</v>
      </c>
      <c r="M399" s="1">
        <v>2338</v>
      </c>
    </row>
    <row r="400" spans="1:13" x14ac:dyDescent="0.35">
      <c r="A400" s="1" t="s">
        <v>786</v>
      </c>
      <c r="B400" s="2">
        <v>46035</v>
      </c>
      <c r="C400" s="1" t="s">
        <v>787</v>
      </c>
      <c r="D400" s="1" t="s">
        <v>47</v>
      </c>
      <c r="E400" s="1" t="s">
        <v>31</v>
      </c>
      <c r="F400" s="1" t="s">
        <v>38</v>
      </c>
      <c r="G400" s="3">
        <v>0.56597222222222221</v>
      </c>
      <c r="H400" s="3">
        <v>0.56180555555555556</v>
      </c>
      <c r="I400" s="1">
        <v>-6</v>
      </c>
      <c r="J400" s="1">
        <v>-11</v>
      </c>
      <c r="K400" s="1" t="s">
        <v>18</v>
      </c>
      <c r="L400" s="1" t="s">
        <v>19</v>
      </c>
      <c r="M400" s="1">
        <v>414</v>
      </c>
    </row>
    <row r="401" spans="1:13" x14ac:dyDescent="0.35">
      <c r="A401" s="1" t="s">
        <v>788</v>
      </c>
      <c r="B401" s="2">
        <v>46037</v>
      </c>
      <c r="C401" s="1" t="s">
        <v>789</v>
      </c>
      <c r="D401" s="1" t="s">
        <v>214</v>
      </c>
      <c r="E401" s="1" t="s">
        <v>50</v>
      </c>
      <c r="F401" s="1" t="s">
        <v>24</v>
      </c>
      <c r="G401" s="3">
        <v>0.64236111111111116</v>
      </c>
      <c r="H401" s="1"/>
      <c r="I401" s="1"/>
      <c r="J401" s="1"/>
      <c r="K401" s="1" t="s">
        <v>60</v>
      </c>
      <c r="L401" s="1" t="s">
        <v>254</v>
      </c>
      <c r="M401" s="1">
        <v>1197</v>
      </c>
    </row>
    <row r="402" spans="1:13" x14ac:dyDescent="0.35">
      <c r="A402" s="1" t="s">
        <v>790</v>
      </c>
      <c r="B402" s="2">
        <v>46037</v>
      </c>
      <c r="C402" s="1" t="s">
        <v>791</v>
      </c>
      <c r="D402" s="1" t="s">
        <v>47</v>
      </c>
      <c r="E402" s="1" t="s">
        <v>27</v>
      </c>
      <c r="F402" s="1" t="s">
        <v>17</v>
      </c>
      <c r="G402" s="3">
        <v>0.69097222222222221</v>
      </c>
      <c r="H402" s="3">
        <v>0.69444444444444442</v>
      </c>
      <c r="I402" s="1">
        <v>5</v>
      </c>
      <c r="J402" s="1">
        <v>2</v>
      </c>
      <c r="K402" s="1" t="s">
        <v>18</v>
      </c>
      <c r="L402" s="1" t="s">
        <v>19</v>
      </c>
      <c r="M402" s="1">
        <v>1462</v>
      </c>
    </row>
    <row r="403" spans="1:13" x14ac:dyDescent="0.35">
      <c r="A403" s="1" t="s">
        <v>792</v>
      </c>
      <c r="B403" s="2">
        <v>46038</v>
      </c>
      <c r="C403" s="1" t="s">
        <v>314</v>
      </c>
      <c r="D403" s="1" t="s">
        <v>37</v>
      </c>
      <c r="E403" s="1" t="s">
        <v>16</v>
      </c>
      <c r="F403" s="1" t="s">
        <v>17</v>
      </c>
      <c r="G403" s="3">
        <v>0.86111111111111116</v>
      </c>
      <c r="H403" s="3">
        <v>0.85555555555555551</v>
      </c>
      <c r="I403" s="1">
        <v>-8</v>
      </c>
      <c r="J403" s="1">
        <v>-4</v>
      </c>
      <c r="K403" s="1" t="s">
        <v>18</v>
      </c>
      <c r="L403" s="1" t="s">
        <v>19</v>
      </c>
      <c r="M403" s="1">
        <v>1717</v>
      </c>
    </row>
    <row r="404" spans="1:13" x14ac:dyDescent="0.35">
      <c r="A404" s="1" t="s">
        <v>793</v>
      </c>
      <c r="B404" s="2">
        <v>46039</v>
      </c>
      <c r="C404" s="1" t="s">
        <v>794</v>
      </c>
      <c r="D404" s="1" t="s">
        <v>50</v>
      </c>
      <c r="E404" s="1" t="s">
        <v>51</v>
      </c>
      <c r="F404" s="1" t="s">
        <v>24</v>
      </c>
      <c r="G404" s="3">
        <v>0.2361111111111111</v>
      </c>
      <c r="H404" s="3">
        <v>0.24236111111111111</v>
      </c>
      <c r="I404" s="1">
        <v>9</v>
      </c>
      <c r="J404" s="1">
        <v>1</v>
      </c>
      <c r="K404" s="1"/>
      <c r="L404" s="1" t="s">
        <v>19</v>
      </c>
      <c r="M404" s="1">
        <v>730</v>
      </c>
    </row>
    <row r="405" spans="1:13" x14ac:dyDescent="0.35">
      <c r="A405" s="1" t="s">
        <v>795</v>
      </c>
      <c r="B405" s="2">
        <v>46039</v>
      </c>
      <c r="C405" s="1" t="s">
        <v>796</v>
      </c>
      <c r="D405" s="1" t="s">
        <v>32</v>
      </c>
      <c r="E405" s="1" t="s">
        <v>47</v>
      </c>
      <c r="F405" s="1" t="s">
        <v>17</v>
      </c>
      <c r="G405" s="3">
        <v>0.59722222222222221</v>
      </c>
      <c r="H405" s="3">
        <v>0.61111111111111116</v>
      </c>
      <c r="I405" s="1">
        <v>20</v>
      </c>
      <c r="J405" s="1">
        <v>11</v>
      </c>
      <c r="K405" s="1" t="s">
        <v>149</v>
      </c>
      <c r="L405" s="1" t="s">
        <v>19</v>
      </c>
      <c r="M405" s="1">
        <v>2580</v>
      </c>
    </row>
    <row r="406" spans="1:13" x14ac:dyDescent="0.35">
      <c r="A406" s="1" t="s">
        <v>797</v>
      </c>
      <c r="B406" s="2">
        <v>46039</v>
      </c>
      <c r="C406" s="1" t="s">
        <v>452</v>
      </c>
      <c r="D406" s="1" t="s">
        <v>31</v>
      </c>
      <c r="E406" s="1" t="s">
        <v>78</v>
      </c>
      <c r="F406" s="1" t="s">
        <v>17</v>
      </c>
      <c r="G406" s="3">
        <v>0.60763888888888884</v>
      </c>
      <c r="H406" s="3">
        <v>0.61388888888888893</v>
      </c>
      <c r="I406" s="1">
        <v>9</v>
      </c>
      <c r="J406" s="1">
        <v>-2</v>
      </c>
      <c r="K406" s="1" t="s">
        <v>18</v>
      </c>
      <c r="L406" s="1" t="s">
        <v>19</v>
      </c>
      <c r="M406" s="1">
        <v>256</v>
      </c>
    </row>
    <row r="407" spans="1:13" x14ac:dyDescent="0.35">
      <c r="A407" s="1" t="s">
        <v>798</v>
      </c>
      <c r="B407" s="2">
        <v>46039</v>
      </c>
      <c r="C407" s="1" t="s">
        <v>799</v>
      </c>
      <c r="D407" s="1" t="s">
        <v>31</v>
      </c>
      <c r="E407" s="1" t="s">
        <v>23</v>
      </c>
      <c r="F407" s="1" t="s">
        <v>24</v>
      </c>
      <c r="G407" s="3">
        <v>0.73263888888888884</v>
      </c>
      <c r="H407" s="3">
        <v>0.7270833333333333</v>
      </c>
      <c r="I407" s="1">
        <v>-8</v>
      </c>
      <c r="J407" s="1">
        <v>-10</v>
      </c>
      <c r="K407" s="1" t="s">
        <v>18</v>
      </c>
      <c r="L407" s="1" t="s">
        <v>19</v>
      </c>
      <c r="M407" s="1">
        <v>627</v>
      </c>
    </row>
    <row r="408" spans="1:13" x14ac:dyDescent="0.35">
      <c r="A408" s="1" t="s">
        <v>800</v>
      </c>
      <c r="B408" s="2">
        <v>46040</v>
      </c>
      <c r="C408" s="1" t="s">
        <v>801</v>
      </c>
      <c r="D408" s="1" t="s">
        <v>15</v>
      </c>
      <c r="E408" s="1" t="s">
        <v>50</v>
      </c>
      <c r="F408" s="1" t="s">
        <v>17</v>
      </c>
      <c r="G408" s="3">
        <v>0.69097222222222221</v>
      </c>
      <c r="H408" s="3">
        <v>0.69722222222222219</v>
      </c>
      <c r="I408" s="1">
        <v>9</v>
      </c>
      <c r="J408" s="1">
        <v>18</v>
      </c>
      <c r="K408" s="1" t="s">
        <v>18</v>
      </c>
      <c r="L408" s="1" t="s">
        <v>19</v>
      </c>
      <c r="M408" s="1">
        <v>1942</v>
      </c>
    </row>
    <row r="409" spans="1:13" x14ac:dyDescent="0.35">
      <c r="A409" s="1" t="s">
        <v>802</v>
      </c>
      <c r="B409" s="2">
        <v>46040</v>
      </c>
      <c r="C409" s="1" t="s">
        <v>728</v>
      </c>
      <c r="D409" s="1" t="s">
        <v>50</v>
      </c>
      <c r="E409" s="1" t="s">
        <v>22</v>
      </c>
      <c r="F409" s="1" t="s">
        <v>28</v>
      </c>
      <c r="G409" s="3">
        <v>0.70486111111111116</v>
      </c>
      <c r="H409" s="3">
        <v>0.7104166666666667</v>
      </c>
      <c r="I409" s="1">
        <v>8</v>
      </c>
      <c r="J409" s="1">
        <v>-2</v>
      </c>
      <c r="K409" s="1" t="s">
        <v>18</v>
      </c>
      <c r="L409" s="1" t="s">
        <v>19</v>
      </c>
      <c r="M409" s="1">
        <v>759</v>
      </c>
    </row>
    <row r="410" spans="1:13" x14ac:dyDescent="0.35">
      <c r="A410" s="1" t="s">
        <v>803</v>
      </c>
      <c r="B410" s="2">
        <v>46040</v>
      </c>
      <c r="C410" s="1" t="s">
        <v>804</v>
      </c>
      <c r="D410" s="1" t="s">
        <v>31</v>
      </c>
      <c r="E410" s="1" t="s">
        <v>41</v>
      </c>
      <c r="F410" s="1" t="s">
        <v>28</v>
      </c>
      <c r="G410" s="3">
        <v>0.77083333333333337</v>
      </c>
      <c r="H410" s="3">
        <v>0.78194444444444444</v>
      </c>
      <c r="I410" s="1">
        <v>16</v>
      </c>
      <c r="J410" s="1">
        <v>19</v>
      </c>
      <c r="K410" s="1" t="s">
        <v>276</v>
      </c>
      <c r="L410" s="1" t="s">
        <v>19</v>
      </c>
      <c r="M410" s="1">
        <v>2171</v>
      </c>
    </row>
    <row r="411" spans="1:13" x14ac:dyDescent="0.35">
      <c r="A411" s="1" t="s">
        <v>805</v>
      </c>
      <c r="B411" s="2">
        <v>46041</v>
      </c>
      <c r="C411" s="1" t="s">
        <v>92</v>
      </c>
      <c r="D411" s="1" t="s">
        <v>806</v>
      </c>
      <c r="E411" s="1" t="s">
        <v>23</v>
      </c>
      <c r="F411" s="1" t="s">
        <v>17</v>
      </c>
      <c r="G411" s="3">
        <v>0.2673611111111111</v>
      </c>
      <c r="H411" s="3">
        <v>0.26250000000000001</v>
      </c>
      <c r="I411" s="1">
        <v>-7</v>
      </c>
      <c r="J411" s="1">
        <v>-14</v>
      </c>
      <c r="K411" s="1" t="s">
        <v>18</v>
      </c>
      <c r="L411" s="1" t="s">
        <v>19</v>
      </c>
      <c r="M411" s="1">
        <v>861</v>
      </c>
    </row>
    <row r="412" spans="1:13" x14ac:dyDescent="0.35">
      <c r="A412" s="1" t="s">
        <v>807</v>
      </c>
      <c r="B412" s="2">
        <v>46041</v>
      </c>
      <c r="C412" s="1" t="s">
        <v>742</v>
      </c>
      <c r="D412" s="1" t="s">
        <v>16</v>
      </c>
      <c r="E412" s="1" t="s">
        <v>50</v>
      </c>
      <c r="F412" s="1" t="s">
        <v>28</v>
      </c>
      <c r="G412" s="3">
        <v>0.60416666666666663</v>
      </c>
      <c r="H412" s="3">
        <v>0.63888888888888884</v>
      </c>
      <c r="I412" s="1">
        <v>50</v>
      </c>
      <c r="J412" s="1">
        <v>46</v>
      </c>
      <c r="K412" s="1" t="s">
        <v>129</v>
      </c>
      <c r="L412" s="1" t="s">
        <v>19</v>
      </c>
      <c r="M412" s="1">
        <v>606</v>
      </c>
    </row>
    <row r="413" spans="1:13" x14ac:dyDescent="0.35">
      <c r="A413" s="1" t="s">
        <v>808</v>
      </c>
      <c r="B413" s="2">
        <v>46043</v>
      </c>
      <c r="C413" s="1" t="s">
        <v>165</v>
      </c>
      <c r="D413" s="1" t="s">
        <v>50</v>
      </c>
      <c r="E413" s="1" t="s">
        <v>15</v>
      </c>
      <c r="F413" s="1" t="s">
        <v>24</v>
      </c>
      <c r="G413" s="3">
        <v>0.33333333333333331</v>
      </c>
      <c r="H413" s="3">
        <v>0.32847222222222222</v>
      </c>
      <c r="I413" s="1">
        <v>-7</v>
      </c>
      <c r="J413" s="1">
        <v>1</v>
      </c>
      <c r="K413" s="1" t="s">
        <v>18</v>
      </c>
      <c r="L413" s="1" t="s">
        <v>19</v>
      </c>
      <c r="M413" s="1">
        <v>1942</v>
      </c>
    </row>
    <row r="414" spans="1:13" x14ac:dyDescent="0.35">
      <c r="A414" s="1" t="s">
        <v>809</v>
      </c>
      <c r="B414" s="2">
        <v>46044</v>
      </c>
      <c r="C414" s="1" t="s">
        <v>596</v>
      </c>
      <c r="D414" s="1" t="s">
        <v>325</v>
      </c>
      <c r="E414" s="1" t="s">
        <v>123</v>
      </c>
      <c r="F414" s="1" t="s">
        <v>17</v>
      </c>
      <c r="G414" s="3">
        <v>0.2986111111111111</v>
      </c>
      <c r="H414" s="3">
        <v>0.2986111111111111</v>
      </c>
      <c r="I414" s="1">
        <v>0</v>
      </c>
      <c r="J414" s="1">
        <v>-1</v>
      </c>
      <c r="K414" s="1" t="s">
        <v>18</v>
      </c>
      <c r="L414" s="1" t="s">
        <v>19</v>
      </c>
      <c r="M414" s="1">
        <v>945</v>
      </c>
    </row>
    <row r="415" spans="1:13" x14ac:dyDescent="0.35">
      <c r="A415" s="1" t="s">
        <v>810</v>
      </c>
      <c r="B415" s="2">
        <v>46044</v>
      </c>
      <c r="C415" s="1" t="s">
        <v>776</v>
      </c>
      <c r="D415" s="1" t="s">
        <v>22</v>
      </c>
      <c r="E415" s="1" t="s">
        <v>51</v>
      </c>
      <c r="F415" s="1" t="s">
        <v>17</v>
      </c>
      <c r="G415" s="3">
        <v>0.39930555555555558</v>
      </c>
      <c r="H415" s="3">
        <v>0.40763888888888888</v>
      </c>
      <c r="I415" s="1">
        <v>12</v>
      </c>
      <c r="J415" s="1">
        <v>13</v>
      </c>
      <c r="K415" s="1" t="s">
        <v>18</v>
      </c>
      <c r="L415" s="1" t="s">
        <v>19</v>
      </c>
      <c r="M415" s="1">
        <v>1389</v>
      </c>
    </row>
    <row r="416" spans="1:13" x14ac:dyDescent="0.35">
      <c r="A416" s="1" t="s">
        <v>811</v>
      </c>
      <c r="B416" s="2">
        <v>46044</v>
      </c>
      <c r="C416" s="1" t="s">
        <v>812</v>
      </c>
      <c r="D416" s="1" t="s">
        <v>23</v>
      </c>
      <c r="E416" s="1" t="s">
        <v>15</v>
      </c>
      <c r="F416" s="1" t="s">
        <v>24</v>
      </c>
      <c r="G416" s="3">
        <v>0.71180555555555558</v>
      </c>
      <c r="H416" s="3">
        <v>0.78055555555555556</v>
      </c>
      <c r="I416" s="1">
        <v>99</v>
      </c>
      <c r="J416" s="1">
        <v>100</v>
      </c>
      <c r="K416" s="1" t="s">
        <v>129</v>
      </c>
      <c r="L416" s="1" t="s">
        <v>19</v>
      </c>
      <c r="M416" s="1">
        <v>861</v>
      </c>
    </row>
    <row r="417" spans="1:13" x14ac:dyDescent="0.35">
      <c r="A417" s="1" t="s">
        <v>813</v>
      </c>
      <c r="B417" s="2">
        <v>46045</v>
      </c>
      <c r="C417" s="1" t="s">
        <v>607</v>
      </c>
      <c r="D417" s="1" t="s">
        <v>16</v>
      </c>
      <c r="E417" s="1" t="s">
        <v>50</v>
      </c>
      <c r="F417" s="1" t="s">
        <v>17</v>
      </c>
      <c r="G417" s="3">
        <v>0.21527777777777779</v>
      </c>
      <c r="H417" s="3">
        <v>0.21319444444444441</v>
      </c>
      <c r="I417" s="1">
        <v>-3</v>
      </c>
      <c r="J417" s="1">
        <v>-6</v>
      </c>
      <c r="K417" s="1" t="s">
        <v>18</v>
      </c>
      <c r="L417" s="1" t="s">
        <v>19</v>
      </c>
      <c r="M417" s="1">
        <v>606</v>
      </c>
    </row>
    <row r="418" spans="1:13" x14ac:dyDescent="0.35">
      <c r="A418" s="1" t="s">
        <v>814</v>
      </c>
      <c r="B418" s="2">
        <v>46045</v>
      </c>
      <c r="C418" s="1" t="s">
        <v>815</v>
      </c>
      <c r="D418" s="1" t="s">
        <v>27</v>
      </c>
      <c r="E418" s="1" t="s">
        <v>44</v>
      </c>
      <c r="F418" s="1" t="s">
        <v>38</v>
      </c>
      <c r="G418" s="3">
        <v>0.40625</v>
      </c>
      <c r="H418" s="3">
        <v>0.40833333333333333</v>
      </c>
      <c r="I418" s="1">
        <v>3</v>
      </c>
      <c r="J418" s="1">
        <v>13</v>
      </c>
      <c r="K418" s="1" t="s">
        <v>18</v>
      </c>
      <c r="L418" s="1" t="s">
        <v>19</v>
      </c>
      <c r="M418" s="1">
        <v>1559</v>
      </c>
    </row>
    <row r="419" spans="1:13" x14ac:dyDescent="0.35">
      <c r="A419" s="1" t="s">
        <v>816</v>
      </c>
      <c r="B419" s="2">
        <v>46046</v>
      </c>
      <c r="C419" s="1" t="s">
        <v>817</v>
      </c>
      <c r="D419" s="1" t="s">
        <v>44</v>
      </c>
      <c r="E419" s="1" t="s">
        <v>27</v>
      </c>
      <c r="F419" s="1" t="s">
        <v>24</v>
      </c>
      <c r="G419" s="3">
        <v>0.84375</v>
      </c>
      <c r="H419" s="3">
        <v>0.84722222222222221</v>
      </c>
      <c r="I419" s="1">
        <v>5</v>
      </c>
      <c r="J419" s="1">
        <v>7</v>
      </c>
      <c r="K419" s="1" t="s">
        <v>18</v>
      </c>
      <c r="L419" s="1" t="s">
        <v>19</v>
      </c>
      <c r="M419" s="1">
        <v>1559</v>
      </c>
    </row>
    <row r="420" spans="1:13" x14ac:dyDescent="0.35">
      <c r="A420" s="1" t="s">
        <v>818</v>
      </c>
      <c r="B420" s="2">
        <v>46047</v>
      </c>
      <c r="C420" s="1" t="s">
        <v>819</v>
      </c>
      <c r="D420" s="1" t="s">
        <v>806</v>
      </c>
      <c r="E420" s="1" t="s">
        <v>31</v>
      </c>
      <c r="F420" s="1" t="s">
        <v>17</v>
      </c>
      <c r="G420" s="3">
        <v>0.45833333333333331</v>
      </c>
      <c r="H420" s="3">
        <v>0.46041666666666659</v>
      </c>
      <c r="I420" s="1">
        <v>3</v>
      </c>
      <c r="J420" s="1">
        <v>0</v>
      </c>
      <c r="K420" s="1"/>
      <c r="L420" s="1" t="s">
        <v>19</v>
      </c>
      <c r="M420" s="1">
        <v>236</v>
      </c>
    </row>
    <row r="421" spans="1:13" x14ac:dyDescent="0.35">
      <c r="A421" s="1" t="s">
        <v>820</v>
      </c>
      <c r="B421" s="2">
        <v>46047</v>
      </c>
      <c r="C421" s="1" t="s">
        <v>821</v>
      </c>
      <c r="D421" s="1" t="s">
        <v>23</v>
      </c>
      <c r="E421" s="1" t="s">
        <v>50</v>
      </c>
      <c r="F421" s="1" t="s">
        <v>24</v>
      </c>
      <c r="G421" s="3">
        <v>0.51041666666666663</v>
      </c>
      <c r="H421" s="3">
        <v>0.51666666666666672</v>
      </c>
      <c r="I421" s="1">
        <v>9</v>
      </c>
      <c r="J421" s="1">
        <v>5</v>
      </c>
      <c r="K421" s="1"/>
      <c r="L421" s="1" t="s">
        <v>19</v>
      </c>
      <c r="M421" s="1">
        <v>1197</v>
      </c>
    </row>
    <row r="422" spans="1:13" x14ac:dyDescent="0.35">
      <c r="A422" s="1" t="s">
        <v>822</v>
      </c>
      <c r="B422" s="2">
        <v>46047</v>
      </c>
      <c r="C422" s="1" t="s">
        <v>823</v>
      </c>
      <c r="D422" s="1" t="s">
        <v>79</v>
      </c>
      <c r="E422" s="1" t="s">
        <v>16</v>
      </c>
      <c r="F422" s="1" t="s">
        <v>24</v>
      </c>
      <c r="G422" s="3">
        <v>0.73263888888888884</v>
      </c>
      <c r="H422" s="3">
        <v>0.76041666666666663</v>
      </c>
      <c r="I422" s="1">
        <v>40</v>
      </c>
      <c r="J422" s="1">
        <v>33</v>
      </c>
      <c r="K422" s="1" t="s">
        <v>129</v>
      </c>
      <c r="L422" s="1" t="s">
        <v>19</v>
      </c>
      <c r="M422" s="1">
        <v>606</v>
      </c>
    </row>
    <row r="423" spans="1:13" x14ac:dyDescent="0.35">
      <c r="A423" s="1" t="s">
        <v>824</v>
      </c>
      <c r="B423" s="2">
        <v>46047</v>
      </c>
      <c r="C423" s="1" t="s">
        <v>236</v>
      </c>
      <c r="D423" s="1" t="s">
        <v>629</v>
      </c>
      <c r="E423" s="1" t="s">
        <v>23</v>
      </c>
      <c r="F423" s="1" t="s">
        <v>28</v>
      </c>
      <c r="G423" s="3">
        <v>0.76041666666666663</v>
      </c>
      <c r="H423" s="3">
        <v>0.76527777777777772</v>
      </c>
      <c r="I423" s="1">
        <v>7</v>
      </c>
      <c r="J423" s="1">
        <v>8</v>
      </c>
      <c r="K423" s="1"/>
      <c r="L423" s="1" t="s">
        <v>19</v>
      </c>
      <c r="M423" s="1">
        <v>602</v>
      </c>
    </row>
    <row r="424" spans="1:13" x14ac:dyDescent="0.35">
      <c r="A424" s="1" t="s">
        <v>825</v>
      </c>
      <c r="B424" s="2">
        <v>46048</v>
      </c>
      <c r="C424" s="1" t="s">
        <v>161</v>
      </c>
      <c r="D424" s="1" t="s">
        <v>16</v>
      </c>
      <c r="E424" s="1" t="s">
        <v>47</v>
      </c>
      <c r="F424" s="1" t="s">
        <v>28</v>
      </c>
      <c r="G424" s="3">
        <v>0.4201388888888889</v>
      </c>
      <c r="H424" s="3">
        <v>0.42083333333333328</v>
      </c>
      <c r="I424" s="1">
        <v>1</v>
      </c>
      <c r="J424" s="1">
        <v>11</v>
      </c>
      <c r="K424" s="1" t="s">
        <v>18</v>
      </c>
      <c r="L424" s="1" t="s">
        <v>19</v>
      </c>
      <c r="M424" s="1">
        <v>1842</v>
      </c>
    </row>
    <row r="425" spans="1:13" x14ac:dyDescent="0.35">
      <c r="A425" s="1" t="s">
        <v>826</v>
      </c>
      <c r="B425" s="2">
        <v>46048</v>
      </c>
      <c r="C425" s="1" t="s">
        <v>827</v>
      </c>
      <c r="D425" s="1" t="s">
        <v>50</v>
      </c>
      <c r="E425" s="1" t="s">
        <v>31</v>
      </c>
      <c r="F425" s="1" t="s">
        <v>17</v>
      </c>
      <c r="G425" s="3">
        <v>0.86111111111111116</v>
      </c>
      <c r="H425" s="3">
        <v>0.8618055555555556</v>
      </c>
      <c r="I425" s="1">
        <v>1</v>
      </c>
      <c r="J425" s="1">
        <v>-10</v>
      </c>
      <c r="K425" s="1" t="s">
        <v>18</v>
      </c>
      <c r="L425" s="1" t="s">
        <v>19</v>
      </c>
      <c r="M425" s="1">
        <v>1743</v>
      </c>
    </row>
    <row r="426" spans="1:13" x14ac:dyDescent="0.35">
      <c r="A426" s="1" t="s">
        <v>828</v>
      </c>
      <c r="B426" s="2">
        <v>46049</v>
      </c>
      <c r="C426" s="1" t="s">
        <v>829</v>
      </c>
      <c r="D426" s="1" t="s">
        <v>16</v>
      </c>
      <c r="E426" s="1" t="s">
        <v>50</v>
      </c>
      <c r="F426" s="1" t="s">
        <v>24</v>
      </c>
      <c r="G426" s="3">
        <v>0.53125</v>
      </c>
      <c r="H426" s="3">
        <v>0.53680555555555554</v>
      </c>
      <c r="I426" s="1">
        <v>8</v>
      </c>
      <c r="J426" s="1">
        <v>11</v>
      </c>
      <c r="K426" s="1" t="s">
        <v>18</v>
      </c>
      <c r="L426" s="1" t="s">
        <v>19</v>
      </c>
      <c r="M426" s="1">
        <v>606</v>
      </c>
    </row>
    <row r="427" spans="1:13" x14ac:dyDescent="0.35">
      <c r="A427" s="1" t="s">
        <v>830</v>
      </c>
      <c r="B427" s="2">
        <v>46049</v>
      </c>
      <c r="C427" s="1" t="s">
        <v>831</v>
      </c>
      <c r="D427" s="1" t="s">
        <v>41</v>
      </c>
      <c r="E427" s="1" t="s">
        <v>78</v>
      </c>
      <c r="F427" s="1" t="s">
        <v>17</v>
      </c>
      <c r="G427" s="3">
        <v>0.64930555555555558</v>
      </c>
      <c r="H427" s="3">
        <v>0.67361111111111116</v>
      </c>
      <c r="I427" s="1">
        <v>35</v>
      </c>
      <c r="J427" s="1">
        <v>42</v>
      </c>
      <c r="K427" s="1" t="s">
        <v>617</v>
      </c>
      <c r="L427" s="1" t="s">
        <v>19</v>
      </c>
      <c r="M427" s="1">
        <v>1969</v>
      </c>
    </row>
    <row r="428" spans="1:13" x14ac:dyDescent="0.35">
      <c r="A428" s="1" t="s">
        <v>832</v>
      </c>
      <c r="B428" s="2">
        <v>46051</v>
      </c>
      <c r="C428" s="1" t="s">
        <v>833</v>
      </c>
      <c r="D428" s="1" t="s">
        <v>27</v>
      </c>
      <c r="E428" s="1" t="s">
        <v>41</v>
      </c>
      <c r="F428" s="1" t="s">
        <v>24</v>
      </c>
      <c r="G428" s="3">
        <v>0.35069444444444442</v>
      </c>
      <c r="H428" s="3">
        <v>0.34930555555555548</v>
      </c>
      <c r="I428" s="1">
        <v>-2</v>
      </c>
      <c r="J428" s="1">
        <v>-11</v>
      </c>
      <c r="K428" s="1" t="s">
        <v>18</v>
      </c>
      <c r="L428" s="1" t="s">
        <v>19</v>
      </c>
      <c r="M428" s="1">
        <v>1120</v>
      </c>
    </row>
    <row r="429" spans="1:13" x14ac:dyDescent="0.35">
      <c r="A429" s="1" t="s">
        <v>834</v>
      </c>
      <c r="B429" s="2">
        <v>46051</v>
      </c>
      <c r="C429" s="1" t="s">
        <v>835</v>
      </c>
      <c r="D429" s="1" t="s">
        <v>50</v>
      </c>
      <c r="E429" s="1" t="s">
        <v>78</v>
      </c>
      <c r="F429" s="1" t="s">
        <v>17</v>
      </c>
      <c r="G429" s="3">
        <v>0.67013888888888884</v>
      </c>
      <c r="H429" s="3">
        <v>0.67083333333333328</v>
      </c>
      <c r="I429" s="1">
        <v>1</v>
      </c>
      <c r="J429" s="1">
        <v>-10</v>
      </c>
      <c r="K429" s="1" t="s">
        <v>18</v>
      </c>
      <c r="L429" s="1" t="s">
        <v>19</v>
      </c>
      <c r="M429" s="1">
        <v>1584</v>
      </c>
    </row>
    <row r="430" spans="1:13" x14ac:dyDescent="0.35">
      <c r="A430" s="1" t="s">
        <v>836</v>
      </c>
      <c r="B430" s="2">
        <v>46051</v>
      </c>
      <c r="C430" s="1" t="s">
        <v>837</v>
      </c>
      <c r="D430" s="1" t="s">
        <v>27</v>
      </c>
      <c r="E430" s="1" t="s">
        <v>22</v>
      </c>
      <c r="F430" s="1" t="s">
        <v>38</v>
      </c>
      <c r="G430" s="3">
        <v>0.8125</v>
      </c>
      <c r="H430" s="3">
        <v>0.80694444444444446</v>
      </c>
      <c r="I430" s="1">
        <v>-8</v>
      </c>
      <c r="J430" s="1">
        <v>-6</v>
      </c>
      <c r="K430" s="1" t="s">
        <v>18</v>
      </c>
      <c r="L430" s="1" t="s">
        <v>19</v>
      </c>
      <c r="M430" s="1">
        <v>1389</v>
      </c>
    </row>
    <row r="431" spans="1:13" x14ac:dyDescent="0.35">
      <c r="A431" s="1" t="s">
        <v>838</v>
      </c>
      <c r="B431" s="2">
        <v>46051</v>
      </c>
      <c r="C431" s="1" t="s">
        <v>839</v>
      </c>
      <c r="D431" s="1" t="s">
        <v>44</v>
      </c>
      <c r="E431" s="1" t="s">
        <v>15</v>
      </c>
      <c r="F431" s="1" t="s">
        <v>24</v>
      </c>
      <c r="G431" s="3">
        <v>0.84027777777777779</v>
      </c>
      <c r="H431" s="3">
        <v>0.84027777777777779</v>
      </c>
      <c r="I431" s="1">
        <v>0</v>
      </c>
      <c r="J431" s="1">
        <v>-4</v>
      </c>
      <c r="K431" s="1" t="s">
        <v>18</v>
      </c>
      <c r="L431" s="1" t="s">
        <v>19</v>
      </c>
      <c r="M431" s="1">
        <v>2606</v>
      </c>
    </row>
    <row r="432" spans="1:13" x14ac:dyDescent="0.35">
      <c r="A432" s="1" t="s">
        <v>840</v>
      </c>
      <c r="B432" s="2">
        <v>46052</v>
      </c>
      <c r="C432" s="1" t="s">
        <v>841</v>
      </c>
      <c r="D432" s="1" t="s">
        <v>32</v>
      </c>
      <c r="E432" s="1" t="s">
        <v>41</v>
      </c>
      <c r="F432" s="1" t="s">
        <v>28</v>
      </c>
      <c r="G432" s="3">
        <v>0.46180555555555558</v>
      </c>
      <c r="H432" s="3">
        <v>0.45624999999999999</v>
      </c>
      <c r="I432" s="1">
        <v>-8</v>
      </c>
      <c r="J432" s="1">
        <v>-20</v>
      </c>
      <c r="K432" s="1" t="s">
        <v>18</v>
      </c>
      <c r="L432" s="1" t="s">
        <v>19</v>
      </c>
      <c r="M432" s="1">
        <v>1092</v>
      </c>
    </row>
    <row r="433" spans="1:13" x14ac:dyDescent="0.35">
      <c r="A433" s="1" t="s">
        <v>842</v>
      </c>
      <c r="B433" s="2">
        <v>46053</v>
      </c>
      <c r="C433" s="1" t="s">
        <v>843</v>
      </c>
      <c r="D433" s="1" t="s">
        <v>78</v>
      </c>
      <c r="E433" s="1" t="s">
        <v>50</v>
      </c>
      <c r="F433" s="1" t="s">
        <v>24</v>
      </c>
      <c r="G433" s="3">
        <v>0.46180555555555558</v>
      </c>
      <c r="H433" s="3">
        <v>0.4861111111111111</v>
      </c>
      <c r="I433" s="1">
        <v>35</v>
      </c>
      <c r="J433" s="1">
        <v>35</v>
      </c>
      <c r="K433" s="1" t="s">
        <v>129</v>
      </c>
      <c r="L433" s="1" t="s">
        <v>19</v>
      </c>
      <c r="M433" s="1">
        <v>1584</v>
      </c>
    </row>
    <row r="434" spans="1:13" x14ac:dyDescent="0.35">
      <c r="A434" s="1" t="s">
        <v>844</v>
      </c>
      <c r="B434" s="2">
        <v>46053</v>
      </c>
      <c r="C434" s="1" t="s">
        <v>845</v>
      </c>
      <c r="D434" s="1" t="s">
        <v>123</v>
      </c>
      <c r="E434" s="1" t="s">
        <v>16</v>
      </c>
      <c r="F434" s="1" t="s">
        <v>28</v>
      </c>
      <c r="G434" s="3">
        <v>0.625</v>
      </c>
      <c r="H434" s="3">
        <v>0.62986111111111109</v>
      </c>
      <c r="I434" s="1">
        <v>7</v>
      </c>
      <c r="J434" s="1">
        <v>15</v>
      </c>
      <c r="K434" s="1" t="s">
        <v>18</v>
      </c>
      <c r="L434" s="1" t="s">
        <v>19</v>
      </c>
      <c r="M434" s="1">
        <v>606</v>
      </c>
    </row>
    <row r="435" spans="1:13" x14ac:dyDescent="0.35">
      <c r="A435" s="1" t="s">
        <v>846</v>
      </c>
      <c r="B435" s="2">
        <v>46053</v>
      </c>
      <c r="C435" s="1" t="s">
        <v>847</v>
      </c>
      <c r="D435" s="1" t="s">
        <v>50</v>
      </c>
      <c r="E435" s="1" t="s">
        <v>32</v>
      </c>
      <c r="F435" s="1" t="s">
        <v>24</v>
      </c>
      <c r="G435" s="3">
        <v>0.64583333333333337</v>
      </c>
      <c r="H435" s="3">
        <v>0.64513888888888893</v>
      </c>
      <c r="I435" s="1">
        <v>-1</v>
      </c>
      <c r="J435" s="1">
        <v>-6</v>
      </c>
      <c r="K435" s="1" t="s">
        <v>18</v>
      </c>
      <c r="L435" s="1" t="s">
        <v>19</v>
      </c>
      <c r="M435" s="1">
        <v>759</v>
      </c>
    </row>
    <row r="436" spans="1:13" x14ac:dyDescent="0.35">
      <c r="A436" s="1" t="s">
        <v>848</v>
      </c>
      <c r="B436" s="2">
        <v>46053</v>
      </c>
      <c r="C436" s="1" t="s">
        <v>849</v>
      </c>
      <c r="D436" s="1" t="s">
        <v>27</v>
      </c>
      <c r="E436" s="1" t="s">
        <v>23</v>
      </c>
      <c r="F436" s="1" t="s">
        <v>24</v>
      </c>
      <c r="G436" s="3">
        <v>0.65277777777777779</v>
      </c>
      <c r="H436" s="3">
        <v>0.6694444444444444</v>
      </c>
      <c r="I436" s="1">
        <v>24</v>
      </c>
      <c r="J436" s="1">
        <v>25</v>
      </c>
      <c r="K436" s="1" t="s">
        <v>129</v>
      </c>
      <c r="L436" s="1" t="s">
        <v>19</v>
      </c>
      <c r="M436" s="1">
        <v>641</v>
      </c>
    </row>
    <row r="437" spans="1:13" x14ac:dyDescent="0.35">
      <c r="A437" s="1" t="s">
        <v>850</v>
      </c>
      <c r="B437" s="2">
        <v>46053</v>
      </c>
      <c r="C437" s="1" t="s">
        <v>851</v>
      </c>
      <c r="D437" s="1" t="s">
        <v>27</v>
      </c>
      <c r="E437" s="1" t="s">
        <v>47</v>
      </c>
      <c r="F437" s="1" t="s">
        <v>17</v>
      </c>
      <c r="G437" s="3">
        <v>0.69444444444444442</v>
      </c>
      <c r="H437" s="3">
        <v>0.70277777777777772</v>
      </c>
      <c r="I437" s="1">
        <v>12</v>
      </c>
      <c r="J437" s="1">
        <v>18</v>
      </c>
      <c r="K437" s="1" t="s">
        <v>18</v>
      </c>
      <c r="L437" s="1" t="s">
        <v>19</v>
      </c>
      <c r="M437" s="1">
        <v>1462</v>
      </c>
    </row>
    <row r="438" spans="1:13" x14ac:dyDescent="0.35">
      <c r="A438" s="1" t="s">
        <v>852</v>
      </c>
      <c r="B438" s="2">
        <v>46054</v>
      </c>
      <c r="C438" s="1" t="s">
        <v>853</v>
      </c>
      <c r="D438" s="1" t="s">
        <v>50</v>
      </c>
      <c r="E438" s="1" t="s">
        <v>27</v>
      </c>
      <c r="F438" s="1" t="s">
        <v>17</v>
      </c>
      <c r="G438" s="3">
        <v>0.36458333333333331</v>
      </c>
      <c r="H438" s="3">
        <v>0.37152777777777779</v>
      </c>
      <c r="I438" s="1">
        <v>10</v>
      </c>
      <c r="J438" s="1">
        <v>20</v>
      </c>
      <c r="K438" s="1" t="s">
        <v>18</v>
      </c>
      <c r="L438" s="1" t="s">
        <v>19</v>
      </c>
      <c r="M438" s="1">
        <v>730</v>
      </c>
    </row>
    <row r="439" spans="1:13" x14ac:dyDescent="0.35">
      <c r="A439" s="1" t="s">
        <v>854</v>
      </c>
      <c r="B439" s="2">
        <v>46054</v>
      </c>
      <c r="C439" s="1" t="s">
        <v>855</v>
      </c>
      <c r="D439" s="1" t="s">
        <v>23</v>
      </c>
      <c r="E439" s="1" t="s">
        <v>15</v>
      </c>
      <c r="F439" s="1" t="s">
        <v>28</v>
      </c>
      <c r="G439" s="3">
        <v>0.64236111111111116</v>
      </c>
      <c r="H439" s="3">
        <v>0.74444444444444446</v>
      </c>
      <c r="I439" s="1">
        <v>147</v>
      </c>
      <c r="J439" s="1">
        <v>155</v>
      </c>
      <c r="K439" s="1" t="s">
        <v>174</v>
      </c>
      <c r="L439" s="1" t="s">
        <v>19</v>
      </c>
      <c r="M439" s="1">
        <v>861</v>
      </c>
    </row>
    <row r="440" spans="1:13" x14ac:dyDescent="0.35">
      <c r="A440" s="1" t="s">
        <v>856</v>
      </c>
      <c r="B440" s="2">
        <v>46054</v>
      </c>
      <c r="C440" s="1" t="s">
        <v>857</v>
      </c>
      <c r="D440" s="1" t="s">
        <v>22</v>
      </c>
      <c r="E440" s="1" t="s">
        <v>15</v>
      </c>
      <c r="F440" s="1" t="s">
        <v>24</v>
      </c>
      <c r="G440" s="3">
        <v>0.80208333333333337</v>
      </c>
      <c r="H440" s="3">
        <v>0.80763888888888891</v>
      </c>
      <c r="I440" s="1">
        <v>8</v>
      </c>
      <c r="J440" s="1">
        <v>7</v>
      </c>
      <c r="K440" s="1" t="s">
        <v>18</v>
      </c>
      <c r="L440" s="1" t="s">
        <v>19</v>
      </c>
      <c r="M440" s="1">
        <v>2470</v>
      </c>
    </row>
    <row r="441" spans="1:13" x14ac:dyDescent="0.35">
      <c r="A441" s="1" t="s">
        <v>858</v>
      </c>
      <c r="B441" s="2">
        <v>46055</v>
      </c>
      <c r="C441" s="1" t="s">
        <v>859</v>
      </c>
      <c r="D441" s="1" t="s">
        <v>16</v>
      </c>
      <c r="E441" s="1" t="s">
        <v>23</v>
      </c>
      <c r="F441" s="1" t="s">
        <v>17</v>
      </c>
      <c r="G441" s="3">
        <v>0.3611111111111111</v>
      </c>
      <c r="H441" s="3">
        <v>0.35694444444444451</v>
      </c>
      <c r="I441" s="1">
        <v>-6</v>
      </c>
      <c r="J441" s="1">
        <v>-13</v>
      </c>
      <c r="K441" s="1" t="s">
        <v>18</v>
      </c>
      <c r="L441" s="1" t="s">
        <v>19</v>
      </c>
      <c r="M441" s="1">
        <v>886</v>
      </c>
    </row>
    <row r="442" spans="1:13" x14ac:dyDescent="0.35">
      <c r="A442" s="1" t="s">
        <v>860</v>
      </c>
      <c r="B442" s="2">
        <v>46055</v>
      </c>
      <c r="C442" s="1" t="s">
        <v>205</v>
      </c>
      <c r="D442" s="1" t="s">
        <v>27</v>
      </c>
      <c r="E442" s="1" t="s">
        <v>16</v>
      </c>
      <c r="F442" s="1" t="s">
        <v>28</v>
      </c>
      <c r="G442" s="3">
        <v>0.4548611111111111</v>
      </c>
      <c r="H442" s="3">
        <v>0.45902777777777781</v>
      </c>
      <c r="I442" s="1">
        <v>6</v>
      </c>
      <c r="J442" s="1">
        <v>15</v>
      </c>
      <c r="K442" s="1" t="s">
        <v>18</v>
      </c>
      <c r="L442" s="1" t="s">
        <v>19</v>
      </c>
      <c r="M442" s="1">
        <v>802</v>
      </c>
    </row>
    <row r="443" spans="1:13" x14ac:dyDescent="0.35">
      <c r="A443" s="1" t="s">
        <v>861</v>
      </c>
      <c r="B443" s="2">
        <v>46055</v>
      </c>
      <c r="C443" s="1" t="s">
        <v>862</v>
      </c>
      <c r="D443" s="1" t="s">
        <v>50</v>
      </c>
      <c r="E443" s="1" t="s">
        <v>23</v>
      </c>
      <c r="F443" s="1" t="s">
        <v>17</v>
      </c>
      <c r="G443" s="3">
        <v>0.56944444444444442</v>
      </c>
      <c r="H443" s="3">
        <v>0.62777777777777777</v>
      </c>
      <c r="I443" s="1">
        <v>84</v>
      </c>
      <c r="J443" s="1">
        <v>77</v>
      </c>
      <c r="K443" s="1" t="s">
        <v>54</v>
      </c>
      <c r="L443" s="1" t="s">
        <v>19</v>
      </c>
      <c r="M443" s="1">
        <v>1197</v>
      </c>
    </row>
    <row r="444" spans="1:13" x14ac:dyDescent="0.35">
      <c r="A444" s="1" t="s">
        <v>863</v>
      </c>
      <c r="B444" s="2">
        <v>46055</v>
      </c>
      <c r="C444" s="1" t="s">
        <v>864</v>
      </c>
      <c r="D444" s="1" t="s">
        <v>44</v>
      </c>
      <c r="E444" s="1" t="s">
        <v>50</v>
      </c>
      <c r="F444" s="1" t="s">
        <v>38</v>
      </c>
      <c r="G444" s="3">
        <v>0.68402777777777779</v>
      </c>
      <c r="H444" s="3">
        <v>0.68541666666666667</v>
      </c>
      <c r="I444" s="1">
        <v>2</v>
      </c>
      <c r="J444" s="1">
        <v>2</v>
      </c>
      <c r="K444" s="1" t="s">
        <v>18</v>
      </c>
      <c r="L444" s="1" t="s">
        <v>19</v>
      </c>
      <c r="M444" s="1">
        <v>945</v>
      </c>
    </row>
    <row r="445" spans="1:13" x14ac:dyDescent="0.35">
      <c r="A445" s="1" t="s">
        <v>865</v>
      </c>
      <c r="B445" s="2">
        <v>46055</v>
      </c>
      <c r="C445" s="1" t="s">
        <v>866</v>
      </c>
      <c r="D445" s="1" t="s">
        <v>50</v>
      </c>
      <c r="E445" s="1" t="s">
        <v>31</v>
      </c>
      <c r="F445" s="1" t="s">
        <v>28</v>
      </c>
      <c r="G445" s="3">
        <v>0.74305555555555558</v>
      </c>
      <c r="H445" s="3">
        <v>0.80486111111111114</v>
      </c>
      <c r="I445" s="1">
        <v>89</v>
      </c>
      <c r="J445" s="1">
        <v>95</v>
      </c>
      <c r="K445" s="1" t="s">
        <v>477</v>
      </c>
      <c r="L445" s="1" t="s">
        <v>19</v>
      </c>
      <c r="M445" s="1">
        <v>1743</v>
      </c>
    </row>
    <row r="446" spans="1:13" x14ac:dyDescent="0.35">
      <c r="A446" s="1" t="s">
        <v>867</v>
      </c>
      <c r="B446" s="2">
        <v>46055</v>
      </c>
      <c r="C446" s="1" t="s">
        <v>868</v>
      </c>
      <c r="D446" s="1" t="s">
        <v>50</v>
      </c>
      <c r="E446" s="1" t="s">
        <v>31</v>
      </c>
      <c r="F446" s="1" t="s">
        <v>17</v>
      </c>
      <c r="G446" s="3">
        <v>0.85763888888888884</v>
      </c>
      <c r="H446" s="3">
        <v>0.87638888888888888</v>
      </c>
      <c r="I446" s="1">
        <v>27</v>
      </c>
      <c r="J446" s="1">
        <v>29</v>
      </c>
      <c r="K446" s="1" t="s">
        <v>60</v>
      </c>
      <c r="L446" s="1" t="s">
        <v>19</v>
      </c>
      <c r="M446" s="1">
        <v>1743</v>
      </c>
    </row>
    <row r="447" spans="1:13" x14ac:dyDescent="0.35">
      <c r="A447" s="1" t="s">
        <v>869</v>
      </c>
      <c r="B447" s="2">
        <v>46056</v>
      </c>
      <c r="C447" s="1" t="s">
        <v>133</v>
      </c>
      <c r="D447" s="1" t="s">
        <v>41</v>
      </c>
      <c r="E447" s="1" t="s">
        <v>37</v>
      </c>
      <c r="F447" s="1" t="s">
        <v>24</v>
      </c>
      <c r="G447" s="3">
        <v>0.30555555555555558</v>
      </c>
      <c r="H447" s="3">
        <v>0.30833333333333329</v>
      </c>
      <c r="I447" s="1">
        <v>4</v>
      </c>
      <c r="J447" s="1">
        <v>12</v>
      </c>
      <c r="K447" s="1"/>
      <c r="L447" s="1" t="s">
        <v>19</v>
      </c>
      <c r="M447" s="1">
        <v>2722</v>
      </c>
    </row>
    <row r="448" spans="1:13" x14ac:dyDescent="0.35">
      <c r="A448" s="1" t="s">
        <v>870</v>
      </c>
      <c r="B448" s="2">
        <v>46056</v>
      </c>
      <c r="C448" s="1" t="s">
        <v>871</v>
      </c>
      <c r="D448" s="1" t="s">
        <v>44</v>
      </c>
      <c r="E448" s="1" t="s">
        <v>27</v>
      </c>
      <c r="F448" s="1" t="s">
        <v>17</v>
      </c>
      <c r="G448" s="3">
        <v>0.41319444444444442</v>
      </c>
      <c r="H448" s="3">
        <v>0.41388888888888892</v>
      </c>
      <c r="I448" s="1">
        <v>1</v>
      </c>
      <c r="J448" s="1">
        <v>1</v>
      </c>
      <c r="K448" s="1" t="s">
        <v>18</v>
      </c>
      <c r="L448" s="1" t="s">
        <v>19</v>
      </c>
      <c r="M448" s="1">
        <v>1559</v>
      </c>
    </row>
    <row r="449" spans="1:13" x14ac:dyDescent="0.35">
      <c r="A449" s="1" t="s">
        <v>872</v>
      </c>
      <c r="B449" s="2">
        <v>46056</v>
      </c>
      <c r="C449" s="1" t="s">
        <v>205</v>
      </c>
      <c r="D449" s="1" t="s">
        <v>123</v>
      </c>
      <c r="E449" s="1" t="s">
        <v>31</v>
      </c>
      <c r="F449" s="1" t="s">
        <v>24</v>
      </c>
      <c r="G449" s="3">
        <v>0.46875</v>
      </c>
      <c r="H449" s="3">
        <v>0.48749999999999999</v>
      </c>
      <c r="I449" s="1">
        <v>27</v>
      </c>
      <c r="J449" s="1">
        <v>19</v>
      </c>
      <c r="K449" s="1" t="s">
        <v>276</v>
      </c>
      <c r="L449" s="1" t="s">
        <v>19</v>
      </c>
      <c r="M449" s="1">
        <v>1743</v>
      </c>
    </row>
    <row r="450" spans="1:13" x14ac:dyDescent="0.35">
      <c r="A450" s="1" t="s">
        <v>873</v>
      </c>
      <c r="B450" s="2">
        <v>46056</v>
      </c>
      <c r="C450" s="1" t="s">
        <v>874</v>
      </c>
      <c r="D450" s="1" t="s">
        <v>31</v>
      </c>
      <c r="E450" s="1" t="s">
        <v>27</v>
      </c>
      <c r="F450" s="1" t="s">
        <v>17</v>
      </c>
      <c r="G450" s="3">
        <v>0.69444444444444442</v>
      </c>
      <c r="H450" s="3">
        <v>0.7</v>
      </c>
      <c r="I450" s="1">
        <v>8</v>
      </c>
      <c r="J450" s="1">
        <v>12</v>
      </c>
      <c r="K450" s="1" t="s">
        <v>18</v>
      </c>
      <c r="L450" s="1" t="s">
        <v>19</v>
      </c>
      <c r="M450" s="1">
        <v>1053</v>
      </c>
    </row>
    <row r="451" spans="1:13" x14ac:dyDescent="0.35">
      <c r="A451" s="1" t="s">
        <v>875</v>
      </c>
      <c r="B451" s="2">
        <v>46057</v>
      </c>
      <c r="C451" s="1" t="s">
        <v>292</v>
      </c>
      <c r="D451" s="1" t="s">
        <v>31</v>
      </c>
      <c r="E451" s="1" t="s">
        <v>23</v>
      </c>
      <c r="F451" s="1" t="s">
        <v>17</v>
      </c>
      <c r="G451" s="3">
        <v>0.3298611111111111</v>
      </c>
      <c r="H451" s="3">
        <v>0.33194444444444438</v>
      </c>
      <c r="I451" s="1">
        <v>3</v>
      </c>
      <c r="J451" s="1">
        <v>-2</v>
      </c>
      <c r="K451" s="1" t="s">
        <v>18</v>
      </c>
      <c r="L451" s="1" t="s">
        <v>19</v>
      </c>
      <c r="M451" s="1">
        <v>627</v>
      </c>
    </row>
    <row r="452" spans="1:13" x14ac:dyDescent="0.35">
      <c r="A452" s="1" t="s">
        <v>876</v>
      </c>
      <c r="B452" s="2">
        <v>46057</v>
      </c>
      <c r="C452" s="1" t="s">
        <v>877</v>
      </c>
      <c r="D452" s="1" t="s">
        <v>22</v>
      </c>
      <c r="E452" s="1" t="s">
        <v>23</v>
      </c>
      <c r="F452" s="1" t="s">
        <v>28</v>
      </c>
      <c r="G452" s="3">
        <v>0.46527777777777779</v>
      </c>
      <c r="H452" s="3">
        <v>0.47361111111111109</v>
      </c>
      <c r="I452" s="1">
        <v>12</v>
      </c>
      <c r="J452" s="1">
        <v>0</v>
      </c>
      <c r="K452" s="1" t="s">
        <v>18</v>
      </c>
      <c r="L452" s="1" t="s">
        <v>19</v>
      </c>
      <c r="M452" s="1">
        <v>1622</v>
      </c>
    </row>
    <row r="453" spans="1:13" x14ac:dyDescent="0.35">
      <c r="A453" s="1" t="s">
        <v>878</v>
      </c>
      <c r="B453" s="2">
        <v>46058</v>
      </c>
      <c r="C453" s="1" t="s">
        <v>271</v>
      </c>
      <c r="D453" s="1" t="s">
        <v>50</v>
      </c>
      <c r="E453" s="1" t="s">
        <v>37</v>
      </c>
      <c r="F453" s="1" t="s">
        <v>24</v>
      </c>
      <c r="G453" s="3">
        <v>0.38541666666666669</v>
      </c>
      <c r="H453" s="3">
        <v>0.38194444444444442</v>
      </c>
      <c r="I453" s="1">
        <v>-5</v>
      </c>
      <c r="J453" s="1">
        <v>-2</v>
      </c>
      <c r="K453" s="1" t="s">
        <v>18</v>
      </c>
      <c r="L453" s="1" t="s">
        <v>19</v>
      </c>
      <c r="M453" s="1">
        <v>2178</v>
      </c>
    </row>
    <row r="454" spans="1:13" x14ac:dyDescent="0.35">
      <c r="A454" s="1" t="s">
        <v>879</v>
      </c>
      <c r="B454" s="2">
        <v>46058</v>
      </c>
      <c r="C454" s="1" t="s">
        <v>332</v>
      </c>
      <c r="D454" s="1" t="s">
        <v>16</v>
      </c>
      <c r="E454" s="1" t="s">
        <v>15</v>
      </c>
      <c r="F454" s="1" t="s">
        <v>24</v>
      </c>
      <c r="G454" s="3">
        <v>0.59722222222222221</v>
      </c>
      <c r="H454" s="3">
        <v>0.64513888888888893</v>
      </c>
      <c r="I454" s="1">
        <v>69</v>
      </c>
      <c r="J454" s="1">
        <v>75</v>
      </c>
      <c r="K454" s="1" t="s">
        <v>276</v>
      </c>
      <c r="L454" s="1" t="s">
        <v>19</v>
      </c>
      <c r="M454" s="1">
        <v>1742</v>
      </c>
    </row>
    <row r="455" spans="1:13" x14ac:dyDescent="0.35">
      <c r="A455" s="1" t="s">
        <v>880</v>
      </c>
      <c r="B455" s="2">
        <v>46059</v>
      </c>
      <c r="C455" s="1" t="s">
        <v>881</v>
      </c>
      <c r="D455" s="1" t="s">
        <v>44</v>
      </c>
      <c r="E455" s="1" t="s">
        <v>31</v>
      </c>
      <c r="F455" s="1" t="s">
        <v>28</v>
      </c>
      <c r="G455" s="3">
        <v>0.57986111111111116</v>
      </c>
      <c r="H455" s="3">
        <v>0.59652777777777777</v>
      </c>
      <c r="I455" s="1">
        <v>24</v>
      </c>
      <c r="J455" s="1">
        <v>32</v>
      </c>
      <c r="K455" s="1" t="s">
        <v>54</v>
      </c>
      <c r="L455" s="1" t="s">
        <v>19</v>
      </c>
      <c r="M455" s="1">
        <v>2375</v>
      </c>
    </row>
    <row r="456" spans="1:13" x14ac:dyDescent="0.35">
      <c r="A456" s="1" t="s">
        <v>882</v>
      </c>
      <c r="B456" s="2">
        <v>46059</v>
      </c>
      <c r="C456" s="1" t="s">
        <v>883</v>
      </c>
      <c r="D456" s="1" t="s">
        <v>555</v>
      </c>
      <c r="E456" s="1" t="s">
        <v>44</v>
      </c>
      <c r="F456" s="1" t="s">
        <v>17</v>
      </c>
      <c r="G456" s="3">
        <v>0.63888888888888884</v>
      </c>
      <c r="H456" s="3">
        <v>0.64375000000000004</v>
      </c>
      <c r="I456" s="1">
        <v>7</v>
      </c>
      <c r="J456" s="1">
        <v>6</v>
      </c>
      <c r="K456" s="1" t="s">
        <v>18</v>
      </c>
      <c r="L456" s="1" t="s">
        <v>19</v>
      </c>
      <c r="M456" s="1">
        <v>864</v>
      </c>
    </row>
    <row r="457" spans="1:13" x14ac:dyDescent="0.35">
      <c r="A457" s="1" t="s">
        <v>884</v>
      </c>
      <c r="B457" s="2">
        <v>46060</v>
      </c>
      <c r="C457" s="1" t="s">
        <v>885</v>
      </c>
      <c r="D457" s="1" t="s">
        <v>50</v>
      </c>
      <c r="E457" s="1" t="s">
        <v>15</v>
      </c>
      <c r="F457" s="1" t="s">
        <v>24</v>
      </c>
      <c r="G457" s="3">
        <v>0.77430555555555558</v>
      </c>
      <c r="H457" s="3">
        <v>0.78194444444444444</v>
      </c>
      <c r="I457" s="1">
        <v>11</v>
      </c>
      <c r="J457" s="1">
        <v>18</v>
      </c>
      <c r="K457" s="1" t="s">
        <v>18</v>
      </c>
      <c r="L457" s="1" t="s">
        <v>19</v>
      </c>
      <c r="M457" s="1">
        <v>1942</v>
      </c>
    </row>
    <row r="458" spans="1:13" x14ac:dyDescent="0.35">
      <c r="A458" s="1" t="s">
        <v>886</v>
      </c>
      <c r="B458" s="2">
        <v>46061</v>
      </c>
      <c r="C458" s="1" t="s">
        <v>251</v>
      </c>
      <c r="D458" s="1" t="s">
        <v>44</v>
      </c>
      <c r="E458" s="1" t="s">
        <v>41</v>
      </c>
      <c r="F458" s="1" t="s">
        <v>38</v>
      </c>
      <c r="G458" s="3">
        <v>0.31597222222222221</v>
      </c>
      <c r="H458" s="3">
        <v>0.31041666666666667</v>
      </c>
      <c r="I458" s="1">
        <v>-8</v>
      </c>
      <c r="J458" s="1">
        <v>-13</v>
      </c>
      <c r="K458" s="1" t="s">
        <v>18</v>
      </c>
      <c r="L458" s="1" t="s">
        <v>19</v>
      </c>
      <c r="M458" s="1">
        <v>1260</v>
      </c>
    </row>
    <row r="459" spans="1:13" x14ac:dyDescent="0.35">
      <c r="A459" s="1" t="s">
        <v>887</v>
      </c>
      <c r="B459" s="2">
        <v>46061</v>
      </c>
      <c r="C459" s="1" t="s">
        <v>434</v>
      </c>
      <c r="D459" s="1" t="s">
        <v>47</v>
      </c>
      <c r="E459" s="1" t="s">
        <v>16</v>
      </c>
      <c r="F459" s="1" t="s">
        <v>28</v>
      </c>
      <c r="G459" s="3">
        <v>0.4548611111111111</v>
      </c>
      <c r="H459" s="3">
        <v>0.45555555555555549</v>
      </c>
      <c r="I459" s="1">
        <v>1</v>
      </c>
      <c r="J459" s="1">
        <v>1</v>
      </c>
      <c r="K459" s="1" t="s">
        <v>18</v>
      </c>
      <c r="L459" s="1" t="s">
        <v>19</v>
      </c>
      <c r="M459" s="1">
        <v>1842</v>
      </c>
    </row>
    <row r="460" spans="1:13" x14ac:dyDescent="0.35">
      <c r="A460" s="1" t="s">
        <v>888</v>
      </c>
      <c r="B460" s="2">
        <v>46061</v>
      </c>
      <c r="C460" s="1" t="s">
        <v>889</v>
      </c>
      <c r="D460" s="1" t="s">
        <v>41</v>
      </c>
      <c r="E460" s="1" t="s">
        <v>78</v>
      </c>
      <c r="F460" s="1" t="s">
        <v>17</v>
      </c>
      <c r="G460" s="3">
        <v>0.73611111111111116</v>
      </c>
      <c r="H460" s="1"/>
      <c r="I460" s="1"/>
      <c r="J460" s="1"/>
      <c r="K460" s="1" t="s">
        <v>129</v>
      </c>
      <c r="L460" s="1" t="s">
        <v>254</v>
      </c>
      <c r="M460" s="1">
        <v>1969</v>
      </c>
    </row>
    <row r="461" spans="1:13" x14ac:dyDescent="0.35">
      <c r="A461" s="1" t="s">
        <v>890</v>
      </c>
      <c r="B461" s="2">
        <v>46062</v>
      </c>
      <c r="C461" s="1" t="s">
        <v>891</v>
      </c>
      <c r="D461" s="1" t="s">
        <v>22</v>
      </c>
      <c r="E461" s="1" t="s">
        <v>16</v>
      </c>
      <c r="F461" s="1" t="s">
        <v>38</v>
      </c>
      <c r="G461" s="3">
        <v>0.28472222222222221</v>
      </c>
      <c r="H461" s="3">
        <v>0.28749999999999998</v>
      </c>
      <c r="I461" s="1">
        <v>4</v>
      </c>
      <c r="J461" s="1">
        <v>7</v>
      </c>
      <c r="K461" s="1" t="s">
        <v>18</v>
      </c>
      <c r="L461" s="1" t="s">
        <v>19</v>
      </c>
      <c r="M461" s="1">
        <v>738</v>
      </c>
    </row>
    <row r="462" spans="1:13" x14ac:dyDescent="0.35">
      <c r="A462" s="1" t="s">
        <v>892</v>
      </c>
      <c r="B462" s="2">
        <v>46062</v>
      </c>
      <c r="C462" s="1" t="s">
        <v>893</v>
      </c>
      <c r="D462" s="1" t="s">
        <v>23</v>
      </c>
      <c r="E462" s="1" t="s">
        <v>50</v>
      </c>
      <c r="F462" s="1" t="s">
        <v>38</v>
      </c>
      <c r="G462" s="3">
        <v>0.67361111111111116</v>
      </c>
      <c r="H462" s="1"/>
      <c r="I462" s="1">
        <v>9</v>
      </c>
      <c r="J462" s="1">
        <v>1</v>
      </c>
      <c r="K462" s="1" t="s">
        <v>18</v>
      </c>
      <c r="L462" s="1" t="s">
        <v>19</v>
      </c>
      <c r="M462" s="1">
        <v>1197</v>
      </c>
    </row>
    <row r="463" spans="1:13" x14ac:dyDescent="0.35">
      <c r="A463" s="1" t="s">
        <v>894</v>
      </c>
      <c r="B463" s="2">
        <v>46062</v>
      </c>
      <c r="C463" s="1" t="s">
        <v>216</v>
      </c>
      <c r="D463" s="1" t="s">
        <v>27</v>
      </c>
      <c r="E463" s="1" t="s">
        <v>50</v>
      </c>
      <c r="F463" s="1" t="s">
        <v>24</v>
      </c>
      <c r="G463" s="3">
        <v>0.6875</v>
      </c>
      <c r="H463" s="3">
        <v>0.68680555555555556</v>
      </c>
      <c r="I463" s="1">
        <v>-1</v>
      </c>
      <c r="J463" s="1">
        <v>-11</v>
      </c>
      <c r="K463" s="1" t="s">
        <v>18</v>
      </c>
      <c r="L463" s="1" t="s">
        <v>19</v>
      </c>
      <c r="M463" s="1">
        <v>730</v>
      </c>
    </row>
    <row r="464" spans="1:13" x14ac:dyDescent="0.35">
      <c r="A464" s="1" t="s">
        <v>895</v>
      </c>
      <c r="B464" s="2">
        <v>46063</v>
      </c>
      <c r="C464" s="1" t="s">
        <v>896</v>
      </c>
      <c r="D464" s="1" t="s">
        <v>27</v>
      </c>
      <c r="E464" s="1" t="s">
        <v>22</v>
      </c>
      <c r="F464" s="1" t="s">
        <v>38</v>
      </c>
      <c r="G464" s="3">
        <v>0.56597222222222221</v>
      </c>
      <c r="H464" s="1"/>
      <c r="I464" s="1"/>
      <c r="J464" s="1"/>
      <c r="K464" s="1" t="s">
        <v>129</v>
      </c>
      <c r="L464" s="1" t="s">
        <v>254</v>
      </c>
      <c r="M464" s="1">
        <v>1389</v>
      </c>
    </row>
    <row r="465" spans="1:13" x14ac:dyDescent="0.35">
      <c r="A465" s="1" t="s">
        <v>897</v>
      </c>
      <c r="B465" s="2">
        <v>46064</v>
      </c>
      <c r="C465" s="1" t="s">
        <v>716</v>
      </c>
      <c r="D465" s="1" t="s">
        <v>50</v>
      </c>
      <c r="E465" s="1" t="s">
        <v>31</v>
      </c>
      <c r="F465" s="1" t="s">
        <v>28</v>
      </c>
      <c r="G465" s="3">
        <v>0.43402777777777779</v>
      </c>
      <c r="H465" s="1"/>
      <c r="I465" s="1"/>
      <c r="J465" s="1"/>
      <c r="K465" s="1" t="s">
        <v>60</v>
      </c>
      <c r="L465" s="1" t="s">
        <v>254</v>
      </c>
      <c r="M465" s="1">
        <v>1743</v>
      </c>
    </row>
    <row r="466" spans="1:13" x14ac:dyDescent="0.35">
      <c r="A466" s="1" t="s">
        <v>898</v>
      </c>
      <c r="B466" s="2">
        <v>46064</v>
      </c>
      <c r="C466" s="1" t="s">
        <v>899</v>
      </c>
      <c r="D466" s="1" t="s">
        <v>214</v>
      </c>
      <c r="E466" s="1" t="s">
        <v>16</v>
      </c>
      <c r="F466" s="1" t="s">
        <v>17</v>
      </c>
      <c r="G466" s="3">
        <v>0.46875</v>
      </c>
      <c r="H466" s="3">
        <v>0.46527777777777779</v>
      </c>
      <c r="I466" s="1">
        <v>-5</v>
      </c>
      <c r="J466" s="1">
        <v>0</v>
      </c>
      <c r="K466" s="1" t="s">
        <v>18</v>
      </c>
      <c r="L466" s="1" t="s">
        <v>19</v>
      </c>
      <c r="M466" s="1">
        <v>886</v>
      </c>
    </row>
    <row r="467" spans="1:13" x14ac:dyDescent="0.35">
      <c r="A467" s="1" t="s">
        <v>900</v>
      </c>
      <c r="B467" s="2">
        <v>46064</v>
      </c>
      <c r="C467" s="1" t="s">
        <v>901</v>
      </c>
      <c r="D467" s="1" t="s">
        <v>50</v>
      </c>
      <c r="E467" s="1" t="s">
        <v>22</v>
      </c>
      <c r="F467" s="1" t="s">
        <v>24</v>
      </c>
      <c r="G467" s="3">
        <v>0.60069444444444442</v>
      </c>
      <c r="H467" s="3">
        <v>0.66736111111111107</v>
      </c>
      <c r="I467" s="1">
        <v>96</v>
      </c>
      <c r="J467" s="1">
        <v>90</v>
      </c>
      <c r="K467" s="1" t="s">
        <v>129</v>
      </c>
      <c r="L467" s="1" t="s">
        <v>19</v>
      </c>
      <c r="M467" s="1">
        <v>759</v>
      </c>
    </row>
    <row r="468" spans="1:13" x14ac:dyDescent="0.35">
      <c r="A468" s="1" t="s">
        <v>902</v>
      </c>
      <c r="B468" s="2">
        <v>46064</v>
      </c>
      <c r="C468" s="1" t="s">
        <v>903</v>
      </c>
      <c r="D468" s="1" t="s">
        <v>27</v>
      </c>
      <c r="E468" s="1" t="s">
        <v>22</v>
      </c>
      <c r="F468" s="1" t="s">
        <v>24</v>
      </c>
      <c r="G468" s="3">
        <v>0.72916666666666663</v>
      </c>
      <c r="H468" s="3">
        <v>0.74236111111111114</v>
      </c>
      <c r="I468" s="1">
        <v>19</v>
      </c>
      <c r="J468" s="1">
        <v>10</v>
      </c>
      <c r="K468" s="1" t="s">
        <v>60</v>
      </c>
      <c r="L468" s="1" t="s">
        <v>19</v>
      </c>
      <c r="M468" s="1">
        <v>1389</v>
      </c>
    </row>
    <row r="469" spans="1:13" x14ac:dyDescent="0.35">
      <c r="A469" s="1" t="s">
        <v>904</v>
      </c>
      <c r="B469" s="2">
        <v>46067</v>
      </c>
      <c r="C469" s="1" t="s">
        <v>905</v>
      </c>
      <c r="D469" s="1" t="s">
        <v>27</v>
      </c>
      <c r="E469" s="1" t="s">
        <v>22</v>
      </c>
      <c r="F469" s="1" t="s">
        <v>17</v>
      </c>
      <c r="G469" s="3">
        <v>0.41666666666666669</v>
      </c>
      <c r="H469" s="3">
        <v>0.41597222222222219</v>
      </c>
      <c r="I469" s="1">
        <v>-1</v>
      </c>
      <c r="J469" s="1">
        <v>-8</v>
      </c>
      <c r="K469" s="1" t="s">
        <v>18</v>
      </c>
      <c r="L469" s="1" t="s">
        <v>19</v>
      </c>
      <c r="M469" s="1">
        <v>1389</v>
      </c>
    </row>
    <row r="470" spans="1:13" x14ac:dyDescent="0.35">
      <c r="A470" s="1" t="s">
        <v>906</v>
      </c>
      <c r="B470" s="2">
        <v>46067</v>
      </c>
      <c r="C470" s="1" t="s">
        <v>616</v>
      </c>
      <c r="D470" s="1" t="s">
        <v>37</v>
      </c>
      <c r="E470" s="1" t="s">
        <v>22</v>
      </c>
      <c r="F470" s="1" t="s">
        <v>28</v>
      </c>
      <c r="G470" s="3">
        <v>0.58333333333333337</v>
      </c>
      <c r="H470" s="3">
        <v>0.63263888888888886</v>
      </c>
      <c r="I470" s="1">
        <v>71</v>
      </c>
      <c r="J470" s="1">
        <v>73</v>
      </c>
      <c r="K470" s="1" t="s">
        <v>129</v>
      </c>
      <c r="L470" s="1" t="s">
        <v>19</v>
      </c>
      <c r="M470" s="1">
        <v>2415</v>
      </c>
    </row>
    <row r="471" spans="1:13" x14ac:dyDescent="0.35">
      <c r="A471" s="1" t="s">
        <v>907</v>
      </c>
      <c r="B471" s="2">
        <v>46067</v>
      </c>
      <c r="C471" s="1" t="s">
        <v>908</v>
      </c>
      <c r="D471" s="1" t="s">
        <v>16</v>
      </c>
      <c r="E471" s="1" t="s">
        <v>123</v>
      </c>
      <c r="F471" s="1" t="s">
        <v>17</v>
      </c>
      <c r="G471" s="3">
        <v>0.63888888888888884</v>
      </c>
      <c r="H471" s="3">
        <v>0.64027777777777772</v>
      </c>
      <c r="I471" s="1">
        <v>2</v>
      </c>
      <c r="J471" s="1">
        <v>2</v>
      </c>
      <c r="K471" s="1" t="s">
        <v>18</v>
      </c>
      <c r="L471" s="1" t="s">
        <v>19</v>
      </c>
      <c r="M471" s="1">
        <v>606</v>
      </c>
    </row>
    <row r="472" spans="1:13" x14ac:dyDescent="0.35">
      <c r="A472" s="1" t="s">
        <v>909</v>
      </c>
      <c r="B472" s="2">
        <v>46067</v>
      </c>
      <c r="C472" s="1" t="s">
        <v>626</v>
      </c>
      <c r="D472" s="1" t="s">
        <v>23</v>
      </c>
      <c r="E472" s="1" t="s">
        <v>50</v>
      </c>
      <c r="F472" s="1" t="s">
        <v>24</v>
      </c>
      <c r="G472" s="3">
        <v>0.81597222222222221</v>
      </c>
      <c r="H472" s="3">
        <v>0.83333333333333337</v>
      </c>
      <c r="I472" s="1">
        <v>25</v>
      </c>
      <c r="J472" s="1">
        <v>13</v>
      </c>
      <c r="K472" s="1" t="s">
        <v>276</v>
      </c>
      <c r="L472" s="1" t="s">
        <v>19</v>
      </c>
      <c r="M472" s="1">
        <v>1197</v>
      </c>
    </row>
    <row r="473" spans="1:13" x14ac:dyDescent="0.35">
      <c r="A473" s="1" t="s">
        <v>910</v>
      </c>
      <c r="B473" s="2">
        <v>46067</v>
      </c>
      <c r="C473" s="1" t="s">
        <v>911</v>
      </c>
      <c r="D473" s="1" t="s">
        <v>47</v>
      </c>
      <c r="E473" s="1" t="s">
        <v>16</v>
      </c>
      <c r="F473" s="1" t="s">
        <v>17</v>
      </c>
      <c r="G473" s="3">
        <v>0.91319444444444442</v>
      </c>
      <c r="H473" s="1"/>
      <c r="I473" s="1">
        <v>40</v>
      </c>
      <c r="J473" s="1">
        <v>47</v>
      </c>
      <c r="K473" s="1" t="s">
        <v>54</v>
      </c>
      <c r="L473" s="1" t="s">
        <v>19</v>
      </c>
      <c r="M473" s="1">
        <v>1842</v>
      </c>
    </row>
    <row r="474" spans="1:13" x14ac:dyDescent="0.35">
      <c r="A474" s="1" t="s">
        <v>912</v>
      </c>
      <c r="B474" s="2">
        <v>46068</v>
      </c>
      <c r="C474" s="1" t="s">
        <v>913</v>
      </c>
      <c r="D474" s="1" t="s">
        <v>202</v>
      </c>
      <c r="E474" s="1" t="s">
        <v>78</v>
      </c>
      <c r="F474" s="1" t="s">
        <v>24</v>
      </c>
      <c r="G474" s="3">
        <v>0.3263888888888889</v>
      </c>
      <c r="H474" s="3">
        <v>0.32500000000000001</v>
      </c>
      <c r="I474" s="1">
        <v>-2</v>
      </c>
      <c r="J474" s="1">
        <v>4</v>
      </c>
      <c r="K474" s="1" t="s">
        <v>18</v>
      </c>
      <c r="L474" s="1" t="s">
        <v>19</v>
      </c>
      <c r="M474" s="1">
        <v>1969</v>
      </c>
    </row>
    <row r="475" spans="1:13" x14ac:dyDescent="0.35">
      <c r="A475" s="1" t="s">
        <v>914</v>
      </c>
      <c r="B475" s="2">
        <v>46068</v>
      </c>
      <c r="C475" s="1" t="s">
        <v>915</v>
      </c>
      <c r="D475" s="1" t="s">
        <v>31</v>
      </c>
      <c r="E475" s="1" t="s">
        <v>50</v>
      </c>
      <c r="F475" s="1" t="s">
        <v>28</v>
      </c>
      <c r="G475" s="3">
        <v>0.36458333333333331</v>
      </c>
      <c r="H475" s="1"/>
      <c r="I475" s="1">
        <v>2</v>
      </c>
      <c r="J475" s="1">
        <v>-5</v>
      </c>
      <c r="K475" s="1" t="s">
        <v>18</v>
      </c>
      <c r="L475" s="1" t="s">
        <v>19</v>
      </c>
      <c r="M475" s="1">
        <v>1743</v>
      </c>
    </row>
    <row r="476" spans="1:13" x14ac:dyDescent="0.35">
      <c r="A476" s="1" t="s">
        <v>916</v>
      </c>
      <c r="B476" s="2">
        <v>46068</v>
      </c>
      <c r="C476" s="1" t="s">
        <v>917</v>
      </c>
      <c r="D476" s="1" t="s">
        <v>22</v>
      </c>
      <c r="E476" s="1" t="s">
        <v>23</v>
      </c>
      <c r="F476" s="1" t="s">
        <v>28</v>
      </c>
      <c r="G476" s="3">
        <v>0.625</v>
      </c>
      <c r="H476" s="3">
        <v>0.64375000000000004</v>
      </c>
      <c r="I476" s="1">
        <v>27</v>
      </c>
      <c r="J476" s="1">
        <v>25</v>
      </c>
      <c r="K476" s="1" t="s">
        <v>303</v>
      </c>
      <c r="L476" s="1" t="s">
        <v>19</v>
      </c>
      <c r="M476" s="1">
        <v>1622</v>
      </c>
    </row>
    <row r="477" spans="1:13" x14ac:dyDescent="0.35">
      <c r="A477" s="1" t="s">
        <v>918</v>
      </c>
      <c r="B477" s="2">
        <v>46068</v>
      </c>
      <c r="C477" s="1" t="s">
        <v>919</v>
      </c>
      <c r="D477" s="1" t="s">
        <v>78</v>
      </c>
      <c r="E477" s="1" t="s">
        <v>47</v>
      </c>
      <c r="F477" s="1" t="s">
        <v>28</v>
      </c>
      <c r="G477" s="3">
        <v>0.66666666666666663</v>
      </c>
      <c r="H477" s="3">
        <v>0.67291666666666672</v>
      </c>
      <c r="I477" s="1">
        <v>9</v>
      </c>
      <c r="J477" s="1">
        <v>10</v>
      </c>
      <c r="K477" s="1" t="s">
        <v>18</v>
      </c>
      <c r="L477" s="1" t="s">
        <v>19</v>
      </c>
      <c r="M477" s="1">
        <v>651</v>
      </c>
    </row>
    <row r="478" spans="1:13" x14ac:dyDescent="0.35">
      <c r="A478" s="1" t="s">
        <v>920</v>
      </c>
      <c r="B478" s="2">
        <v>46069</v>
      </c>
      <c r="C478" s="1" t="s">
        <v>70</v>
      </c>
      <c r="D478" s="1" t="s">
        <v>27</v>
      </c>
      <c r="E478" s="1" t="s">
        <v>15</v>
      </c>
      <c r="F478" s="1" t="s">
        <v>28</v>
      </c>
      <c r="G478" s="3">
        <v>0.30902777777777779</v>
      </c>
      <c r="H478" s="3">
        <v>0.30486111111111108</v>
      </c>
      <c r="I478" s="1">
        <v>-6</v>
      </c>
      <c r="J478" s="1">
        <v>-2</v>
      </c>
      <c r="K478" s="1" t="s">
        <v>18</v>
      </c>
      <c r="L478" s="1" t="s">
        <v>19</v>
      </c>
      <c r="M478" s="1">
        <v>1232</v>
      </c>
    </row>
    <row r="479" spans="1:13" x14ac:dyDescent="0.35">
      <c r="A479" s="1" t="s">
        <v>921</v>
      </c>
      <c r="B479" s="2">
        <v>46069</v>
      </c>
      <c r="C479" s="1" t="s">
        <v>922</v>
      </c>
      <c r="D479" s="1" t="s">
        <v>50</v>
      </c>
      <c r="E479" s="1" t="s">
        <v>78</v>
      </c>
      <c r="F479" s="1" t="s">
        <v>28</v>
      </c>
      <c r="G479" s="3">
        <v>0.50347222222222221</v>
      </c>
      <c r="H479" s="3">
        <v>0.50555555555555554</v>
      </c>
      <c r="I479" s="1">
        <v>3</v>
      </c>
      <c r="J479" s="1">
        <v>-3</v>
      </c>
      <c r="K479" s="1" t="s">
        <v>18</v>
      </c>
      <c r="L479" s="1" t="s">
        <v>19</v>
      </c>
      <c r="M479" s="1">
        <v>1584</v>
      </c>
    </row>
    <row r="480" spans="1:13" x14ac:dyDescent="0.35">
      <c r="A480" s="1" t="s">
        <v>923</v>
      </c>
      <c r="B480" s="2">
        <v>46070</v>
      </c>
      <c r="C480" s="1" t="s">
        <v>924</v>
      </c>
      <c r="D480" s="1" t="s">
        <v>41</v>
      </c>
      <c r="E480" s="1" t="s">
        <v>71</v>
      </c>
      <c r="F480" s="1" t="s">
        <v>17</v>
      </c>
      <c r="G480" s="3">
        <v>0.43055555555555558</v>
      </c>
      <c r="H480" s="3">
        <v>0.44305555555555548</v>
      </c>
      <c r="I480" s="1">
        <v>18</v>
      </c>
      <c r="J480" s="1">
        <v>20</v>
      </c>
      <c r="K480" s="1" t="s">
        <v>174</v>
      </c>
      <c r="L480" s="1" t="s">
        <v>19</v>
      </c>
      <c r="M480" s="1">
        <v>1199</v>
      </c>
    </row>
    <row r="481" spans="1:13" x14ac:dyDescent="0.35">
      <c r="A481" s="1" t="s">
        <v>925</v>
      </c>
      <c r="B481" s="2">
        <v>46070</v>
      </c>
      <c r="C481" s="1" t="s">
        <v>926</v>
      </c>
      <c r="D481" s="1" t="s">
        <v>27</v>
      </c>
      <c r="E481" s="1" t="s">
        <v>37</v>
      </c>
      <c r="F481" s="1" t="s">
        <v>17</v>
      </c>
      <c r="G481" s="3">
        <v>0.70138888888888884</v>
      </c>
      <c r="H481" s="3">
        <v>0.7055555555555556</v>
      </c>
      <c r="I481" s="1">
        <v>6</v>
      </c>
      <c r="J481" s="1">
        <v>12</v>
      </c>
      <c r="K481" s="1" t="s">
        <v>18</v>
      </c>
      <c r="L481" s="1" t="s">
        <v>19</v>
      </c>
      <c r="M481" s="1">
        <v>1658</v>
      </c>
    </row>
    <row r="482" spans="1:13" x14ac:dyDescent="0.35">
      <c r="A482" s="1" t="s">
        <v>927</v>
      </c>
      <c r="B482" s="2">
        <v>46071</v>
      </c>
      <c r="C482" s="1" t="s">
        <v>330</v>
      </c>
      <c r="D482" s="1" t="s">
        <v>31</v>
      </c>
      <c r="E482" s="1" t="s">
        <v>27</v>
      </c>
      <c r="F482" s="1" t="s">
        <v>17</v>
      </c>
      <c r="G482" s="3">
        <v>0.21527777777777779</v>
      </c>
      <c r="H482" s="3">
        <v>0.21111111111111111</v>
      </c>
      <c r="I482" s="1">
        <v>-6</v>
      </c>
      <c r="J482" s="1">
        <v>-16</v>
      </c>
      <c r="K482" s="1" t="s">
        <v>18</v>
      </c>
      <c r="L482" s="1" t="s">
        <v>19</v>
      </c>
      <c r="M482" s="1">
        <v>1053</v>
      </c>
    </row>
    <row r="483" spans="1:13" x14ac:dyDescent="0.35">
      <c r="A483" s="1" t="s">
        <v>928</v>
      </c>
      <c r="B483" s="2">
        <v>46071</v>
      </c>
      <c r="C483" s="1" t="s">
        <v>929</v>
      </c>
      <c r="D483" s="1" t="s">
        <v>31</v>
      </c>
      <c r="E483" s="1" t="s">
        <v>22</v>
      </c>
      <c r="F483" s="1" t="s">
        <v>24</v>
      </c>
      <c r="G483" s="3">
        <v>0.28819444444444442</v>
      </c>
      <c r="H483" s="3">
        <v>0.29097222222222219</v>
      </c>
      <c r="I483" s="1">
        <v>4</v>
      </c>
      <c r="J483" s="1">
        <v>-3</v>
      </c>
      <c r="K483" s="1" t="s">
        <v>18</v>
      </c>
      <c r="L483" s="1" t="s">
        <v>19</v>
      </c>
      <c r="M483" s="1">
        <v>2243</v>
      </c>
    </row>
    <row r="484" spans="1:13" x14ac:dyDescent="0.35">
      <c r="A484" s="1" t="s">
        <v>930</v>
      </c>
      <c r="B484" s="2">
        <v>46072</v>
      </c>
      <c r="C484" s="1" t="s">
        <v>931</v>
      </c>
      <c r="D484" s="1" t="s">
        <v>50</v>
      </c>
      <c r="E484" s="1" t="s">
        <v>16</v>
      </c>
      <c r="F484" s="1" t="s">
        <v>28</v>
      </c>
      <c r="G484" s="3">
        <v>0.40625</v>
      </c>
      <c r="H484" s="3">
        <v>0.42499999999999999</v>
      </c>
      <c r="I484" s="1">
        <v>27</v>
      </c>
      <c r="J484" s="1">
        <v>27</v>
      </c>
      <c r="K484" s="1" t="s">
        <v>477</v>
      </c>
      <c r="L484" s="1" t="s">
        <v>19</v>
      </c>
      <c r="M484" s="1">
        <v>606</v>
      </c>
    </row>
    <row r="485" spans="1:13" x14ac:dyDescent="0.35">
      <c r="A485" s="1" t="s">
        <v>932</v>
      </c>
      <c r="B485" s="2">
        <v>46072</v>
      </c>
      <c r="C485" s="1" t="s">
        <v>933</v>
      </c>
      <c r="D485" s="1" t="s">
        <v>15</v>
      </c>
      <c r="E485" s="1" t="s">
        <v>23</v>
      </c>
      <c r="F485" s="1" t="s">
        <v>24</v>
      </c>
      <c r="G485" s="3">
        <v>0.40625</v>
      </c>
      <c r="H485" s="3">
        <v>0.4284722222222222</v>
      </c>
      <c r="I485" s="1">
        <v>32</v>
      </c>
      <c r="J485" s="1">
        <v>18</v>
      </c>
      <c r="K485" s="1" t="s">
        <v>149</v>
      </c>
      <c r="L485" s="1" t="s">
        <v>19</v>
      </c>
      <c r="M485" s="1">
        <v>861</v>
      </c>
    </row>
    <row r="486" spans="1:13" x14ac:dyDescent="0.35">
      <c r="A486" s="1" t="s">
        <v>934</v>
      </c>
      <c r="B486" s="2">
        <v>46072</v>
      </c>
      <c r="C486" s="1" t="s">
        <v>935</v>
      </c>
      <c r="D486" s="1" t="s">
        <v>27</v>
      </c>
      <c r="E486" s="1" t="s">
        <v>41</v>
      </c>
      <c r="F486" s="1" t="s">
        <v>38</v>
      </c>
      <c r="G486" s="3">
        <v>0.55208333333333337</v>
      </c>
      <c r="H486" s="3">
        <v>0.55347222222222225</v>
      </c>
      <c r="I486" s="1">
        <v>2</v>
      </c>
      <c r="J486" s="1">
        <v>7</v>
      </c>
      <c r="K486" s="1"/>
      <c r="L486" s="1" t="s">
        <v>19</v>
      </c>
      <c r="M486" s="1">
        <v>0</v>
      </c>
    </row>
    <row r="487" spans="1:13" x14ac:dyDescent="0.35">
      <c r="A487" s="1" t="s">
        <v>936</v>
      </c>
      <c r="B487" s="2">
        <v>46072</v>
      </c>
      <c r="C487" s="1" t="s">
        <v>937</v>
      </c>
      <c r="D487" s="1" t="s">
        <v>44</v>
      </c>
      <c r="E487" s="1" t="s">
        <v>22</v>
      </c>
      <c r="F487" s="1" t="s">
        <v>17</v>
      </c>
      <c r="G487" s="3">
        <v>0.68402777777777779</v>
      </c>
      <c r="H487" s="3">
        <v>0.8354166666666667</v>
      </c>
      <c r="I487" s="1">
        <v>218</v>
      </c>
      <c r="J487" s="1">
        <v>213</v>
      </c>
      <c r="K487" s="1" t="s">
        <v>319</v>
      </c>
      <c r="L487" s="1" t="s">
        <v>19</v>
      </c>
      <c r="M487" s="1">
        <v>186</v>
      </c>
    </row>
    <row r="488" spans="1:13" x14ac:dyDescent="0.35">
      <c r="A488" s="1" t="s">
        <v>938</v>
      </c>
      <c r="B488" s="2">
        <v>46072</v>
      </c>
      <c r="C488" s="1" t="s">
        <v>508</v>
      </c>
      <c r="D488" s="1" t="s">
        <v>27</v>
      </c>
      <c r="E488" s="1" t="s">
        <v>44</v>
      </c>
      <c r="F488" s="1" t="s">
        <v>24</v>
      </c>
      <c r="G488" s="3">
        <v>0.6875</v>
      </c>
      <c r="H488" s="3">
        <v>0.68819444444444444</v>
      </c>
      <c r="I488" s="1">
        <v>1</v>
      </c>
      <c r="J488" s="1">
        <v>-9</v>
      </c>
      <c r="K488" s="1" t="s">
        <v>18</v>
      </c>
      <c r="L488" s="1" t="s">
        <v>19</v>
      </c>
      <c r="M488" s="1">
        <v>1559</v>
      </c>
    </row>
    <row r="489" spans="1:13" x14ac:dyDescent="0.35">
      <c r="A489" s="1" t="s">
        <v>939</v>
      </c>
      <c r="B489" s="2">
        <v>46072</v>
      </c>
      <c r="C489" s="1" t="s">
        <v>288</v>
      </c>
      <c r="D489" s="1" t="s">
        <v>940</v>
      </c>
      <c r="E489" s="1" t="s">
        <v>50</v>
      </c>
      <c r="F489" s="1" t="s">
        <v>24</v>
      </c>
      <c r="G489" s="3">
        <v>0.71875</v>
      </c>
      <c r="H489" s="3">
        <v>0.75416666666666665</v>
      </c>
      <c r="I489" s="1">
        <v>51</v>
      </c>
      <c r="J489" s="1">
        <v>56</v>
      </c>
      <c r="K489" s="1" t="s">
        <v>276</v>
      </c>
      <c r="L489" s="1" t="s">
        <v>19</v>
      </c>
      <c r="M489" s="1">
        <v>1743</v>
      </c>
    </row>
    <row r="490" spans="1:13" x14ac:dyDescent="0.35">
      <c r="A490" s="1" t="s">
        <v>941</v>
      </c>
      <c r="B490" s="2">
        <v>46073</v>
      </c>
      <c r="C490" s="1" t="s">
        <v>942</v>
      </c>
      <c r="D490" s="1" t="s">
        <v>629</v>
      </c>
      <c r="E490" s="1" t="s">
        <v>23</v>
      </c>
      <c r="F490" s="1" t="s">
        <v>17</v>
      </c>
      <c r="G490" s="3">
        <v>0.41319444444444442</v>
      </c>
      <c r="H490" s="3">
        <v>0.4201388888888889</v>
      </c>
      <c r="I490" s="1">
        <v>10</v>
      </c>
      <c r="J490" s="1">
        <v>12</v>
      </c>
      <c r="K490" s="1"/>
      <c r="L490" s="1" t="s">
        <v>19</v>
      </c>
      <c r="M490" s="1">
        <v>602</v>
      </c>
    </row>
    <row r="491" spans="1:13" x14ac:dyDescent="0.35">
      <c r="A491" s="1" t="s">
        <v>943</v>
      </c>
      <c r="B491" s="2">
        <v>46073</v>
      </c>
      <c r="C491" s="1" t="s">
        <v>851</v>
      </c>
      <c r="D491" s="1" t="s">
        <v>15</v>
      </c>
      <c r="E491" s="1" t="s">
        <v>23</v>
      </c>
      <c r="F491" s="1" t="s">
        <v>17</v>
      </c>
      <c r="G491" s="3">
        <v>0.47569444444444442</v>
      </c>
      <c r="H491" s="3">
        <v>0.47083333333333333</v>
      </c>
      <c r="I491" s="1">
        <v>-7</v>
      </c>
      <c r="J491" s="1">
        <v>-12</v>
      </c>
      <c r="K491" s="1" t="s">
        <v>18</v>
      </c>
      <c r="L491" s="1" t="s">
        <v>19</v>
      </c>
      <c r="M491" s="1">
        <v>861</v>
      </c>
    </row>
    <row r="492" spans="1:13" x14ac:dyDescent="0.35">
      <c r="A492" s="1" t="s">
        <v>944</v>
      </c>
      <c r="B492" s="2">
        <v>46073</v>
      </c>
      <c r="C492" s="1" t="s">
        <v>945</v>
      </c>
      <c r="D492" s="1" t="s">
        <v>16</v>
      </c>
      <c r="E492" s="1" t="s">
        <v>27</v>
      </c>
      <c r="F492" s="1" t="s">
        <v>17</v>
      </c>
      <c r="G492" s="3">
        <v>0.59375</v>
      </c>
      <c r="H492" s="3">
        <v>0.59236111111111112</v>
      </c>
      <c r="I492" s="1">
        <v>-2</v>
      </c>
      <c r="J492" s="1">
        <v>6</v>
      </c>
      <c r="K492" s="1" t="s">
        <v>18</v>
      </c>
      <c r="L492" s="1" t="s">
        <v>19</v>
      </c>
      <c r="M492" s="1">
        <v>802</v>
      </c>
    </row>
    <row r="493" spans="1:13" x14ac:dyDescent="0.35">
      <c r="A493" s="1" t="s">
        <v>946</v>
      </c>
      <c r="B493" s="2">
        <v>46073</v>
      </c>
      <c r="C493" s="1" t="s">
        <v>125</v>
      </c>
      <c r="D493" s="1" t="s">
        <v>78</v>
      </c>
      <c r="E493" s="1" t="s">
        <v>50</v>
      </c>
      <c r="F493" s="1" t="s">
        <v>24</v>
      </c>
      <c r="G493" s="3">
        <v>0.69791666666666663</v>
      </c>
      <c r="H493" s="3">
        <v>0.69652777777777775</v>
      </c>
      <c r="I493" s="1">
        <v>-2</v>
      </c>
      <c r="J493" s="1">
        <v>0</v>
      </c>
      <c r="K493" s="1" t="s">
        <v>18</v>
      </c>
      <c r="L493" s="1" t="s">
        <v>19</v>
      </c>
      <c r="M493" s="1">
        <v>1584</v>
      </c>
    </row>
    <row r="494" spans="1:13" x14ac:dyDescent="0.35">
      <c r="A494" s="1" t="s">
        <v>947</v>
      </c>
      <c r="B494" s="2">
        <v>46073</v>
      </c>
      <c r="C494" s="1" t="s">
        <v>935</v>
      </c>
      <c r="D494" s="1" t="s">
        <v>84</v>
      </c>
      <c r="E494" s="1" t="s">
        <v>50</v>
      </c>
      <c r="F494" s="1" t="s">
        <v>28</v>
      </c>
      <c r="G494" s="3">
        <v>0.89236111111111116</v>
      </c>
      <c r="H494" s="3">
        <v>0.90833333333333333</v>
      </c>
      <c r="I494" s="1">
        <v>23</v>
      </c>
      <c r="J494" s="1">
        <v>28</v>
      </c>
      <c r="K494" s="1" t="s">
        <v>319</v>
      </c>
      <c r="L494" s="1" t="s">
        <v>19</v>
      </c>
      <c r="M494" s="1">
        <v>2178</v>
      </c>
    </row>
    <row r="495" spans="1:13" x14ac:dyDescent="0.35">
      <c r="A495" s="1" t="s">
        <v>948</v>
      </c>
      <c r="B495" s="2">
        <v>46074</v>
      </c>
      <c r="C495" s="1" t="s">
        <v>330</v>
      </c>
      <c r="D495" s="1" t="s">
        <v>50</v>
      </c>
      <c r="E495" s="1" t="s">
        <v>27</v>
      </c>
      <c r="F495" s="1" t="s">
        <v>17</v>
      </c>
      <c r="G495" s="3">
        <v>0.54166666666666663</v>
      </c>
      <c r="H495" s="3">
        <v>0.53888888888888886</v>
      </c>
      <c r="I495" s="1">
        <v>-4</v>
      </c>
      <c r="J495" s="1">
        <v>-11</v>
      </c>
      <c r="K495" s="1" t="s">
        <v>18</v>
      </c>
      <c r="L495" s="1" t="s">
        <v>19</v>
      </c>
      <c r="M495" s="1">
        <v>730</v>
      </c>
    </row>
    <row r="496" spans="1:13" x14ac:dyDescent="0.35">
      <c r="A496" s="1" t="s">
        <v>949</v>
      </c>
      <c r="B496" s="2">
        <v>46075</v>
      </c>
      <c r="C496" s="1" t="s">
        <v>950</v>
      </c>
      <c r="D496" s="1" t="s">
        <v>44</v>
      </c>
      <c r="E496" s="1" t="s">
        <v>27</v>
      </c>
      <c r="F496" s="1" t="s">
        <v>24</v>
      </c>
      <c r="G496" s="3">
        <v>0.49305555555555558</v>
      </c>
      <c r="H496" s="3">
        <v>0.51111111111111107</v>
      </c>
      <c r="I496" s="1">
        <v>26</v>
      </c>
      <c r="J496" s="1">
        <v>32</v>
      </c>
      <c r="K496" s="1" t="s">
        <v>276</v>
      </c>
      <c r="L496" s="1" t="s">
        <v>19</v>
      </c>
      <c r="M496" s="1">
        <v>1559</v>
      </c>
    </row>
    <row r="497" spans="1:13" x14ac:dyDescent="0.35">
      <c r="A497" s="1" t="s">
        <v>951</v>
      </c>
      <c r="B497" s="2">
        <v>46075</v>
      </c>
      <c r="C497" s="1" t="s">
        <v>874</v>
      </c>
      <c r="D497" s="1" t="s">
        <v>16</v>
      </c>
      <c r="E497" s="1" t="s">
        <v>44</v>
      </c>
      <c r="F497" s="1" t="s">
        <v>28</v>
      </c>
      <c r="G497" s="3">
        <v>0.63541666666666663</v>
      </c>
      <c r="H497" s="3">
        <v>0.6381944444444444</v>
      </c>
      <c r="I497" s="1">
        <v>4</v>
      </c>
      <c r="J497" s="1">
        <v>-2</v>
      </c>
      <c r="K497" s="1" t="s">
        <v>18</v>
      </c>
      <c r="L497" s="1" t="s">
        <v>19</v>
      </c>
      <c r="M497" s="1">
        <v>864</v>
      </c>
    </row>
    <row r="498" spans="1:13" x14ac:dyDescent="0.35">
      <c r="A498" s="1" t="s">
        <v>952</v>
      </c>
      <c r="B498" s="2">
        <v>46076</v>
      </c>
      <c r="C498" s="1" t="s">
        <v>748</v>
      </c>
      <c r="D498" s="1" t="s">
        <v>44</v>
      </c>
      <c r="E498" s="1" t="s">
        <v>50</v>
      </c>
      <c r="F498" s="1" t="s">
        <v>17</v>
      </c>
      <c r="G498" s="3">
        <v>0.34722222222222221</v>
      </c>
      <c r="H498" s="3">
        <v>0.3611111111111111</v>
      </c>
      <c r="I498" s="1">
        <v>20</v>
      </c>
      <c r="J498" s="1"/>
      <c r="K498" s="1" t="s">
        <v>303</v>
      </c>
      <c r="L498" s="1" t="s">
        <v>19</v>
      </c>
      <c r="M498" s="1">
        <v>945</v>
      </c>
    </row>
    <row r="499" spans="1:13" x14ac:dyDescent="0.35">
      <c r="A499" s="1" t="s">
        <v>953</v>
      </c>
      <c r="B499" s="2">
        <v>46076</v>
      </c>
      <c r="C499" s="1" t="s">
        <v>821</v>
      </c>
      <c r="D499" s="1" t="s">
        <v>31</v>
      </c>
      <c r="E499" s="1" t="s">
        <v>78</v>
      </c>
      <c r="F499" s="1" t="s">
        <v>17</v>
      </c>
      <c r="G499" s="3">
        <v>0.35416666666666669</v>
      </c>
      <c r="H499" s="3">
        <v>0.35555555555555562</v>
      </c>
      <c r="I499" s="1">
        <v>2</v>
      </c>
      <c r="J499" s="1">
        <v>-9</v>
      </c>
      <c r="K499" s="1" t="s">
        <v>18</v>
      </c>
      <c r="L499" s="1" t="s">
        <v>19</v>
      </c>
      <c r="M499" s="1">
        <v>256</v>
      </c>
    </row>
    <row r="500" spans="1:13" x14ac:dyDescent="0.35">
      <c r="A500" s="1" t="s">
        <v>954</v>
      </c>
      <c r="B500" s="2">
        <v>46076</v>
      </c>
      <c r="C500" s="1" t="s">
        <v>955</v>
      </c>
      <c r="D500" s="1" t="s">
        <v>23</v>
      </c>
      <c r="E500" s="1" t="s">
        <v>50</v>
      </c>
      <c r="F500" s="1" t="s">
        <v>38</v>
      </c>
      <c r="G500" s="3">
        <v>0.69444444444444442</v>
      </c>
      <c r="H500" s="3">
        <v>0.70138888888888884</v>
      </c>
      <c r="I500" s="1">
        <v>10</v>
      </c>
      <c r="J500" s="1">
        <v>4</v>
      </c>
      <c r="K500" s="1"/>
      <c r="L500" s="1" t="s">
        <v>19</v>
      </c>
      <c r="M500" s="1">
        <v>1197</v>
      </c>
    </row>
    <row r="501" spans="1:13" x14ac:dyDescent="0.35">
      <c r="A501" s="1" t="s">
        <v>956</v>
      </c>
      <c r="B501" s="2">
        <v>46076</v>
      </c>
      <c r="C501" s="1" t="s">
        <v>649</v>
      </c>
      <c r="D501" s="1" t="s">
        <v>22</v>
      </c>
      <c r="E501" s="1" t="s">
        <v>50</v>
      </c>
      <c r="F501" s="1" t="s">
        <v>38</v>
      </c>
      <c r="G501" s="3">
        <v>0.90625</v>
      </c>
      <c r="H501" s="3">
        <v>0.90347222222222223</v>
      </c>
      <c r="I501" s="1">
        <v>-4</v>
      </c>
      <c r="J501" s="1">
        <v>6</v>
      </c>
      <c r="K501" s="1"/>
      <c r="L501" s="1" t="s">
        <v>19</v>
      </c>
      <c r="M501" s="1">
        <v>759</v>
      </c>
    </row>
    <row r="502" spans="1:13" x14ac:dyDescent="0.35">
      <c r="A502" s="1" t="s">
        <v>957</v>
      </c>
      <c r="B502" s="2">
        <v>46077</v>
      </c>
      <c r="C502" s="1" t="s">
        <v>958</v>
      </c>
      <c r="D502" s="1" t="s">
        <v>41</v>
      </c>
      <c r="E502" s="1" t="s">
        <v>16</v>
      </c>
      <c r="F502" s="1" t="s">
        <v>38</v>
      </c>
      <c r="G502" s="3">
        <v>0.29166666666666669</v>
      </c>
      <c r="H502" s="3">
        <v>0.28680555555555548</v>
      </c>
      <c r="I502" s="1">
        <v>-7</v>
      </c>
      <c r="J502" s="1">
        <v>-12</v>
      </c>
      <c r="K502" s="1" t="s">
        <v>18</v>
      </c>
      <c r="L502" s="1" t="s">
        <v>19</v>
      </c>
      <c r="M502" s="1">
        <v>1199</v>
      </c>
    </row>
    <row r="503" spans="1:13" x14ac:dyDescent="0.35">
      <c r="A503" s="1" t="s">
        <v>959</v>
      </c>
      <c r="B503" s="2">
        <v>46077</v>
      </c>
      <c r="C503" s="1" t="s">
        <v>960</v>
      </c>
      <c r="D503" s="1" t="s">
        <v>16</v>
      </c>
      <c r="E503" s="1" t="s">
        <v>44</v>
      </c>
      <c r="F503" s="1" t="s">
        <v>17</v>
      </c>
      <c r="G503" s="3">
        <v>0.44791666666666669</v>
      </c>
      <c r="H503" s="3">
        <v>0.4465277777777778</v>
      </c>
      <c r="I503" s="1">
        <v>-2</v>
      </c>
      <c r="J503" s="1">
        <v>1</v>
      </c>
      <c r="K503" s="1" t="s">
        <v>18</v>
      </c>
      <c r="L503" s="1" t="s">
        <v>19</v>
      </c>
      <c r="M503" s="1">
        <v>864</v>
      </c>
    </row>
    <row r="504" spans="1:13" x14ac:dyDescent="0.35">
      <c r="A504" s="1" t="s">
        <v>961</v>
      </c>
      <c r="B504" s="2">
        <v>46077</v>
      </c>
      <c r="C504" s="1" t="s">
        <v>962</v>
      </c>
      <c r="D504" s="1" t="s">
        <v>16</v>
      </c>
      <c r="E504" s="1" t="s">
        <v>27</v>
      </c>
      <c r="F504" s="1" t="s">
        <v>24</v>
      </c>
      <c r="G504" s="3">
        <v>0.63541666666666663</v>
      </c>
      <c r="H504" s="3">
        <v>0.64236111111111116</v>
      </c>
      <c r="I504" s="1">
        <v>10</v>
      </c>
      <c r="J504" s="1">
        <v>-1</v>
      </c>
      <c r="K504" s="1" t="s">
        <v>18</v>
      </c>
      <c r="L504" s="1" t="s">
        <v>19</v>
      </c>
      <c r="M504" s="1">
        <v>802</v>
      </c>
    </row>
    <row r="505" spans="1:13" x14ac:dyDescent="0.35">
      <c r="A505" s="1" t="s">
        <v>963</v>
      </c>
      <c r="B505" s="2">
        <v>46077</v>
      </c>
      <c r="C505" s="1" t="s">
        <v>251</v>
      </c>
      <c r="D505" s="1" t="s">
        <v>50</v>
      </c>
      <c r="E505" s="1" t="s">
        <v>16</v>
      </c>
      <c r="F505" s="1" t="s">
        <v>17</v>
      </c>
      <c r="G505" s="3">
        <v>0.67013888888888884</v>
      </c>
      <c r="H505" s="3">
        <v>0.66597222222222219</v>
      </c>
      <c r="I505" s="1">
        <v>-6</v>
      </c>
      <c r="J505" s="1">
        <v>-11</v>
      </c>
      <c r="K505" s="1" t="s">
        <v>18</v>
      </c>
      <c r="L505" s="1" t="s">
        <v>19</v>
      </c>
      <c r="M505" s="1">
        <v>606</v>
      </c>
    </row>
    <row r="506" spans="1:13" x14ac:dyDescent="0.35">
      <c r="A506" s="1" t="s">
        <v>964</v>
      </c>
      <c r="B506" s="2">
        <v>46077</v>
      </c>
      <c r="C506" s="1" t="s">
        <v>965</v>
      </c>
      <c r="D506" s="1" t="s">
        <v>15</v>
      </c>
      <c r="E506" s="1" t="s">
        <v>44</v>
      </c>
      <c r="F506" s="1" t="s">
        <v>17</v>
      </c>
      <c r="G506" s="3">
        <v>0.76041666666666663</v>
      </c>
      <c r="H506" s="3">
        <v>0.80208333333333337</v>
      </c>
      <c r="I506" s="1">
        <v>60</v>
      </c>
      <c r="J506" s="1">
        <v>48</v>
      </c>
      <c r="K506" s="1" t="s">
        <v>98</v>
      </c>
      <c r="L506" s="1" t="s">
        <v>19</v>
      </c>
      <c r="M506" s="1">
        <v>2606</v>
      </c>
    </row>
    <row r="507" spans="1:13" x14ac:dyDescent="0.35">
      <c r="A507" s="1" t="s">
        <v>966</v>
      </c>
      <c r="B507" s="2">
        <v>46077</v>
      </c>
      <c r="C507" s="1" t="s">
        <v>967</v>
      </c>
      <c r="D507" s="1" t="s">
        <v>41</v>
      </c>
      <c r="E507" s="1" t="s">
        <v>50</v>
      </c>
      <c r="F507" s="1" t="s">
        <v>28</v>
      </c>
      <c r="G507" s="3">
        <v>0.82638888888888884</v>
      </c>
      <c r="H507" s="3">
        <v>0.82847222222222228</v>
      </c>
      <c r="I507" s="1">
        <v>3</v>
      </c>
      <c r="J507" s="1">
        <v>6</v>
      </c>
      <c r="K507" s="1" t="s">
        <v>18</v>
      </c>
      <c r="L507" s="1" t="s">
        <v>19</v>
      </c>
      <c r="M507" s="1">
        <v>596</v>
      </c>
    </row>
    <row r="508" spans="1:13" x14ac:dyDescent="0.35">
      <c r="A508" s="1" t="s">
        <v>968</v>
      </c>
      <c r="B508" s="2">
        <v>46078</v>
      </c>
      <c r="C508" s="1" t="s">
        <v>969</v>
      </c>
      <c r="D508" s="1" t="s">
        <v>22</v>
      </c>
      <c r="E508" s="1" t="s">
        <v>41</v>
      </c>
      <c r="F508" s="1" t="s">
        <v>24</v>
      </c>
      <c r="G508" s="3">
        <v>0.38541666666666669</v>
      </c>
      <c r="H508" s="3">
        <v>0.38333333333333341</v>
      </c>
      <c r="I508" s="1">
        <v>-3</v>
      </c>
      <c r="J508" s="1">
        <v>-13</v>
      </c>
      <c r="K508" s="1" t="s">
        <v>18</v>
      </c>
      <c r="L508" s="1" t="s">
        <v>19</v>
      </c>
      <c r="M508" s="1">
        <v>1092</v>
      </c>
    </row>
    <row r="509" spans="1:13" x14ac:dyDescent="0.35">
      <c r="A509" s="1" t="s">
        <v>970</v>
      </c>
      <c r="B509" s="2">
        <v>46078</v>
      </c>
      <c r="C509" s="1" t="s">
        <v>971</v>
      </c>
      <c r="D509" s="1" t="s">
        <v>15</v>
      </c>
      <c r="E509" s="1" t="s">
        <v>51</v>
      </c>
      <c r="F509" s="1" t="s">
        <v>24</v>
      </c>
      <c r="G509" s="3">
        <v>0.70486111111111116</v>
      </c>
      <c r="H509" s="3">
        <v>0.70972222222222225</v>
      </c>
      <c r="I509" s="1">
        <v>7</v>
      </c>
      <c r="J509" s="1">
        <v>15</v>
      </c>
      <c r="K509" s="1"/>
      <c r="L509" s="1" t="s">
        <v>19</v>
      </c>
      <c r="M509" s="1">
        <v>1232</v>
      </c>
    </row>
    <row r="510" spans="1:13" x14ac:dyDescent="0.35">
      <c r="A510" s="1" t="s">
        <v>972</v>
      </c>
      <c r="B510" s="2">
        <v>46078</v>
      </c>
      <c r="C510" s="1" t="s">
        <v>973</v>
      </c>
      <c r="D510" s="1" t="s">
        <v>31</v>
      </c>
      <c r="E510" s="1" t="s">
        <v>44</v>
      </c>
      <c r="F510" s="1" t="s">
        <v>17</v>
      </c>
      <c r="G510" s="3">
        <v>0.76736111111111116</v>
      </c>
      <c r="H510" s="3">
        <v>0.77361111111111114</v>
      </c>
      <c r="I510" s="1">
        <v>9</v>
      </c>
      <c r="J510" s="1">
        <v>-2</v>
      </c>
      <c r="K510" s="1" t="s">
        <v>18</v>
      </c>
      <c r="L510" s="1" t="s">
        <v>19</v>
      </c>
      <c r="M510" s="1">
        <v>2375</v>
      </c>
    </row>
    <row r="511" spans="1:13" x14ac:dyDescent="0.35">
      <c r="A511" s="1" t="s">
        <v>974</v>
      </c>
      <c r="B511" s="2">
        <v>46078</v>
      </c>
      <c r="C511" s="1" t="s">
        <v>975</v>
      </c>
      <c r="D511" s="1" t="s">
        <v>23</v>
      </c>
      <c r="E511" s="1" t="s">
        <v>22</v>
      </c>
      <c r="F511" s="1" t="s">
        <v>28</v>
      </c>
      <c r="G511" s="3">
        <v>0.78125</v>
      </c>
      <c r="H511" s="3">
        <v>0.80138888888888893</v>
      </c>
      <c r="I511" s="1">
        <v>29</v>
      </c>
      <c r="J511" s="1">
        <v>28</v>
      </c>
      <c r="K511" s="1" t="s">
        <v>129</v>
      </c>
      <c r="L511" s="1" t="s">
        <v>19</v>
      </c>
      <c r="M511" s="1">
        <v>1622</v>
      </c>
    </row>
    <row r="512" spans="1:13" x14ac:dyDescent="0.35">
      <c r="A512" s="1" t="s">
        <v>976</v>
      </c>
      <c r="B512" s="2">
        <v>46080</v>
      </c>
      <c r="C512" s="1" t="s">
        <v>125</v>
      </c>
      <c r="D512" s="1" t="s">
        <v>50</v>
      </c>
      <c r="E512" s="1" t="s">
        <v>15</v>
      </c>
      <c r="F512" s="1" t="s">
        <v>38</v>
      </c>
      <c r="G512" s="3">
        <v>0.3263888888888889</v>
      </c>
      <c r="H512" s="3">
        <v>0.35486111111111113</v>
      </c>
      <c r="I512" s="1">
        <v>41</v>
      </c>
      <c r="J512" s="1">
        <v>39</v>
      </c>
      <c r="K512" s="1" t="s">
        <v>98</v>
      </c>
      <c r="L512" s="1" t="s">
        <v>19</v>
      </c>
      <c r="M512" s="1">
        <v>1942</v>
      </c>
    </row>
    <row r="513" spans="1:13" x14ac:dyDescent="0.35">
      <c r="A513" s="1" t="s">
        <v>977</v>
      </c>
      <c r="B513" s="2">
        <v>46080</v>
      </c>
      <c r="C513" s="1" t="s">
        <v>978</v>
      </c>
      <c r="D513" s="1" t="s">
        <v>15</v>
      </c>
      <c r="E513" s="1" t="s">
        <v>50</v>
      </c>
      <c r="F513" s="1" t="s">
        <v>38</v>
      </c>
      <c r="G513" s="3">
        <v>0.47569444444444442</v>
      </c>
      <c r="H513" s="1"/>
      <c r="I513" s="1"/>
      <c r="J513" s="1"/>
      <c r="K513" s="1" t="s">
        <v>149</v>
      </c>
      <c r="L513" s="1" t="s">
        <v>254</v>
      </c>
      <c r="M513" s="1">
        <v>1942</v>
      </c>
    </row>
    <row r="514" spans="1:13" x14ac:dyDescent="0.35">
      <c r="A514" s="1" t="s">
        <v>979</v>
      </c>
      <c r="B514" s="2">
        <v>46080</v>
      </c>
      <c r="C514" s="1" t="s">
        <v>424</v>
      </c>
      <c r="D514" s="1" t="s">
        <v>23</v>
      </c>
      <c r="E514" s="1" t="s">
        <v>16</v>
      </c>
      <c r="F514" s="1" t="s">
        <v>17</v>
      </c>
      <c r="G514" s="3">
        <v>0.72569444444444442</v>
      </c>
      <c r="H514" s="3">
        <v>0.72916666666666663</v>
      </c>
      <c r="I514" s="1">
        <v>5</v>
      </c>
      <c r="J514" s="1">
        <v>10</v>
      </c>
      <c r="K514" s="1" t="s">
        <v>18</v>
      </c>
      <c r="L514" s="1" t="s">
        <v>19</v>
      </c>
      <c r="M514" s="1">
        <v>886</v>
      </c>
    </row>
    <row r="515" spans="1:13" x14ac:dyDescent="0.35">
      <c r="A515" s="1" t="s">
        <v>980</v>
      </c>
      <c r="B515" s="2">
        <v>46080</v>
      </c>
      <c r="C515" s="1" t="s">
        <v>981</v>
      </c>
      <c r="D515" s="1" t="s">
        <v>41</v>
      </c>
      <c r="E515" s="1" t="s">
        <v>16</v>
      </c>
      <c r="F515" s="1" t="s">
        <v>28</v>
      </c>
      <c r="G515" s="3">
        <v>0.74305555555555558</v>
      </c>
      <c r="H515" s="3">
        <v>0.78055555555555556</v>
      </c>
      <c r="I515" s="1">
        <v>54</v>
      </c>
      <c r="J515" s="1">
        <v>48</v>
      </c>
      <c r="K515" s="1" t="s">
        <v>54</v>
      </c>
      <c r="L515" s="1" t="s">
        <v>19</v>
      </c>
      <c r="M515" s="1">
        <v>1199</v>
      </c>
    </row>
    <row r="516" spans="1:13" x14ac:dyDescent="0.35">
      <c r="A516" s="1" t="s">
        <v>982</v>
      </c>
      <c r="B516" s="2">
        <v>46081</v>
      </c>
      <c r="C516" s="1" t="s">
        <v>983</v>
      </c>
      <c r="D516" s="1" t="s">
        <v>78</v>
      </c>
      <c r="E516" s="1" t="s">
        <v>27</v>
      </c>
      <c r="F516" s="1" t="s">
        <v>38</v>
      </c>
      <c r="G516" s="3">
        <v>0.53125</v>
      </c>
      <c r="H516" s="3">
        <v>0.53680555555555554</v>
      </c>
      <c r="I516" s="1">
        <v>8</v>
      </c>
      <c r="J516" s="1">
        <v>4</v>
      </c>
      <c r="K516" s="1" t="s">
        <v>18</v>
      </c>
      <c r="L516" s="1" t="s">
        <v>19</v>
      </c>
      <c r="M516" s="1">
        <v>866</v>
      </c>
    </row>
    <row r="517" spans="1:13" x14ac:dyDescent="0.35">
      <c r="A517" s="1" t="s">
        <v>984</v>
      </c>
      <c r="B517" s="2">
        <v>46081</v>
      </c>
      <c r="C517" s="1" t="s">
        <v>583</v>
      </c>
      <c r="D517" s="1" t="s">
        <v>41</v>
      </c>
      <c r="E517" s="1" t="s">
        <v>47</v>
      </c>
      <c r="F517" s="1" t="s">
        <v>24</v>
      </c>
      <c r="G517" s="3">
        <v>0.71875</v>
      </c>
      <c r="H517" s="1"/>
      <c r="I517" s="1"/>
      <c r="J517" s="1"/>
      <c r="K517" s="1" t="s">
        <v>129</v>
      </c>
      <c r="L517" s="1" t="s">
        <v>254</v>
      </c>
      <c r="M517" s="1">
        <v>2582</v>
      </c>
    </row>
    <row r="518" spans="1:13" x14ac:dyDescent="0.35">
      <c r="A518" s="1" t="s">
        <v>985</v>
      </c>
      <c r="B518" s="2">
        <v>46081</v>
      </c>
      <c r="C518" s="1" t="s">
        <v>986</v>
      </c>
      <c r="D518" s="1" t="s">
        <v>15</v>
      </c>
      <c r="E518" s="1" t="s">
        <v>78</v>
      </c>
      <c r="F518" s="1" t="s">
        <v>38</v>
      </c>
      <c r="G518" s="3">
        <v>0.74305555555555558</v>
      </c>
      <c r="H518" s="3">
        <v>0.76458333333333328</v>
      </c>
      <c r="I518" s="1">
        <v>31</v>
      </c>
      <c r="J518" s="1">
        <v>31</v>
      </c>
      <c r="K518" s="1" t="s">
        <v>60</v>
      </c>
      <c r="L518" s="1" t="s">
        <v>19</v>
      </c>
      <c r="M518" s="1">
        <v>370</v>
      </c>
    </row>
    <row r="519" spans="1:13" x14ac:dyDescent="0.35">
      <c r="A519" s="1" t="s">
        <v>987</v>
      </c>
      <c r="B519" s="2">
        <v>46082</v>
      </c>
      <c r="C519" s="1" t="s">
        <v>988</v>
      </c>
      <c r="D519" s="1" t="s">
        <v>27</v>
      </c>
      <c r="E519" s="1" t="s">
        <v>23</v>
      </c>
      <c r="F519" s="1" t="s">
        <v>17</v>
      </c>
      <c r="G519" s="3">
        <v>0.27430555555555558</v>
      </c>
      <c r="H519" s="3">
        <v>0.27638888888888891</v>
      </c>
      <c r="I519" s="1">
        <v>3</v>
      </c>
      <c r="J519" s="1">
        <v>-5</v>
      </c>
      <c r="K519" s="1" t="s">
        <v>18</v>
      </c>
      <c r="L519" s="1" t="s">
        <v>19</v>
      </c>
      <c r="M519" s="1">
        <v>641</v>
      </c>
    </row>
    <row r="520" spans="1:13" x14ac:dyDescent="0.35">
      <c r="A520" s="1" t="s">
        <v>989</v>
      </c>
      <c r="B520" s="2">
        <v>46082</v>
      </c>
      <c r="C520" s="1" t="s">
        <v>139</v>
      </c>
      <c r="D520" s="1" t="s">
        <v>16</v>
      </c>
      <c r="E520" s="1" t="s">
        <v>47</v>
      </c>
      <c r="F520" s="1" t="s">
        <v>24</v>
      </c>
      <c r="G520" s="3">
        <v>0.3923611111111111</v>
      </c>
      <c r="H520" s="3">
        <v>0.39444444444444438</v>
      </c>
      <c r="I520" s="1">
        <v>3</v>
      </c>
      <c r="J520" s="1">
        <v>-9</v>
      </c>
      <c r="K520" s="1"/>
      <c r="L520" s="1" t="s">
        <v>19</v>
      </c>
      <c r="M520" s="1">
        <v>1842</v>
      </c>
    </row>
    <row r="521" spans="1:13" x14ac:dyDescent="0.35">
      <c r="A521" s="1" t="s">
        <v>990</v>
      </c>
      <c r="B521" s="2">
        <v>46082</v>
      </c>
      <c r="C521" s="1" t="s">
        <v>991</v>
      </c>
      <c r="D521" s="1" t="s">
        <v>37</v>
      </c>
      <c r="E521" s="1" t="s">
        <v>16</v>
      </c>
      <c r="F521" s="1" t="s">
        <v>17</v>
      </c>
      <c r="G521" s="3">
        <v>0.41666666666666669</v>
      </c>
      <c r="H521" s="3">
        <v>0.41597222222222219</v>
      </c>
      <c r="I521" s="1">
        <v>-1</v>
      </c>
      <c r="J521" s="1">
        <v>-10</v>
      </c>
      <c r="K521" s="1" t="s">
        <v>18</v>
      </c>
      <c r="L521" s="1" t="s">
        <v>19</v>
      </c>
      <c r="M521" s="1">
        <v>1717</v>
      </c>
    </row>
    <row r="522" spans="1:13" x14ac:dyDescent="0.35">
      <c r="A522" s="1" t="s">
        <v>992</v>
      </c>
      <c r="B522" s="2">
        <v>46082</v>
      </c>
      <c r="C522" s="1" t="s">
        <v>605</v>
      </c>
      <c r="D522" s="1" t="s">
        <v>806</v>
      </c>
      <c r="E522" s="1" t="s">
        <v>16</v>
      </c>
      <c r="F522" s="1" t="s">
        <v>28</v>
      </c>
      <c r="G522" s="3">
        <v>0.71875</v>
      </c>
      <c r="H522" s="3">
        <v>0.73611111111111116</v>
      </c>
      <c r="I522" s="1">
        <v>25</v>
      </c>
      <c r="J522" s="1">
        <v>16</v>
      </c>
      <c r="K522" s="1" t="s">
        <v>98</v>
      </c>
      <c r="L522" s="1" t="s">
        <v>19</v>
      </c>
      <c r="M522" s="1">
        <v>1742</v>
      </c>
    </row>
    <row r="523" spans="1:13" x14ac:dyDescent="0.35">
      <c r="A523" s="1" t="s">
        <v>993</v>
      </c>
      <c r="B523" s="2">
        <v>46083</v>
      </c>
      <c r="C523" s="1" t="s">
        <v>994</v>
      </c>
      <c r="D523" s="1" t="s">
        <v>78</v>
      </c>
      <c r="E523" s="1" t="s">
        <v>37</v>
      </c>
      <c r="F523" s="1" t="s">
        <v>38</v>
      </c>
      <c r="G523" s="3">
        <v>0.30902777777777779</v>
      </c>
      <c r="H523" s="3">
        <v>0.3125</v>
      </c>
      <c r="I523" s="1">
        <v>5</v>
      </c>
      <c r="J523" s="1">
        <v>2</v>
      </c>
      <c r="K523" s="1" t="s">
        <v>18</v>
      </c>
      <c r="L523" s="1" t="s">
        <v>19</v>
      </c>
      <c r="M523" s="1">
        <v>1108</v>
      </c>
    </row>
    <row r="524" spans="1:13" x14ac:dyDescent="0.35">
      <c r="A524" s="1" t="s">
        <v>995</v>
      </c>
      <c r="B524" s="2">
        <v>46083</v>
      </c>
      <c r="C524" s="1" t="s">
        <v>996</v>
      </c>
      <c r="D524" s="1" t="s">
        <v>50</v>
      </c>
      <c r="E524" s="1" t="s">
        <v>27</v>
      </c>
      <c r="F524" s="1" t="s">
        <v>17</v>
      </c>
      <c r="G524" s="3">
        <v>0.46875</v>
      </c>
      <c r="H524" s="3">
        <v>0.47152777777777782</v>
      </c>
      <c r="I524" s="1">
        <v>4</v>
      </c>
      <c r="J524" s="1">
        <v>9</v>
      </c>
      <c r="K524" s="1" t="s">
        <v>18</v>
      </c>
      <c r="L524" s="1" t="s">
        <v>19</v>
      </c>
      <c r="M524" s="1">
        <v>730</v>
      </c>
    </row>
    <row r="525" spans="1:13" x14ac:dyDescent="0.35">
      <c r="A525" s="1" t="s">
        <v>997</v>
      </c>
      <c r="B525" s="2">
        <v>46083</v>
      </c>
      <c r="C525" s="1" t="s">
        <v>998</v>
      </c>
      <c r="D525" s="1" t="s">
        <v>15</v>
      </c>
      <c r="E525" s="1" t="s">
        <v>50</v>
      </c>
      <c r="F525" s="1" t="s">
        <v>24</v>
      </c>
      <c r="G525" s="3">
        <v>0.71180555555555558</v>
      </c>
      <c r="H525" s="3">
        <v>0.70833333333333337</v>
      </c>
      <c r="I525" s="1">
        <v>-5</v>
      </c>
      <c r="J525" s="1">
        <v>4</v>
      </c>
      <c r="K525" s="1" t="s">
        <v>18</v>
      </c>
      <c r="L525" s="1" t="s">
        <v>19</v>
      </c>
      <c r="M525" s="1">
        <v>1942</v>
      </c>
    </row>
    <row r="526" spans="1:13" x14ac:dyDescent="0.35">
      <c r="A526" s="1" t="s">
        <v>999</v>
      </c>
      <c r="B526" s="2">
        <v>46083</v>
      </c>
      <c r="C526" s="1" t="s">
        <v>1000</v>
      </c>
      <c r="D526" s="1" t="s">
        <v>23</v>
      </c>
      <c r="E526" s="1" t="s">
        <v>50</v>
      </c>
      <c r="F526" s="1" t="s">
        <v>38</v>
      </c>
      <c r="G526" s="3">
        <v>0.73611111111111116</v>
      </c>
      <c r="H526" s="3">
        <v>0.82361111111111107</v>
      </c>
      <c r="I526" s="1">
        <v>126</v>
      </c>
      <c r="J526" s="1">
        <v>127</v>
      </c>
      <c r="K526" s="1" t="s">
        <v>54</v>
      </c>
      <c r="L526" s="1" t="s">
        <v>19</v>
      </c>
      <c r="M526" s="1">
        <v>1197</v>
      </c>
    </row>
    <row r="527" spans="1:13" x14ac:dyDescent="0.35">
      <c r="A527" s="1" t="s">
        <v>1001</v>
      </c>
      <c r="B527" s="2">
        <v>46083</v>
      </c>
      <c r="C527" s="1" t="s">
        <v>381</v>
      </c>
      <c r="D527" s="1" t="s">
        <v>27</v>
      </c>
      <c r="E527" s="1" t="s">
        <v>50</v>
      </c>
      <c r="F527" s="1" t="s">
        <v>17</v>
      </c>
      <c r="G527" s="3">
        <v>0.74305555555555558</v>
      </c>
      <c r="H527" s="3">
        <v>0.74375000000000002</v>
      </c>
      <c r="I527" s="1">
        <v>1</v>
      </c>
      <c r="J527" s="1">
        <v>4</v>
      </c>
      <c r="K527" s="1"/>
      <c r="L527" s="1" t="s">
        <v>19</v>
      </c>
      <c r="M527" s="1">
        <v>730</v>
      </c>
    </row>
    <row r="528" spans="1:13" x14ac:dyDescent="0.35">
      <c r="A528" s="1" t="s">
        <v>1002</v>
      </c>
      <c r="B528" s="2">
        <v>46084</v>
      </c>
      <c r="C528" s="1" t="s">
        <v>1003</v>
      </c>
      <c r="D528" s="1" t="s">
        <v>555</v>
      </c>
      <c r="E528" s="1" t="s">
        <v>15</v>
      </c>
      <c r="F528" s="1" t="s">
        <v>24</v>
      </c>
      <c r="G528" s="3">
        <v>0.32291666666666669</v>
      </c>
      <c r="H528" s="3">
        <v>0.31944444444444442</v>
      </c>
      <c r="I528" s="1">
        <v>-5</v>
      </c>
      <c r="J528" s="1">
        <v>-6</v>
      </c>
      <c r="K528" s="1" t="s">
        <v>18</v>
      </c>
      <c r="L528" s="1" t="s">
        <v>19</v>
      </c>
      <c r="M528" s="1">
        <v>1742</v>
      </c>
    </row>
    <row r="529" spans="1:13" x14ac:dyDescent="0.35">
      <c r="A529" s="1" t="s">
        <v>1004</v>
      </c>
      <c r="B529" s="2">
        <v>46084</v>
      </c>
      <c r="C529" s="1" t="s">
        <v>1005</v>
      </c>
      <c r="D529" s="1" t="s">
        <v>27</v>
      </c>
      <c r="E529" s="1" t="s">
        <v>50</v>
      </c>
      <c r="F529" s="1" t="s">
        <v>17</v>
      </c>
      <c r="G529" s="3">
        <v>0.51736111111111116</v>
      </c>
      <c r="H529" s="3">
        <v>0.54305555555555551</v>
      </c>
      <c r="I529" s="1">
        <v>37</v>
      </c>
      <c r="J529" s="1">
        <v>32</v>
      </c>
      <c r="K529" s="1" t="s">
        <v>129</v>
      </c>
      <c r="L529" s="1" t="s">
        <v>19</v>
      </c>
      <c r="M529" s="1">
        <v>730</v>
      </c>
    </row>
    <row r="530" spans="1:13" x14ac:dyDescent="0.35">
      <c r="A530" s="1" t="s">
        <v>1006</v>
      </c>
      <c r="B530" s="2">
        <v>46085</v>
      </c>
      <c r="C530" s="1" t="s">
        <v>994</v>
      </c>
      <c r="D530" s="1" t="s">
        <v>23</v>
      </c>
      <c r="E530" s="1" t="s">
        <v>22</v>
      </c>
      <c r="F530" s="1" t="s">
        <v>38</v>
      </c>
      <c r="G530" s="3">
        <v>0.35416666666666669</v>
      </c>
      <c r="H530" s="3">
        <v>0.35138888888888892</v>
      </c>
      <c r="I530" s="1">
        <v>-4</v>
      </c>
      <c r="J530" s="1">
        <v>-11</v>
      </c>
      <c r="K530" s="1" t="s">
        <v>18</v>
      </c>
      <c r="L530" s="1" t="s">
        <v>19</v>
      </c>
      <c r="M530" s="1">
        <v>1622</v>
      </c>
    </row>
    <row r="531" spans="1:13" x14ac:dyDescent="0.35">
      <c r="A531" s="1" t="s">
        <v>1007</v>
      </c>
      <c r="B531" s="2">
        <v>46085</v>
      </c>
      <c r="C531" s="1" t="s">
        <v>770</v>
      </c>
      <c r="D531" s="1" t="s">
        <v>226</v>
      </c>
      <c r="E531" s="1" t="s">
        <v>15</v>
      </c>
      <c r="F531" s="1" t="s">
        <v>17</v>
      </c>
      <c r="G531" s="3">
        <v>0.4826388888888889</v>
      </c>
      <c r="H531" s="3">
        <v>0.47986111111111113</v>
      </c>
      <c r="I531" s="1">
        <v>-4</v>
      </c>
      <c r="J531" s="1">
        <v>-1</v>
      </c>
      <c r="K531" s="1" t="s">
        <v>18</v>
      </c>
      <c r="L531" s="1" t="s">
        <v>19</v>
      </c>
      <c r="M531" s="1">
        <v>861</v>
      </c>
    </row>
    <row r="532" spans="1:13" x14ac:dyDescent="0.35">
      <c r="A532" s="1" t="s">
        <v>1007</v>
      </c>
      <c r="B532" s="2">
        <v>46085</v>
      </c>
      <c r="C532" s="1" t="s">
        <v>770</v>
      </c>
      <c r="D532" s="1" t="s">
        <v>226</v>
      </c>
      <c r="E532" s="1" t="s">
        <v>15</v>
      </c>
      <c r="F532" s="1" t="s">
        <v>17</v>
      </c>
      <c r="G532" s="3">
        <v>0.4826388888888889</v>
      </c>
      <c r="H532" s="3">
        <v>0.47986111111111113</v>
      </c>
      <c r="I532" s="1">
        <v>-4</v>
      </c>
      <c r="J532" s="1">
        <v>-1</v>
      </c>
      <c r="K532" s="1" t="s">
        <v>18</v>
      </c>
      <c r="L532" s="1" t="s">
        <v>19</v>
      </c>
      <c r="M532" s="1">
        <v>861</v>
      </c>
    </row>
    <row r="533" spans="1:13" x14ac:dyDescent="0.35">
      <c r="A533" s="1" t="s">
        <v>1008</v>
      </c>
      <c r="B533" s="2">
        <v>46085</v>
      </c>
      <c r="C533" s="1" t="s">
        <v>30</v>
      </c>
      <c r="D533" s="1" t="s">
        <v>27</v>
      </c>
      <c r="E533" s="1" t="s">
        <v>50</v>
      </c>
      <c r="F533" s="1" t="s">
        <v>17</v>
      </c>
      <c r="G533" s="3">
        <v>0.71875</v>
      </c>
      <c r="H533" s="3">
        <v>0.71527777777777779</v>
      </c>
      <c r="I533" s="1">
        <v>-5</v>
      </c>
      <c r="J533" s="1">
        <v>-9</v>
      </c>
      <c r="K533" s="1"/>
      <c r="L533" s="1" t="s">
        <v>19</v>
      </c>
      <c r="M533" s="1">
        <v>730</v>
      </c>
    </row>
    <row r="534" spans="1:13" x14ac:dyDescent="0.35">
      <c r="A534" s="1" t="s">
        <v>1009</v>
      </c>
      <c r="B534" s="2">
        <v>46085</v>
      </c>
      <c r="C534" s="1" t="s">
        <v>1010</v>
      </c>
      <c r="D534" s="1" t="s">
        <v>15</v>
      </c>
      <c r="E534" s="1" t="s">
        <v>41</v>
      </c>
      <c r="F534" s="1" t="s">
        <v>17</v>
      </c>
      <c r="G534" s="3">
        <v>0.92708333333333337</v>
      </c>
      <c r="H534" s="3">
        <v>0.9291666666666667</v>
      </c>
      <c r="I534" s="1">
        <v>3</v>
      </c>
      <c r="J534" s="1">
        <v>9</v>
      </c>
      <c r="K534" s="1" t="s">
        <v>18</v>
      </c>
      <c r="L534" s="1" t="s">
        <v>19</v>
      </c>
      <c r="M534" s="1">
        <v>2338</v>
      </c>
    </row>
    <row r="535" spans="1:13" x14ac:dyDescent="0.35">
      <c r="A535" s="1" t="s">
        <v>1011</v>
      </c>
      <c r="B535" s="2">
        <v>46087</v>
      </c>
      <c r="C535" s="1" t="s">
        <v>1012</v>
      </c>
      <c r="D535" s="1" t="s">
        <v>23</v>
      </c>
      <c r="E535" s="1" t="s">
        <v>50</v>
      </c>
      <c r="F535" s="1" t="s">
        <v>24</v>
      </c>
      <c r="G535" s="3">
        <v>0.51041666666666663</v>
      </c>
      <c r="H535" s="3">
        <v>0.5131944444444444</v>
      </c>
      <c r="I535" s="1">
        <v>4</v>
      </c>
      <c r="J535" s="1">
        <v>8</v>
      </c>
      <c r="K535" s="1" t="s">
        <v>18</v>
      </c>
      <c r="L535" s="1" t="s">
        <v>19</v>
      </c>
      <c r="M535" s="1">
        <v>1197</v>
      </c>
    </row>
    <row r="536" spans="1:13" x14ac:dyDescent="0.35">
      <c r="A536" s="1" t="s">
        <v>1013</v>
      </c>
      <c r="B536" s="2">
        <v>46088</v>
      </c>
      <c r="C536" s="1" t="s">
        <v>1014</v>
      </c>
      <c r="D536" s="1" t="s">
        <v>37</v>
      </c>
      <c r="E536" s="1" t="s">
        <v>15</v>
      </c>
      <c r="F536" s="1" t="s">
        <v>17</v>
      </c>
      <c r="G536" s="3">
        <v>0.31944444444444442</v>
      </c>
      <c r="H536" s="3">
        <v>0.3215277777777778</v>
      </c>
      <c r="I536" s="1">
        <v>3</v>
      </c>
      <c r="J536" s="1">
        <v>-8</v>
      </c>
      <c r="K536" s="1" t="s">
        <v>18</v>
      </c>
      <c r="L536" s="1" t="s">
        <v>19</v>
      </c>
      <c r="M536" s="1">
        <v>955</v>
      </c>
    </row>
    <row r="537" spans="1:13" x14ac:dyDescent="0.35">
      <c r="A537" s="1" t="s">
        <v>1015</v>
      </c>
      <c r="B537" s="2">
        <v>46088</v>
      </c>
      <c r="C537" s="1" t="s">
        <v>188</v>
      </c>
      <c r="D537" s="1" t="s">
        <v>50</v>
      </c>
      <c r="E537" s="1" t="s">
        <v>78</v>
      </c>
      <c r="F537" s="1" t="s">
        <v>38</v>
      </c>
      <c r="G537" s="3">
        <v>0.4861111111111111</v>
      </c>
      <c r="H537" s="3">
        <v>0.49791666666666667</v>
      </c>
      <c r="I537" s="1">
        <v>17</v>
      </c>
      <c r="J537" s="1">
        <v>2</v>
      </c>
      <c r="K537" s="1" t="s">
        <v>98</v>
      </c>
      <c r="L537" s="1" t="s">
        <v>19</v>
      </c>
      <c r="M537" s="1">
        <v>1584</v>
      </c>
    </row>
    <row r="538" spans="1:13" x14ac:dyDescent="0.35">
      <c r="A538" s="1" t="s">
        <v>1016</v>
      </c>
      <c r="B538" s="2">
        <v>46089</v>
      </c>
      <c r="C538" s="1" t="s">
        <v>1017</v>
      </c>
      <c r="D538" s="1" t="s">
        <v>15</v>
      </c>
      <c r="E538" s="1" t="s">
        <v>27</v>
      </c>
      <c r="F538" s="1" t="s">
        <v>24</v>
      </c>
      <c r="G538" s="3">
        <v>0.47916666666666669</v>
      </c>
      <c r="H538" s="3">
        <v>0.47986111111111113</v>
      </c>
      <c r="I538" s="1">
        <v>1</v>
      </c>
      <c r="J538" s="1">
        <v>4</v>
      </c>
      <c r="K538" s="1" t="s">
        <v>18</v>
      </c>
      <c r="L538" s="1" t="s">
        <v>19</v>
      </c>
      <c r="M538" s="1">
        <v>1232</v>
      </c>
    </row>
    <row r="539" spans="1:13" x14ac:dyDescent="0.35">
      <c r="A539" s="1" t="s">
        <v>1018</v>
      </c>
      <c r="B539" s="2">
        <v>46090</v>
      </c>
      <c r="C539" s="1" t="s">
        <v>1019</v>
      </c>
      <c r="D539" s="1" t="s">
        <v>41</v>
      </c>
      <c r="E539" s="1" t="s">
        <v>78</v>
      </c>
      <c r="F539" s="1" t="s">
        <v>17</v>
      </c>
      <c r="G539" s="3">
        <v>0.77083333333333337</v>
      </c>
      <c r="H539" s="3">
        <v>0.84236111111111112</v>
      </c>
      <c r="I539" s="1">
        <v>103</v>
      </c>
      <c r="J539" s="1">
        <v>100</v>
      </c>
      <c r="K539" s="1" t="s">
        <v>1020</v>
      </c>
      <c r="L539" s="1" t="s">
        <v>19</v>
      </c>
      <c r="M539" s="1">
        <v>1969</v>
      </c>
    </row>
    <row r="540" spans="1:13" x14ac:dyDescent="0.35">
      <c r="A540" s="1" t="s">
        <v>1021</v>
      </c>
      <c r="B540" s="2">
        <v>46091</v>
      </c>
      <c r="C540" s="1" t="s">
        <v>596</v>
      </c>
      <c r="D540" s="1" t="s">
        <v>22</v>
      </c>
      <c r="E540" s="1" t="s">
        <v>23</v>
      </c>
      <c r="F540" s="1" t="s">
        <v>24</v>
      </c>
      <c r="G540" s="3">
        <v>0.59027777777777779</v>
      </c>
      <c r="H540" s="3">
        <v>0.59861111111111109</v>
      </c>
      <c r="I540" s="1">
        <v>12</v>
      </c>
      <c r="J540" s="1">
        <v>13</v>
      </c>
      <c r="K540" s="1" t="s">
        <v>18</v>
      </c>
      <c r="L540" s="1" t="s">
        <v>19</v>
      </c>
      <c r="M540" s="1">
        <v>1622</v>
      </c>
    </row>
    <row r="541" spans="1:13" x14ac:dyDescent="0.35">
      <c r="A541" s="1" t="s">
        <v>1022</v>
      </c>
      <c r="B541" s="2">
        <v>46091</v>
      </c>
      <c r="C541" s="1" t="s">
        <v>494</v>
      </c>
      <c r="D541" s="1" t="s">
        <v>27</v>
      </c>
      <c r="E541" s="1" t="s">
        <v>47</v>
      </c>
      <c r="F541" s="1" t="s">
        <v>17</v>
      </c>
      <c r="G541" s="3">
        <v>0.79513888888888884</v>
      </c>
      <c r="H541" s="3">
        <v>0.7993055555555556</v>
      </c>
      <c r="I541" s="1">
        <v>6</v>
      </c>
      <c r="J541" s="1">
        <v>8</v>
      </c>
      <c r="K541" s="1"/>
      <c r="L541" s="1" t="s">
        <v>19</v>
      </c>
      <c r="M541" s="1">
        <v>1462</v>
      </c>
    </row>
    <row r="542" spans="1:13" x14ac:dyDescent="0.35">
      <c r="A542" s="1" t="s">
        <v>1023</v>
      </c>
      <c r="B542" s="2">
        <v>46092</v>
      </c>
      <c r="C542" s="1" t="s">
        <v>1024</v>
      </c>
      <c r="D542" s="1" t="s">
        <v>79</v>
      </c>
      <c r="E542" s="1" t="s">
        <v>588</v>
      </c>
      <c r="F542" s="1" t="s">
        <v>17</v>
      </c>
      <c r="G542" s="3">
        <v>0.39930555555555558</v>
      </c>
      <c r="H542" s="3">
        <v>0.39583333333333331</v>
      </c>
      <c r="I542" s="1">
        <v>-5</v>
      </c>
      <c r="J542" s="1">
        <v>-3</v>
      </c>
      <c r="K542" s="1"/>
      <c r="L542" s="1" t="s">
        <v>19</v>
      </c>
      <c r="M542" s="1">
        <v>730</v>
      </c>
    </row>
    <row r="543" spans="1:13" x14ac:dyDescent="0.35">
      <c r="A543" s="1" t="s">
        <v>1025</v>
      </c>
      <c r="B543" s="2">
        <v>46092</v>
      </c>
      <c r="C543" s="1" t="s">
        <v>539</v>
      </c>
      <c r="D543" s="1" t="s">
        <v>22</v>
      </c>
      <c r="E543" s="1" t="s">
        <v>15</v>
      </c>
      <c r="F543" s="1" t="s">
        <v>17</v>
      </c>
      <c r="G543" s="3">
        <v>0.49305555555555558</v>
      </c>
      <c r="H543" s="3">
        <v>0.49166666666666659</v>
      </c>
      <c r="I543" s="1">
        <v>-2</v>
      </c>
      <c r="J543" s="1">
        <v>0</v>
      </c>
      <c r="K543" s="1" t="s">
        <v>18</v>
      </c>
      <c r="L543" s="1" t="s">
        <v>19</v>
      </c>
      <c r="M543" s="1">
        <v>2470</v>
      </c>
    </row>
    <row r="544" spans="1:13" x14ac:dyDescent="0.35">
      <c r="A544" s="1" t="s">
        <v>1026</v>
      </c>
      <c r="B544" s="2">
        <v>46093</v>
      </c>
      <c r="C544" s="1" t="s">
        <v>1027</v>
      </c>
      <c r="D544" s="1" t="s">
        <v>93</v>
      </c>
      <c r="E544" s="1" t="s">
        <v>27</v>
      </c>
      <c r="F544" s="1" t="s">
        <v>24</v>
      </c>
      <c r="G544" s="3">
        <v>0.72569444444444442</v>
      </c>
      <c r="H544" s="3">
        <v>0.72847222222222219</v>
      </c>
      <c r="I544" s="1">
        <v>4</v>
      </c>
      <c r="J544" s="1">
        <v>3</v>
      </c>
      <c r="K544" s="1"/>
      <c r="L544" s="1" t="s">
        <v>19</v>
      </c>
      <c r="M544" s="1">
        <v>802</v>
      </c>
    </row>
    <row r="545" spans="1:13" x14ac:dyDescent="0.35">
      <c r="A545" s="1" t="s">
        <v>1028</v>
      </c>
      <c r="B545" s="2">
        <v>46093</v>
      </c>
      <c r="C545" s="1" t="s">
        <v>122</v>
      </c>
      <c r="D545" s="1" t="s">
        <v>16</v>
      </c>
      <c r="E545" s="1" t="s">
        <v>50</v>
      </c>
      <c r="F545" s="1" t="s">
        <v>24</v>
      </c>
      <c r="G545" s="3">
        <v>0.77083333333333337</v>
      </c>
      <c r="H545" s="3">
        <v>0.77500000000000002</v>
      </c>
      <c r="I545" s="1">
        <v>6</v>
      </c>
      <c r="J545" s="1">
        <v>4</v>
      </c>
      <c r="K545" s="1" t="s">
        <v>18</v>
      </c>
      <c r="L545" s="1" t="s">
        <v>19</v>
      </c>
      <c r="M545" s="1">
        <v>606</v>
      </c>
    </row>
    <row r="546" spans="1:13" x14ac:dyDescent="0.35">
      <c r="A546" s="1" t="s">
        <v>1029</v>
      </c>
      <c r="B546" s="2">
        <v>46095</v>
      </c>
      <c r="C546" s="1" t="s">
        <v>645</v>
      </c>
      <c r="D546" s="1" t="s">
        <v>16</v>
      </c>
      <c r="E546" s="1" t="s">
        <v>37</v>
      </c>
      <c r="F546" s="1" t="s">
        <v>24</v>
      </c>
      <c r="G546" s="3">
        <v>0.31944444444444442</v>
      </c>
      <c r="H546" s="3">
        <v>0.33750000000000002</v>
      </c>
      <c r="I546" s="1">
        <v>26</v>
      </c>
      <c r="J546" s="1">
        <v>26</v>
      </c>
      <c r="K546" s="1" t="s">
        <v>129</v>
      </c>
      <c r="L546" s="1" t="s">
        <v>19</v>
      </c>
      <c r="M546" s="1">
        <v>1717</v>
      </c>
    </row>
    <row r="547" spans="1:13" x14ac:dyDescent="0.35">
      <c r="A547" s="1" t="s">
        <v>1030</v>
      </c>
      <c r="B547" s="2">
        <v>46095</v>
      </c>
      <c r="C547" s="1" t="s">
        <v>1031</v>
      </c>
      <c r="D547" s="1" t="s">
        <v>221</v>
      </c>
      <c r="E547" s="1" t="s">
        <v>78</v>
      </c>
      <c r="F547" s="1" t="s">
        <v>38</v>
      </c>
      <c r="G547" s="3">
        <v>0.63888888888888884</v>
      </c>
      <c r="H547" s="3">
        <v>0.63402777777777775</v>
      </c>
      <c r="I547" s="1">
        <v>-7</v>
      </c>
      <c r="J547" s="1">
        <v>-16</v>
      </c>
      <c r="K547" s="1" t="s">
        <v>18</v>
      </c>
      <c r="L547" s="1" t="s">
        <v>19</v>
      </c>
      <c r="M547" s="1">
        <v>370</v>
      </c>
    </row>
    <row r="548" spans="1:13" x14ac:dyDescent="0.35">
      <c r="A548" s="1" t="s">
        <v>1032</v>
      </c>
      <c r="B548" s="2">
        <v>46095</v>
      </c>
      <c r="C548" s="1" t="s">
        <v>1033</v>
      </c>
      <c r="D548" s="1" t="s">
        <v>15</v>
      </c>
      <c r="E548" s="1" t="s">
        <v>50</v>
      </c>
      <c r="F548" s="1" t="s">
        <v>28</v>
      </c>
      <c r="G548" s="3">
        <v>0.80208333333333337</v>
      </c>
      <c r="H548" s="3">
        <v>0.80486111111111114</v>
      </c>
      <c r="I548" s="1">
        <v>4</v>
      </c>
      <c r="J548" s="1">
        <v>-5</v>
      </c>
      <c r="K548" s="1" t="s">
        <v>18</v>
      </c>
      <c r="L548" s="1" t="s">
        <v>19</v>
      </c>
      <c r="M548" s="1">
        <v>1942</v>
      </c>
    </row>
    <row r="549" spans="1:13" x14ac:dyDescent="0.35">
      <c r="A549" s="1" t="s">
        <v>1034</v>
      </c>
      <c r="B549" s="2">
        <v>46096</v>
      </c>
      <c r="C549" s="1" t="s">
        <v>1035</v>
      </c>
      <c r="D549" s="1" t="s">
        <v>16</v>
      </c>
      <c r="E549" s="1" t="s">
        <v>59</v>
      </c>
      <c r="F549" s="1" t="s">
        <v>17</v>
      </c>
      <c r="G549" s="3">
        <v>0.57291666666666663</v>
      </c>
      <c r="H549" s="3">
        <v>0.59861111111111109</v>
      </c>
      <c r="I549" s="1">
        <v>37</v>
      </c>
      <c r="J549" s="1">
        <v>35</v>
      </c>
      <c r="K549" s="1" t="s">
        <v>60</v>
      </c>
      <c r="L549" s="1" t="s">
        <v>19</v>
      </c>
      <c r="M549" s="1">
        <v>606</v>
      </c>
    </row>
    <row r="550" spans="1:13" x14ac:dyDescent="0.35">
      <c r="A550" s="1" t="s">
        <v>1036</v>
      </c>
      <c r="B550" s="2">
        <v>46096</v>
      </c>
      <c r="C550" s="1" t="s">
        <v>1037</v>
      </c>
      <c r="D550" s="1" t="s">
        <v>50</v>
      </c>
      <c r="E550" s="1" t="s">
        <v>226</v>
      </c>
      <c r="F550" s="1" t="s">
        <v>28</v>
      </c>
      <c r="G550" s="3">
        <v>0.58680555555555558</v>
      </c>
      <c r="H550" s="1"/>
      <c r="I550" s="1"/>
      <c r="J550" s="1"/>
      <c r="K550" s="1" t="s">
        <v>60</v>
      </c>
      <c r="L550" s="1" t="s">
        <v>254</v>
      </c>
      <c r="M550" s="1">
        <v>1197</v>
      </c>
    </row>
    <row r="551" spans="1:13" x14ac:dyDescent="0.35">
      <c r="A551" s="1" t="s">
        <v>1038</v>
      </c>
      <c r="B551" s="2">
        <v>46097</v>
      </c>
      <c r="C551" s="1" t="s">
        <v>773</v>
      </c>
      <c r="D551" s="1" t="s">
        <v>22</v>
      </c>
      <c r="E551" s="1" t="s">
        <v>221</v>
      </c>
      <c r="F551" s="1" t="s">
        <v>28</v>
      </c>
      <c r="G551" s="3">
        <v>0.25</v>
      </c>
      <c r="H551" s="3">
        <v>0.32430555555555562</v>
      </c>
      <c r="I551" s="1">
        <v>107</v>
      </c>
      <c r="J551" s="1">
        <v>95</v>
      </c>
      <c r="K551" s="1" t="s">
        <v>60</v>
      </c>
      <c r="L551" s="1" t="s">
        <v>19</v>
      </c>
      <c r="M551" s="1">
        <v>2470</v>
      </c>
    </row>
    <row r="552" spans="1:13" x14ac:dyDescent="0.35">
      <c r="A552" s="1" t="s">
        <v>1039</v>
      </c>
      <c r="B552" s="2">
        <v>46097</v>
      </c>
      <c r="C552" s="1" t="s">
        <v>1040</v>
      </c>
      <c r="D552" s="1" t="s">
        <v>591</v>
      </c>
      <c r="E552" s="1" t="s">
        <v>16</v>
      </c>
      <c r="F552" s="1" t="s">
        <v>38</v>
      </c>
      <c r="G552" s="3">
        <v>0.78819444444444442</v>
      </c>
      <c r="H552" s="3">
        <v>0.80277777777777781</v>
      </c>
      <c r="I552" s="1">
        <v>21</v>
      </c>
      <c r="J552" s="1">
        <v>19</v>
      </c>
      <c r="K552" s="1" t="s">
        <v>263</v>
      </c>
      <c r="L552" s="1" t="s">
        <v>19</v>
      </c>
      <c r="M552" s="1">
        <v>802</v>
      </c>
    </row>
    <row r="553" spans="1:13" x14ac:dyDescent="0.35">
      <c r="A553" s="1" t="s">
        <v>1041</v>
      </c>
      <c r="B553" s="2">
        <v>46098</v>
      </c>
      <c r="C553" s="1" t="s">
        <v>1042</v>
      </c>
      <c r="D553" s="1" t="s">
        <v>16</v>
      </c>
      <c r="E553" s="1" t="s">
        <v>47</v>
      </c>
      <c r="F553" s="1" t="s">
        <v>28</v>
      </c>
      <c r="G553" s="3">
        <v>0.5625</v>
      </c>
      <c r="H553" s="3">
        <v>0.56944444444444442</v>
      </c>
      <c r="I553" s="1">
        <v>10</v>
      </c>
      <c r="J553" s="1">
        <v>17</v>
      </c>
      <c r="K553" s="1"/>
      <c r="L553" s="1" t="s">
        <v>19</v>
      </c>
      <c r="M553" s="1">
        <v>1842</v>
      </c>
    </row>
    <row r="554" spans="1:13" x14ac:dyDescent="0.35">
      <c r="A554" s="1" t="s">
        <v>1043</v>
      </c>
      <c r="B554" s="2">
        <v>46098</v>
      </c>
      <c r="C554" s="1" t="s">
        <v>1044</v>
      </c>
      <c r="D554" s="1" t="s">
        <v>44</v>
      </c>
      <c r="E554" s="1" t="s">
        <v>16</v>
      </c>
      <c r="F554" s="1" t="s">
        <v>24</v>
      </c>
      <c r="G554" s="3">
        <v>0.66319444444444442</v>
      </c>
      <c r="H554" s="3">
        <v>0.66041666666666665</v>
      </c>
      <c r="I554" s="1">
        <v>-4</v>
      </c>
      <c r="J554" s="1">
        <v>-4</v>
      </c>
      <c r="K554" s="1"/>
      <c r="L554" s="1" t="s">
        <v>19</v>
      </c>
      <c r="M554" s="1">
        <v>864</v>
      </c>
    </row>
    <row r="555" spans="1:13" x14ac:dyDescent="0.35">
      <c r="A555" s="1" t="s">
        <v>1045</v>
      </c>
      <c r="B555" s="2">
        <v>46098</v>
      </c>
      <c r="C555" s="1" t="s">
        <v>1046</v>
      </c>
      <c r="D555" s="1" t="s">
        <v>16</v>
      </c>
      <c r="E555" s="1" t="s">
        <v>27</v>
      </c>
      <c r="F555" s="1" t="s">
        <v>24</v>
      </c>
      <c r="G555" s="3">
        <v>0.78125</v>
      </c>
      <c r="H555" s="3">
        <v>0.78472222222222221</v>
      </c>
      <c r="I555" s="1">
        <v>5</v>
      </c>
      <c r="J555" s="1">
        <v>-2</v>
      </c>
      <c r="K555" s="1" t="s">
        <v>18</v>
      </c>
      <c r="L555" s="1" t="s">
        <v>19</v>
      </c>
      <c r="M555" s="1">
        <v>802</v>
      </c>
    </row>
    <row r="556" spans="1:13" x14ac:dyDescent="0.35">
      <c r="A556" s="1" t="s">
        <v>1047</v>
      </c>
      <c r="B556" s="2">
        <v>46099</v>
      </c>
      <c r="C556" s="1" t="s">
        <v>716</v>
      </c>
      <c r="D556" s="1" t="s">
        <v>16</v>
      </c>
      <c r="E556" s="1" t="s">
        <v>22</v>
      </c>
      <c r="F556" s="1" t="s">
        <v>28</v>
      </c>
      <c r="G556" s="3">
        <v>0.2638888888888889</v>
      </c>
      <c r="H556" s="3">
        <v>0.2951388888888889</v>
      </c>
      <c r="I556" s="1">
        <v>45</v>
      </c>
      <c r="J556" s="1">
        <v>50</v>
      </c>
      <c r="K556" s="1" t="s">
        <v>60</v>
      </c>
      <c r="L556" s="1" t="s">
        <v>19</v>
      </c>
      <c r="M556" s="1">
        <v>738</v>
      </c>
    </row>
    <row r="557" spans="1:13" x14ac:dyDescent="0.35">
      <c r="A557" s="1" t="s">
        <v>1048</v>
      </c>
      <c r="B557" s="2">
        <v>46099</v>
      </c>
      <c r="C557" s="1" t="s">
        <v>1049</v>
      </c>
      <c r="D557" s="1" t="s">
        <v>23</v>
      </c>
      <c r="E557" s="1" t="s">
        <v>47</v>
      </c>
      <c r="F557" s="1" t="s">
        <v>28</v>
      </c>
      <c r="G557" s="3">
        <v>0.46875</v>
      </c>
      <c r="H557" s="3">
        <v>0.46666666666666667</v>
      </c>
      <c r="I557" s="1">
        <v>-3</v>
      </c>
      <c r="J557" s="1">
        <v>-7</v>
      </c>
      <c r="K557" s="1" t="s">
        <v>18</v>
      </c>
      <c r="L557" s="1" t="s">
        <v>19</v>
      </c>
      <c r="M557" s="1">
        <v>965</v>
      </c>
    </row>
    <row r="558" spans="1:13" x14ac:dyDescent="0.35">
      <c r="A558" s="1" t="s">
        <v>1050</v>
      </c>
      <c r="B558" s="2">
        <v>46099</v>
      </c>
      <c r="C558" s="1" t="s">
        <v>543</v>
      </c>
      <c r="D558" s="1" t="s">
        <v>50</v>
      </c>
      <c r="E558" s="1" t="s">
        <v>44</v>
      </c>
      <c r="F558" s="1" t="s">
        <v>28</v>
      </c>
      <c r="G558" s="3">
        <v>0.59722222222222221</v>
      </c>
      <c r="H558" s="3">
        <v>0.70416666666666672</v>
      </c>
      <c r="I558" s="1">
        <v>154</v>
      </c>
      <c r="J558" s="1">
        <v>153</v>
      </c>
      <c r="K558" s="1" t="s">
        <v>54</v>
      </c>
      <c r="L558" s="1" t="s">
        <v>19</v>
      </c>
      <c r="M558" s="1">
        <v>945</v>
      </c>
    </row>
    <row r="559" spans="1:13" x14ac:dyDescent="0.35">
      <c r="A559" s="1" t="s">
        <v>1051</v>
      </c>
      <c r="B559" s="2">
        <v>46099</v>
      </c>
      <c r="C559" s="1" t="s">
        <v>1052</v>
      </c>
      <c r="D559" s="1" t="s">
        <v>50</v>
      </c>
      <c r="E559" s="1" t="s">
        <v>16</v>
      </c>
      <c r="F559" s="1" t="s">
        <v>28</v>
      </c>
      <c r="G559" s="3">
        <v>0.60069444444444442</v>
      </c>
      <c r="H559" s="3">
        <v>0.60555555555555551</v>
      </c>
      <c r="I559" s="1">
        <v>7</v>
      </c>
      <c r="J559" s="1">
        <v>-1</v>
      </c>
      <c r="K559" s="1" t="s">
        <v>18</v>
      </c>
      <c r="L559" s="1" t="s">
        <v>19</v>
      </c>
      <c r="M559" s="1">
        <v>606</v>
      </c>
    </row>
    <row r="560" spans="1:13" x14ac:dyDescent="0.35">
      <c r="A560" s="1" t="s">
        <v>1053</v>
      </c>
      <c r="B560" s="2">
        <v>46100</v>
      </c>
      <c r="C560" s="1" t="s">
        <v>535</v>
      </c>
      <c r="D560" s="1" t="s">
        <v>41</v>
      </c>
      <c r="E560" s="1" t="s">
        <v>71</v>
      </c>
      <c r="F560" s="1" t="s">
        <v>24</v>
      </c>
      <c r="G560" s="3">
        <v>0.4826388888888889</v>
      </c>
      <c r="H560" s="3">
        <v>0.48194444444444451</v>
      </c>
      <c r="I560" s="1">
        <v>-1</v>
      </c>
      <c r="J560" s="1">
        <v>-3</v>
      </c>
      <c r="K560" s="1" t="s">
        <v>18</v>
      </c>
      <c r="L560" s="1" t="s">
        <v>19</v>
      </c>
      <c r="M560" s="1">
        <v>1199</v>
      </c>
    </row>
    <row r="561" spans="1:13" x14ac:dyDescent="0.35">
      <c r="A561" s="1" t="s">
        <v>1054</v>
      </c>
      <c r="B561" s="2">
        <v>46100</v>
      </c>
      <c r="C561" s="1" t="s">
        <v>34</v>
      </c>
      <c r="D561" s="1" t="s">
        <v>50</v>
      </c>
      <c r="E561" s="1" t="s">
        <v>22</v>
      </c>
      <c r="F561" s="1" t="s">
        <v>17</v>
      </c>
      <c r="G561" s="3">
        <v>0.64930555555555558</v>
      </c>
      <c r="H561" s="3">
        <v>0.64652777777777781</v>
      </c>
      <c r="I561" s="1">
        <v>-4</v>
      </c>
      <c r="J561" s="1">
        <v>-1</v>
      </c>
      <c r="K561" s="1" t="s">
        <v>18</v>
      </c>
      <c r="L561" s="1" t="s">
        <v>19</v>
      </c>
      <c r="M561" s="1">
        <v>759</v>
      </c>
    </row>
    <row r="562" spans="1:13" x14ac:dyDescent="0.35">
      <c r="A562" s="1" t="s">
        <v>1055</v>
      </c>
      <c r="B562" s="2">
        <v>46100</v>
      </c>
      <c r="C562" s="1" t="s">
        <v>43</v>
      </c>
      <c r="D562" s="1" t="s">
        <v>16</v>
      </c>
      <c r="E562" s="1" t="s">
        <v>123</v>
      </c>
      <c r="F562" s="1" t="s">
        <v>28</v>
      </c>
      <c r="G562" s="3">
        <v>0.76736111111111116</v>
      </c>
      <c r="H562" s="3">
        <v>0.76458333333333328</v>
      </c>
      <c r="I562" s="1">
        <v>-4</v>
      </c>
      <c r="J562" s="1">
        <v>-9</v>
      </c>
      <c r="K562" s="1"/>
      <c r="L562" s="1" t="s">
        <v>19</v>
      </c>
      <c r="M562" s="1">
        <v>606</v>
      </c>
    </row>
    <row r="563" spans="1:13" x14ac:dyDescent="0.35">
      <c r="A563" s="1" t="s">
        <v>1056</v>
      </c>
      <c r="B563" s="2">
        <v>46101</v>
      </c>
      <c r="C563" s="1" t="s">
        <v>796</v>
      </c>
      <c r="D563" s="1" t="s">
        <v>591</v>
      </c>
      <c r="E563" s="1" t="s">
        <v>16</v>
      </c>
      <c r="F563" s="1" t="s">
        <v>28</v>
      </c>
      <c r="G563" s="3">
        <v>0.47569444444444442</v>
      </c>
      <c r="H563" s="3">
        <v>0.4826388888888889</v>
      </c>
      <c r="I563" s="1">
        <v>10</v>
      </c>
      <c r="J563" s="1">
        <v>6</v>
      </c>
      <c r="K563" s="1" t="s">
        <v>18</v>
      </c>
      <c r="L563" s="1" t="s">
        <v>19</v>
      </c>
      <c r="M563" s="1">
        <v>802</v>
      </c>
    </row>
    <row r="564" spans="1:13" x14ac:dyDescent="0.35">
      <c r="A564" s="1" t="s">
        <v>1057</v>
      </c>
      <c r="B564" s="2">
        <v>46101</v>
      </c>
      <c r="C564" s="1" t="s">
        <v>1058</v>
      </c>
      <c r="D564" s="1" t="s">
        <v>23</v>
      </c>
      <c r="E564" s="1" t="s">
        <v>22</v>
      </c>
      <c r="F564" s="1" t="s">
        <v>17</v>
      </c>
      <c r="G564" s="3">
        <v>0.65277777777777779</v>
      </c>
      <c r="H564" s="3">
        <v>0.65</v>
      </c>
      <c r="I564" s="1">
        <v>-4</v>
      </c>
      <c r="J564" s="1">
        <v>-14</v>
      </c>
      <c r="K564" s="1" t="s">
        <v>18</v>
      </c>
      <c r="L564" s="1" t="s">
        <v>19</v>
      </c>
      <c r="M564" s="1">
        <v>1622</v>
      </c>
    </row>
    <row r="565" spans="1:13" x14ac:dyDescent="0.35">
      <c r="A565" s="1" t="s">
        <v>1059</v>
      </c>
      <c r="B565" s="2">
        <v>46102</v>
      </c>
      <c r="C565" s="1" t="s">
        <v>1060</v>
      </c>
      <c r="D565" s="1" t="s">
        <v>44</v>
      </c>
      <c r="E565" s="1" t="s">
        <v>50</v>
      </c>
      <c r="F565" s="1" t="s">
        <v>24</v>
      </c>
      <c r="G565" s="3">
        <v>0.34722222222222221</v>
      </c>
      <c r="H565" s="3">
        <v>0.35347222222222219</v>
      </c>
      <c r="I565" s="1">
        <v>9</v>
      </c>
      <c r="J565" s="1">
        <v>-2</v>
      </c>
      <c r="K565" s="1" t="s">
        <v>18</v>
      </c>
      <c r="L565" s="1" t="s">
        <v>19</v>
      </c>
      <c r="M565" s="1">
        <v>945</v>
      </c>
    </row>
    <row r="566" spans="1:13" x14ac:dyDescent="0.35">
      <c r="A566" s="1" t="s">
        <v>1061</v>
      </c>
      <c r="B566" s="2">
        <v>46102</v>
      </c>
      <c r="C566" s="1" t="s">
        <v>1062</v>
      </c>
      <c r="D566" s="1" t="s">
        <v>23</v>
      </c>
      <c r="E566" s="1" t="s">
        <v>16</v>
      </c>
      <c r="F566" s="1" t="s">
        <v>24</v>
      </c>
      <c r="G566" s="3">
        <v>0.74305555555555558</v>
      </c>
      <c r="H566" s="3">
        <v>0.73819444444444449</v>
      </c>
      <c r="I566" s="1">
        <v>-7</v>
      </c>
      <c r="J566" s="1">
        <v>-16</v>
      </c>
      <c r="K566" s="1" t="s">
        <v>18</v>
      </c>
      <c r="L566" s="1" t="s">
        <v>19</v>
      </c>
      <c r="M566" s="1">
        <v>886</v>
      </c>
    </row>
    <row r="567" spans="1:13" x14ac:dyDescent="0.35">
      <c r="A567" s="1" t="s">
        <v>1063</v>
      </c>
      <c r="B567" s="2">
        <v>46103</v>
      </c>
      <c r="C567" s="1" t="s">
        <v>1064</v>
      </c>
      <c r="D567" s="1" t="s">
        <v>50</v>
      </c>
      <c r="E567" s="1" t="s">
        <v>22</v>
      </c>
      <c r="F567" s="1" t="s">
        <v>28</v>
      </c>
      <c r="G567" s="3">
        <v>0.30208333333333331</v>
      </c>
      <c r="H567" s="3">
        <v>0.31041666666666667</v>
      </c>
      <c r="I567" s="1">
        <v>12</v>
      </c>
      <c r="J567" s="1">
        <v>17</v>
      </c>
      <c r="K567" s="1" t="s">
        <v>18</v>
      </c>
      <c r="L567" s="1" t="s">
        <v>19</v>
      </c>
      <c r="M567" s="1">
        <v>759</v>
      </c>
    </row>
    <row r="568" spans="1:13" x14ac:dyDescent="0.35">
      <c r="A568" s="1" t="s">
        <v>1063</v>
      </c>
      <c r="B568" s="2">
        <v>46103</v>
      </c>
      <c r="C568" s="1" t="s">
        <v>1064</v>
      </c>
      <c r="D568" s="1" t="s">
        <v>50</v>
      </c>
      <c r="E568" s="1" t="s">
        <v>22</v>
      </c>
      <c r="F568" s="1" t="s">
        <v>28</v>
      </c>
      <c r="G568" s="3">
        <v>0.30208333333333331</v>
      </c>
      <c r="H568" s="3">
        <v>0.31041666666666667</v>
      </c>
      <c r="I568" s="1">
        <v>12</v>
      </c>
      <c r="J568" s="1">
        <v>17</v>
      </c>
      <c r="K568" s="1" t="s">
        <v>18</v>
      </c>
      <c r="L568" s="1" t="s">
        <v>19</v>
      </c>
      <c r="M568" s="1">
        <v>759</v>
      </c>
    </row>
    <row r="569" spans="1:13" x14ac:dyDescent="0.35">
      <c r="A569" s="1" t="s">
        <v>1065</v>
      </c>
      <c r="B569" s="2">
        <v>46103</v>
      </c>
      <c r="C569" s="1" t="s">
        <v>1005</v>
      </c>
      <c r="D569" s="1" t="s">
        <v>50</v>
      </c>
      <c r="E569" s="1" t="s">
        <v>16</v>
      </c>
      <c r="F569" s="1" t="s">
        <v>28</v>
      </c>
      <c r="G569" s="3">
        <v>0.46180555555555558</v>
      </c>
      <c r="H569" s="3">
        <v>0.46944444444444439</v>
      </c>
      <c r="I569" s="1">
        <v>11</v>
      </c>
      <c r="J569" s="1">
        <v>18</v>
      </c>
      <c r="K569" s="1" t="s">
        <v>18</v>
      </c>
      <c r="L569" s="1" t="s">
        <v>19</v>
      </c>
      <c r="M569" s="1">
        <v>606</v>
      </c>
    </row>
    <row r="570" spans="1:13" x14ac:dyDescent="0.35">
      <c r="A570" s="1" t="s">
        <v>1066</v>
      </c>
      <c r="B570" s="2">
        <v>46103</v>
      </c>
      <c r="C570" s="1" t="s">
        <v>962</v>
      </c>
      <c r="D570" s="1" t="s">
        <v>15</v>
      </c>
      <c r="E570" s="1" t="s">
        <v>78</v>
      </c>
      <c r="F570" s="1" t="s">
        <v>24</v>
      </c>
      <c r="G570" s="3">
        <v>0.67708333333333337</v>
      </c>
      <c r="H570" s="3">
        <v>0.68263888888888891</v>
      </c>
      <c r="I570" s="1">
        <v>8</v>
      </c>
      <c r="J570" s="1">
        <v>9</v>
      </c>
      <c r="K570" s="1"/>
      <c r="L570" s="1" t="s">
        <v>19</v>
      </c>
      <c r="M570" s="1">
        <v>370</v>
      </c>
    </row>
    <row r="571" spans="1:13" x14ac:dyDescent="0.35">
      <c r="A571" s="1" t="s">
        <v>1067</v>
      </c>
      <c r="B571" s="2">
        <v>46103</v>
      </c>
      <c r="C571" s="1" t="s">
        <v>1044</v>
      </c>
      <c r="D571" s="1" t="s">
        <v>27</v>
      </c>
      <c r="E571" s="1" t="s">
        <v>50</v>
      </c>
      <c r="F571" s="1" t="s">
        <v>17</v>
      </c>
      <c r="G571" s="3">
        <v>0.76041666666666663</v>
      </c>
      <c r="H571" s="3">
        <v>0.77777777777777779</v>
      </c>
      <c r="I571" s="1">
        <v>25</v>
      </c>
      <c r="J571" s="1">
        <v>10</v>
      </c>
      <c r="K571" s="1" t="s">
        <v>60</v>
      </c>
      <c r="L571" s="1" t="s">
        <v>19</v>
      </c>
      <c r="M571" s="1">
        <v>730</v>
      </c>
    </row>
    <row r="572" spans="1:13" x14ac:dyDescent="0.35">
      <c r="A572" s="1" t="s">
        <v>1068</v>
      </c>
      <c r="B572" s="2">
        <v>46103</v>
      </c>
      <c r="C572" s="1" t="s">
        <v>1062</v>
      </c>
      <c r="D572" s="1" t="s">
        <v>78</v>
      </c>
      <c r="E572" s="1" t="s">
        <v>588</v>
      </c>
      <c r="F572" s="1" t="s">
        <v>24</v>
      </c>
      <c r="G572" s="3">
        <v>0.77083333333333337</v>
      </c>
      <c r="H572" s="3">
        <v>0.81805555555555554</v>
      </c>
      <c r="I572" s="1">
        <v>68</v>
      </c>
      <c r="J572" s="1">
        <v>59</v>
      </c>
      <c r="K572" s="1" t="s">
        <v>60</v>
      </c>
      <c r="L572" s="1" t="s">
        <v>19</v>
      </c>
      <c r="M572" s="1">
        <v>866</v>
      </c>
    </row>
    <row r="573" spans="1:13" x14ac:dyDescent="0.35">
      <c r="A573" s="1" t="s">
        <v>1069</v>
      </c>
      <c r="B573" s="2">
        <v>46103</v>
      </c>
      <c r="C573" s="1" t="s">
        <v>864</v>
      </c>
      <c r="D573" s="1" t="s">
        <v>27</v>
      </c>
      <c r="E573" s="1" t="s">
        <v>629</v>
      </c>
      <c r="F573" s="1" t="s">
        <v>28</v>
      </c>
      <c r="G573" s="3">
        <v>0.90972222222222221</v>
      </c>
      <c r="H573" s="3">
        <v>0.91527777777777775</v>
      </c>
      <c r="I573" s="1">
        <v>8</v>
      </c>
      <c r="J573" s="1">
        <v>14</v>
      </c>
      <c r="K573" s="1" t="s">
        <v>18</v>
      </c>
      <c r="L573" s="1" t="s">
        <v>19</v>
      </c>
      <c r="M573" s="1">
        <v>866</v>
      </c>
    </row>
    <row r="574" spans="1:13" x14ac:dyDescent="0.35">
      <c r="A574" s="1" t="s">
        <v>1070</v>
      </c>
      <c r="B574" s="2">
        <v>46103</v>
      </c>
      <c r="C574" s="1" t="s">
        <v>823</v>
      </c>
      <c r="D574" s="1" t="s">
        <v>37</v>
      </c>
      <c r="E574" s="1" t="s">
        <v>78</v>
      </c>
      <c r="F574" s="1" t="s">
        <v>28</v>
      </c>
      <c r="G574" s="3">
        <v>0.95138888888888884</v>
      </c>
      <c r="H574" s="3">
        <v>0.99583333333333335</v>
      </c>
      <c r="I574" s="1">
        <v>64</v>
      </c>
      <c r="J574" s="1">
        <v>62</v>
      </c>
      <c r="K574" s="1" t="s">
        <v>60</v>
      </c>
      <c r="L574" s="1" t="s">
        <v>19</v>
      </c>
      <c r="M574" s="1">
        <v>1108</v>
      </c>
    </row>
    <row r="575" spans="1:13" x14ac:dyDescent="0.35">
      <c r="A575" s="1" t="s">
        <v>1071</v>
      </c>
      <c r="B575" s="2">
        <v>46104</v>
      </c>
      <c r="C575" s="1" t="s">
        <v>110</v>
      </c>
      <c r="D575" s="1" t="s">
        <v>226</v>
      </c>
      <c r="E575" s="1" t="s">
        <v>27</v>
      </c>
      <c r="F575" s="1" t="s">
        <v>28</v>
      </c>
      <c r="G575" s="3">
        <v>0.35416666666666669</v>
      </c>
      <c r="H575" s="3">
        <v>0.44861111111111113</v>
      </c>
      <c r="I575" s="1">
        <v>136</v>
      </c>
      <c r="J575" s="1">
        <v>140</v>
      </c>
      <c r="K575" s="1" t="s">
        <v>54</v>
      </c>
      <c r="L575" s="1" t="s">
        <v>19</v>
      </c>
      <c r="M575" s="1">
        <v>641</v>
      </c>
    </row>
    <row r="576" spans="1:13" x14ac:dyDescent="0.35">
      <c r="A576" s="1" t="s">
        <v>1072</v>
      </c>
      <c r="B576" s="2">
        <v>46105</v>
      </c>
      <c r="C576" s="1" t="s">
        <v>1073</v>
      </c>
      <c r="D576" s="1" t="s">
        <v>79</v>
      </c>
      <c r="E576" s="1" t="s">
        <v>23</v>
      </c>
      <c r="F576" s="1" t="s">
        <v>28</v>
      </c>
      <c r="G576" s="3">
        <v>0.65277777777777779</v>
      </c>
      <c r="H576" s="1"/>
      <c r="I576" s="1"/>
      <c r="J576" s="1"/>
      <c r="K576" s="1" t="s">
        <v>129</v>
      </c>
      <c r="L576" s="1" t="s">
        <v>254</v>
      </c>
      <c r="M576" s="1">
        <v>1197</v>
      </c>
    </row>
    <row r="577" spans="1:13" x14ac:dyDescent="0.35">
      <c r="A577" s="1" t="s">
        <v>1074</v>
      </c>
      <c r="B577" s="2">
        <v>46106</v>
      </c>
      <c r="C577" s="1" t="s">
        <v>1075</v>
      </c>
      <c r="D577" s="1" t="s">
        <v>44</v>
      </c>
      <c r="E577" s="1" t="s">
        <v>37</v>
      </c>
      <c r="F577" s="1" t="s">
        <v>24</v>
      </c>
      <c r="G577" s="3">
        <v>0.2986111111111111</v>
      </c>
      <c r="H577" s="3">
        <v>0.30625000000000002</v>
      </c>
      <c r="I577" s="1">
        <v>11</v>
      </c>
      <c r="J577" s="1">
        <v>8</v>
      </c>
      <c r="K577" s="1" t="s">
        <v>18</v>
      </c>
      <c r="L577" s="1" t="s">
        <v>19</v>
      </c>
      <c r="M577" s="1">
        <v>2489</v>
      </c>
    </row>
    <row r="578" spans="1:13" x14ac:dyDescent="0.35">
      <c r="A578" s="1" t="s">
        <v>1076</v>
      </c>
      <c r="B578" s="2">
        <v>46106</v>
      </c>
      <c r="C578" s="1" t="s">
        <v>1077</v>
      </c>
      <c r="D578" s="1" t="s">
        <v>15</v>
      </c>
      <c r="E578" s="1" t="s">
        <v>22</v>
      </c>
      <c r="F578" s="1" t="s">
        <v>24</v>
      </c>
      <c r="G578" s="3">
        <v>0.39583333333333331</v>
      </c>
      <c r="H578" s="3">
        <v>0.3972222222222222</v>
      </c>
      <c r="I578" s="1">
        <v>2</v>
      </c>
      <c r="J578" s="1">
        <v>12</v>
      </c>
      <c r="K578" s="1" t="s">
        <v>18</v>
      </c>
      <c r="L578" s="1" t="s">
        <v>19</v>
      </c>
      <c r="M578" s="1">
        <v>2470</v>
      </c>
    </row>
    <row r="579" spans="1:13" x14ac:dyDescent="0.35">
      <c r="A579" s="1" t="s">
        <v>1078</v>
      </c>
      <c r="B579" s="2">
        <v>46107</v>
      </c>
      <c r="C579" s="1" t="s">
        <v>1079</v>
      </c>
      <c r="D579" s="1" t="s">
        <v>27</v>
      </c>
      <c r="E579" s="1" t="s">
        <v>16</v>
      </c>
      <c r="F579" s="1" t="s">
        <v>17</v>
      </c>
      <c r="G579" s="3">
        <v>0.64930555555555558</v>
      </c>
      <c r="H579" s="3">
        <v>0.65416666666666667</v>
      </c>
      <c r="I579" s="1">
        <v>7</v>
      </c>
      <c r="J579" s="1">
        <v>3</v>
      </c>
      <c r="K579" s="1" t="s">
        <v>18</v>
      </c>
      <c r="L579" s="1" t="s">
        <v>19</v>
      </c>
      <c r="M579" s="1">
        <v>802</v>
      </c>
    </row>
    <row r="580" spans="1:13" x14ac:dyDescent="0.35">
      <c r="A580" s="1" t="s">
        <v>1080</v>
      </c>
      <c r="B580" s="2">
        <v>46107</v>
      </c>
      <c r="C580" s="1" t="s">
        <v>1081</v>
      </c>
      <c r="D580" s="1" t="s">
        <v>16</v>
      </c>
      <c r="E580" s="1" t="s">
        <v>22</v>
      </c>
      <c r="F580" s="1" t="s">
        <v>24</v>
      </c>
      <c r="G580" s="3">
        <v>0.86458333333333337</v>
      </c>
      <c r="H580" s="3">
        <v>0.88541666666666663</v>
      </c>
      <c r="I580" s="1">
        <v>30</v>
      </c>
      <c r="J580" s="1">
        <v>17</v>
      </c>
      <c r="K580" s="1" t="s">
        <v>174</v>
      </c>
      <c r="L580" s="1" t="s">
        <v>19</v>
      </c>
      <c r="M580" s="1">
        <v>738</v>
      </c>
    </row>
    <row r="581" spans="1:13" x14ac:dyDescent="0.35">
      <c r="A581" s="1" t="s">
        <v>1082</v>
      </c>
      <c r="B581" s="2">
        <v>46108</v>
      </c>
      <c r="C581" s="1" t="s">
        <v>883</v>
      </c>
      <c r="D581" s="1" t="s">
        <v>16</v>
      </c>
      <c r="E581" s="1" t="s">
        <v>50</v>
      </c>
      <c r="F581" s="1" t="s">
        <v>17</v>
      </c>
      <c r="G581" s="3">
        <v>0.55902777777777779</v>
      </c>
      <c r="H581" s="3">
        <v>0.56180555555555556</v>
      </c>
      <c r="I581" s="1">
        <v>4</v>
      </c>
      <c r="J581" s="1">
        <v>3</v>
      </c>
      <c r="K581" s="1" t="s">
        <v>18</v>
      </c>
      <c r="L581" s="1" t="s">
        <v>19</v>
      </c>
      <c r="M581" s="1">
        <v>606</v>
      </c>
    </row>
    <row r="582" spans="1:13" x14ac:dyDescent="0.35">
      <c r="A582" s="1" t="s">
        <v>1083</v>
      </c>
      <c r="B582" s="2">
        <v>46108</v>
      </c>
      <c r="C582" s="1" t="s">
        <v>716</v>
      </c>
      <c r="D582" s="1" t="s">
        <v>32</v>
      </c>
      <c r="E582" s="1" t="s">
        <v>37</v>
      </c>
      <c r="F582" s="1" t="s">
        <v>28</v>
      </c>
      <c r="G582" s="3">
        <v>0.60069444444444442</v>
      </c>
      <c r="H582" s="3">
        <v>0.63888888888888884</v>
      </c>
      <c r="I582" s="1">
        <v>-300</v>
      </c>
      <c r="J582" s="1">
        <v>51</v>
      </c>
      <c r="K582" s="1" t="s">
        <v>60</v>
      </c>
      <c r="L582" s="1" t="s">
        <v>19</v>
      </c>
      <c r="M582" s="1">
        <v>2415</v>
      </c>
    </row>
    <row r="583" spans="1:13" x14ac:dyDescent="0.35">
      <c r="A583" s="1" t="s">
        <v>1084</v>
      </c>
      <c r="B583" s="2">
        <v>46108</v>
      </c>
      <c r="C583" s="1" t="s">
        <v>1049</v>
      </c>
      <c r="D583" s="1" t="s">
        <v>16</v>
      </c>
      <c r="E583" s="1" t="s">
        <v>44</v>
      </c>
      <c r="F583" s="1" t="s">
        <v>28</v>
      </c>
      <c r="G583" s="3">
        <v>0.72916666666666663</v>
      </c>
      <c r="H583" s="3">
        <v>0.73402777777777772</v>
      </c>
      <c r="I583" s="1">
        <v>7</v>
      </c>
      <c r="J583" s="1">
        <v>-1</v>
      </c>
      <c r="K583" s="1"/>
      <c r="L583" s="1" t="s">
        <v>19</v>
      </c>
      <c r="M583" s="1">
        <v>864</v>
      </c>
    </row>
    <row r="584" spans="1:13" x14ac:dyDescent="0.35">
      <c r="A584" s="1" t="s">
        <v>1085</v>
      </c>
      <c r="B584" s="2">
        <v>46109</v>
      </c>
      <c r="C584" s="1" t="s">
        <v>144</v>
      </c>
      <c r="D584" s="1" t="s">
        <v>31</v>
      </c>
      <c r="E584" s="1" t="s">
        <v>50</v>
      </c>
      <c r="F584" s="1" t="s">
        <v>38</v>
      </c>
      <c r="G584" s="3">
        <v>0.2673611111111111</v>
      </c>
      <c r="H584" s="3">
        <v>0.27986111111111112</v>
      </c>
      <c r="I584" s="1">
        <v>18</v>
      </c>
      <c r="J584" s="1">
        <v>13</v>
      </c>
      <c r="K584" s="1" t="s">
        <v>54</v>
      </c>
      <c r="L584" s="1" t="s">
        <v>19</v>
      </c>
      <c r="M584" s="1">
        <v>1743</v>
      </c>
    </row>
    <row r="585" spans="1:13" x14ac:dyDescent="0.35">
      <c r="A585" s="1" t="s">
        <v>1086</v>
      </c>
      <c r="B585" s="2">
        <v>46109</v>
      </c>
      <c r="C585" s="1" t="s">
        <v>986</v>
      </c>
      <c r="D585" s="1" t="s">
        <v>41</v>
      </c>
      <c r="E585" s="1" t="s">
        <v>15</v>
      </c>
      <c r="F585" s="1" t="s">
        <v>17</v>
      </c>
      <c r="G585" s="3">
        <v>0.33333333333333331</v>
      </c>
      <c r="H585" s="3">
        <v>0.33124999999999999</v>
      </c>
      <c r="I585" s="1">
        <v>-3</v>
      </c>
      <c r="J585" s="1">
        <v>-4</v>
      </c>
      <c r="K585" s="1"/>
      <c r="L585" s="1" t="s">
        <v>19</v>
      </c>
      <c r="M585" s="1">
        <v>2338</v>
      </c>
    </row>
    <row r="586" spans="1:13" x14ac:dyDescent="0.35">
      <c r="A586" s="1" t="s">
        <v>1087</v>
      </c>
      <c r="B586" s="2">
        <v>46109</v>
      </c>
      <c r="C586" s="1" t="s">
        <v>1037</v>
      </c>
      <c r="D586" s="1" t="s">
        <v>15</v>
      </c>
      <c r="E586" s="1" t="s">
        <v>16</v>
      </c>
      <c r="F586" s="1" t="s">
        <v>28</v>
      </c>
      <c r="G586" s="3">
        <v>0.41666666666666669</v>
      </c>
      <c r="H586" s="3">
        <v>0.43055555555555558</v>
      </c>
      <c r="I586" s="1">
        <v>20</v>
      </c>
      <c r="J586" s="1">
        <v>7</v>
      </c>
      <c r="K586" s="1" t="s">
        <v>60</v>
      </c>
      <c r="L586" s="1" t="s">
        <v>19</v>
      </c>
      <c r="M586" s="1">
        <v>1742</v>
      </c>
    </row>
    <row r="587" spans="1:13" x14ac:dyDescent="0.35">
      <c r="A587" s="1" t="s">
        <v>1088</v>
      </c>
      <c r="B587" s="2">
        <v>46109</v>
      </c>
      <c r="C587" s="1" t="s">
        <v>1089</v>
      </c>
      <c r="D587" s="1" t="s">
        <v>32</v>
      </c>
      <c r="E587" s="1" t="s">
        <v>44</v>
      </c>
      <c r="F587" s="1" t="s">
        <v>38</v>
      </c>
      <c r="G587" s="3">
        <v>0.62152777777777779</v>
      </c>
      <c r="H587" s="3">
        <v>0.62222222222222223</v>
      </c>
      <c r="I587" s="1">
        <v>1</v>
      </c>
      <c r="J587" s="1">
        <v>-8</v>
      </c>
      <c r="K587" s="1" t="s">
        <v>18</v>
      </c>
      <c r="L587" s="1" t="s">
        <v>19</v>
      </c>
      <c r="M587" s="1">
        <v>186</v>
      </c>
    </row>
    <row r="588" spans="1:13" x14ac:dyDescent="0.35">
      <c r="A588" s="1" t="s">
        <v>1090</v>
      </c>
      <c r="B588" s="2">
        <v>46110</v>
      </c>
      <c r="C588" s="1" t="s">
        <v>1091</v>
      </c>
      <c r="D588" s="1" t="s">
        <v>695</v>
      </c>
      <c r="E588" s="1" t="s">
        <v>16</v>
      </c>
      <c r="F588" s="1" t="s">
        <v>17</v>
      </c>
      <c r="G588" s="3">
        <v>0.30902777777777779</v>
      </c>
      <c r="H588" s="3">
        <v>0.3347222222222222</v>
      </c>
      <c r="I588" s="1">
        <v>37</v>
      </c>
      <c r="J588" s="1">
        <v>33</v>
      </c>
      <c r="K588" s="1" t="s">
        <v>303</v>
      </c>
      <c r="L588" s="1" t="s">
        <v>19</v>
      </c>
      <c r="M588" s="1">
        <v>1717</v>
      </c>
    </row>
    <row r="589" spans="1:13" x14ac:dyDescent="0.35">
      <c r="A589" s="1" t="s">
        <v>1092</v>
      </c>
      <c r="B589" s="2">
        <v>46110</v>
      </c>
      <c r="C589" s="1" t="s">
        <v>1093</v>
      </c>
      <c r="D589" s="1" t="s">
        <v>22</v>
      </c>
      <c r="E589" s="1" t="s">
        <v>16</v>
      </c>
      <c r="F589" s="1" t="s">
        <v>24</v>
      </c>
      <c r="G589" s="3">
        <v>0.34722222222222221</v>
      </c>
      <c r="H589" s="3">
        <v>0.34236111111111112</v>
      </c>
      <c r="I589" s="1">
        <v>-7</v>
      </c>
      <c r="J589" s="1">
        <v>-12</v>
      </c>
      <c r="K589" s="1" t="s">
        <v>18</v>
      </c>
      <c r="L589" s="1" t="s">
        <v>19</v>
      </c>
      <c r="M589" s="1">
        <v>738</v>
      </c>
    </row>
    <row r="590" spans="1:13" x14ac:dyDescent="0.35">
      <c r="A590" s="1" t="s">
        <v>1094</v>
      </c>
      <c r="B590" s="2">
        <v>46110</v>
      </c>
      <c r="C590" s="1" t="s">
        <v>1095</v>
      </c>
      <c r="D590" s="1" t="s">
        <v>44</v>
      </c>
      <c r="E590" s="1" t="s">
        <v>47</v>
      </c>
      <c r="F590" s="1" t="s">
        <v>38</v>
      </c>
      <c r="G590" s="3">
        <v>0.53125</v>
      </c>
      <c r="H590" s="3">
        <v>0.53541666666666665</v>
      </c>
      <c r="I590" s="1">
        <v>6</v>
      </c>
      <c r="J590" s="1">
        <v>14</v>
      </c>
      <c r="K590" s="1"/>
      <c r="L590" s="1" t="s">
        <v>19</v>
      </c>
      <c r="M590" s="1">
        <v>2698</v>
      </c>
    </row>
    <row r="591" spans="1:13" x14ac:dyDescent="0.35">
      <c r="A591" s="1" t="s">
        <v>1096</v>
      </c>
      <c r="B591" s="2">
        <v>46111</v>
      </c>
      <c r="C591" s="1" t="s">
        <v>692</v>
      </c>
      <c r="D591" s="1" t="s">
        <v>31</v>
      </c>
      <c r="E591" s="1" t="s">
        <v>44</v>
      </c>
      <c r="F591" s="1" t="s">
        <v>24</v>
      </c>
      <c r="G591" s="3">
        <v>0.27083333333333331</v>
      </c>
      <c r="H591" s="3">
        <v>0.26805555555555549</v>
      </c>
      <c r="I591" s="1">
        <v>-4</v>
      </c>
      <c r="J591" s="1">
        <v>-8</v>
      </c>
      <c r="K591" s="1"/>
      <c r="L591" s="1" t="s">
        <v>19</v>
      </c>
      <c r="M591" s="1">
        <v>2375</v>
      </c>
    </row>
    <row r="592" spans="1:13" x14ac:dyDescent="0.35">
      <c r="A592" s="1" t="s">
        <v>1097</v>
      </c>
      <c r="B592" s="2">
        <v>46111</v>
      </c>
      <c r="C592" s="1" t="s">
        <v>1098</v>
      </c>
      <c r="D592" s="1" t="s">
        <v>591</v>
      </c>
      <c r="E592" s="1" t="s">
        <v>37</v>
      </c>
      <c r="F592" s="1" t="s">
        <v>17</v>
      </c>
      <c r="G592" s="3">
        <v>0.58333333333333337</v>
      </c>
      <c r="H592" s="3">
        <v>0.59097222222222223</v>
      </c>
      <c r="I592" s="1">
        <v>11</v>
      </c>
      <c r="J592" s="1">
        <v>3</v>
      </c>
      <c r="K592" s="1" t="s">
        <v>18</v>
      </c>
      <c r="L592" s="1" t="s">
        <v>19</v>
      </c>
      <c r="M592" s="1">
        <v>1658</v>
      </c>
    </row>
    <row r="593" spans="1:13" x14ac:dyDescent="0.35">
      <c r="A593" s="1" t="s">
        <v>1099</v>
      </c>
      <c r="B593" s="2">
        <v>46112</v>
      </c>
      <c r="C593" s="1" t="s">
        <v>770</v>
      </c>
      <c r="D593" s="1" t="s">
        <v>50</v>
      </c>
      <c r="E593" s="1" t="s">
        <v>16</v>
      </c>
      <c r="F593" s="1" t="s">
        <v>24</v>
      </c>
      <c r="G593" s="3">
        <v>0.46180555555555558</v>
      </c>
      <c r="H593" s="3">
        <v>0.46597222222222218</v>
      </c>
      <c r="I593" s="1">
        <v>6</v>
      </c>
      <c r="J593" s="1">
        <v>-1</v>
      </c>
      <c r="K593" s="1" t="s">
        <v>18</v>
      </c>
      <c r="L593" s="1" t="s">
        <v>19</v>
      </c>
      <c r="M593" s="1">
        <v>606</v>
      </c>
    </row>
    <row r="594" spans="1:13" x14ac:dyDescent="0.35">
      <c r="A594" s="1" t="s">
        <v>1100</v>
      </c>
      <c r="B594" s="2">
        <v>46112</v>
      </c>
      <c r="C594" s="1" t="s">
        <v>1101</v>
      </c>
      <c r="D594" s="1" t="s">
        <v>22</v>
      </c>
      <c r="E594" s="1" t="s">
        <v>47</v>
      </c>
      <c r="F594" s="1" t="s">
        <v>38</v>
      </c>
      <c r="G594" s="3">
        <v>0.70833333333333337</v>
      </c>
      <c r="H594" s="3">
        <v>0.7055555555555556</v>
      </c>
      <c r="I594" s="1">
        <v>-4</v>
      </c>
      <c r="J594" s="1">
        <v>-14</v>
      </c>
      <c r="K594" s="1" t="s">
        <v>18</v>
      </c>
      <c r="L594" s="1" t="s">
        <v>19</v>
      </c>
      <c r="M594" s="1">
        <v>2580</v>
      </c>
    </row>
    <row r="595" spans="1:13" x14ac:dyDescent="0.35">
      <c r="A595" s="1" t="s">
        <v>1102</v>
      </c>
      <c r="B595" s="2">
        <v>46113</v>
      </c>
      <c r="C595" s="1" t="s">
        <v>1101</v>
      </c>
      <c r="D595" s="1" t="s">
        <v>50</v>
      </c>
      <c r="E595" s="1" t="s">
        <v>37</v>
      </c>
      <c r="F595" s="1" t="s">
        <v>24</v>
      </c>
      <c r="G595" s="3">
        <v>0.40277777777777779</v>
      </c>
      <c r="H595" s="3">
        <v>0.4</v>
      </c>
      <c r="I595" s="1">
        <v>-4</v>
      </c>
      <c r="J595" s="1">
        <v>2</v>
      </c>
      <c r="K595" s="1" t="s">
        <v>18</v>
      </c>
      <c r="L595" s="1" t="s">
        <v>19</v>
      </c>
      <c r="M595" s="1">
        <v>2178</v>
      </c>
    </row>
    <row r="596" spans="1:13" x14ac:dyDescent="0.35">
      <c r="A596" s="1" t="s">
        <v>1103</v>
      </c>
      <c r="B596" s="2">
        <v>46113</v>
      </c>
      <c r="C596" s="1" t="s">
        <v>236</v>
      </c>
      <c r="D596" s="1" t="s">
        <v>16</v>
      </c>
      <c r="E596" s="1" t="s">
        <v>27</v>
      </c>
      <c r="F596" s="1" t="s">
        <v>28</v>
      </c>
      <c r="G596" s="3">
        <v>0.46527777777777779</v>
      </c>
      <c r="H596" s="3">
        <v>0.46666666666666667</v>
      </c>
      <c r="I596" s="1">
        <v>2</v>
      </c>
      <c r="J596" s="1">
        <v>2</v>
      </c>
      <c r="K596" s="1"/>
      <c r="L596" s="1" t="s">
        <v>19</v>
      </c>
      <c r="M596" s="1">
        <v>802</v>
      </c>
    </row>
    <row r="597" spans="1:13" x14ac:dyDescent="0.35">
      <c r="A597" s="1" t="s">
        <v>1104</v>
      </c>
      <c r="B597" s="2">
        <v>46113</v>
      </c>
      <c r="C597" s="1" t="s">
        <v>1105</v>
      </c>
      <c r="D597" s="1" t="s">
        <v>50</v>
      </c>
      <c r="E597" s="1" t="s">
        <v>22</v>
      </c>
      <c r="F597" s="1" t="s">
        <v>17</v>
      </c>
      <c r="G597" s="3">
        <v>0.53819444444444442</v>
      </c>
      <c r="H597" s="3">
        <v>0.54305555555555551</v>
      </c>
      <c r="I597" s="1">
        <v>7</v>
      </c>
      <c r="J597" s="1">
        <v>5</v>
      </c>
      <c r="K597" s="1"/>
      <c r="L597" s="1" t="s">
        <v>19</v>
      </c>
      <c r="M597" s="1">
        <v>759</v>
      </c>
    </row>
    <row r="598" spans="1:13" x14ac:dyDescent="0.35">
      <c r="A598" s="1" t="s">
        <v>1106</v>
      </c>
      <c r="B598" s="2">
        <v>46113</v>
      </c>
      <c r="C598" s="1" t="s">
        <v>218</v>
      </c>
      <c r="D598" s="1" t="s">
        <v>27</v>
      </c>
      <c r="E598" s="1" t="s">
        <v>47</v>
      </c>
      <c r="F598" s="1" t="s">
        <v>38</v>
      </c>
      <c r="G598" s="3">
        <v>0.65625</v>
      </c>
      <c r="H598" s="3">
        <v>0.65486111111111112</v>
      </c>
      <c r="I598" s="1">
        <v>-2</v>
      </c>
      <c r="J598" s="1">
        <v>-6</v>
      </c>
      <c r="K598" s="1" t="s">
        <v>18</v>
      </c>
      <c r="L598" s="1" t="s">
        <v>19</v>
      </c>
      <c r="M598" s="1">
        <v>1462</v>
      </c>
    </row>
    <row r="599" spans="1:13" x14ac:dyDescent="0.35">
      <c r="A599" s="1" t="s">
        <v>1107</v>
      </c>
      <c r="B599" s="2">
        <v>46113</v>
      </c>
      <c r="C599" s="1" t="s">
        <v>278</v>
      </c>
      <c r="D599" s="1" t="s">
        <v>44</v>
      </c>
      <c r="E599" s="1" t="s">
        <v>78</v>
      </c>
      <c r="F599" s="1" t="s">
        <v>24</v>
      </c>
      <c r="G599" s="3">
        <v>0.87847222222222221</v>
      </c>
      <c r="H599" s="3">
        <v>0.89444444444444449</v>
      </c>
      <c r="I599" s="1">
        <v>23</v>
      </c>
      <c r="J599" s="1">
        <v>11</v>
      </c>
      <c r="K599" s="1" t="s">
        <v>617</v>
      </c>
      <c r="L599" s="1" t="s">
        <v>19</v>
      </c>
      <c r="M599" s="1">
        <v>2295</v>
      </c>
    </row>
    <row r="600" spans="1:13" x14ac:dyDescent="0.35">
      <c r="A600" s="1" t="s">
        <v>1108</v>
      </c>
      <c r="B600" s="2">
        <v>46114</v>
      </c>
      <c r="C600" s="1" t="s">
        <v>26</v>
      </c>
      <c r="D600" s="1" t="s">
        <v>47</v>
      </c>
      <c r="E600" s="1" t="s">
        <v>50</v>
      </c>
      <c r="F600" s="1" t="s">
        <v>28</v>
      </c>
      <c r="G600" s="3">
        <v>0.46180555555555558</v>
      </c>
      <c r="H600" s="3">
        <v>0.50555555555555554</v>
      </c>
      <c r="I600" s="1">
        <v>63</v>
      </c>
      <c r="J600" s="1">
        <v>67</v>
      </c>
      <c r="K600" s="1" t="s">
        <v>98</v>
      </c>
      <c r="L600" s="1" t="s">
        <v>19</v>
      </c>
      <c r="M600" s="1">
        <v>2134</v>
      </c>
    </row>
    <row r="601" spans="1:13" x14ac:dyDescent="0.35">
      <c r="A601" s="1" t="s">
        <v>1109</v>
      </c>
      <c r="B601" s="2">
        <v>46115</v>
      </c>
      <c r="C601" s="1" t="s">
        <v>1110</v>
      </c>
      <c r="D601" s="1" t="s">
        <v>50</v>
      </c>
      <c r="E601" s="1" t="s">
        <v>78</v>
      </c>
      <c r="F601" s="1" t="s">
        <v>28</v>
      </c>
      <c r="G601" s="3">
        <v>0.3611111111111111</v>
      </c>
      <c r="H601" s="3">
        <v>0.3611111111111111</v>
      </c>
      <c r="I601" s="1">
        <v>0</v>
      </c>
      <c r="J601" s="1">
        <v>-12</v>
      </c>
      <c r="K601" s="1" t="s">
        <v>18</v>
      </c>
      <c r="L601" s="1" t="s">
        <v>19</v>
      </c>
      <c r="M601" s="1">
        <v>1584</v>
      </c>
    </row>
    <row r="602" spans="1:13" x14ac:dyDescent="0.35">
      <c r="A602" s="1" t="s">
        <v>1111</v>
      </c>
      <c r="B602" s="2">
        <v>46115</v>
      </c>
      <c r="C602" s="1" t="s">
        <v>994</v>
      </c>
      <c r="D602" s="1" t="s">
        <v>50</v>
      </c>
      <c r="E602" s="1" t="s">
        <v>16</v>
      </c>
      <c r="F602" s="1" t="s">
        <v>17</v>
      </c>
      <c r="G602" s="3">
        <v>0.86111111111111116</v>
      </c>
      <c r="H602" s="3">
        <v>0.91388888888888886</v>
      </c>
      <c r="I602" s="1">
        <v>76</v>
      </c>
      <c r="J602" s="1">
        <v>65</v>
      </c>
      <c r="K602" s="1" t="s">
        <v>477</v>
      </c>
      <c r="L602" s="1" t="s">
        <v>19</v>
      </c>
      <c r="M602" s="1">
        <v>606</v>
      </c>
    </row>
    <row r="603" spans="1:13" x14ac:dyDescent="0.35">
      <c r="A603" s="1" t="s">
        <v>1112</v>
      </c>
      <c r="B603" s="2">
        <v>46116</v>
      </c>
      <c r="C603" s="1" t="s">
        <v>1113</v>
      </c>
      <c r="D603" s="1" t="s">
        <v>23</v>
      </c>
      <c r="E603" s="1" t="s">
        <v>47</v>
      </c>
      <c r="F603" s="1" t="s">
        <v>17</v>
      </c>
      <c r="G603" s="3">
        <v>0.31597222222222221</v>
      </c>
      <c r="H603" s="3">
        <v>0.33055555555555549</v>
      </c>
      <c r="I603" s="1">
        <v>21</v>
      </c>
      <c r="J603" s="1">
        <v>13</v>
      </c>
      <c r="K603" s="1" t="s">
        <v>477</v>
      </c>
      <c r="L603" s="1" t="s">
        <v>19</v>
      </c>
      <c r="M603" s="1">
        <v>965</v>
      </c>
    </row>
    <row r="604" spans="1:13" x14ac:dyDescent="0.35">
      <c r="A604" s="1" t="s">
        <v>1114</v>
      </c>
      <c r="B604" s="2">
        <v>46116</v>
      </c>
      <c r="C604" s="1" t="s">
        <v>1115</v>
      </c>
      <c r="D604" s="1" t="s">
        <v>37</v>
      </c>
      <c r="E604" s="1" t="s">
        <v>47</v>
      </c>
      <c r="F604" s="1" t="s">
        <v>24</v>
      </c>
      <c r="G604" s="3">
        <v>0.87152777777777779</v>
      </c>
      <c r="H604" s="3">
        <v>0.87291666666666667</v>
      </c>
      <c r="I604" s="1">
        <v>2</v>
      </c>
      <c r="J604" s="1">
        <v>7</v>
      </c>
      <c r="K604" s="1" t="s">
        <v>18</v>
      </c>
      <c r="L604" s="1" t="s">
        <v>19</v>
      </c>
      <c r="M604" s="1">
        <v>679</v>
      </c>
    </row>
    <row r="605" spans="1:13" x14ac:dyDescent="0.35">
      <c r="A605" s="1" t="s">
        <v>1116</v>
      </c>
      <c r="B605" s="2">
        <v>46117</v>
      </c>
      <c r="C605" s="1" t="s">
        <v>978</v>
      </c>
      <c r="D605" s="1" t="s">
        <v>15</v>
      </c>
      <c r="E605" s="1" t="s">
        <v>37</v>
      </c>
      <c r="F605" s="1" t="s">
        <v>17</v>
      </c>
      <c r="G605" s="3">
        <v>0.4548611111111111</v>
      </c>
      <c r="H605" s="3">
        <v>0.53541666666666665</v>
      </c>
      <c r="I605" s="1">
        <v>116</v>
      </c>
      <c r="J605" s="1">
        <v>112</v>
      </c>
      <c r="K605" s="1" t="s">
        <v>276</v>
      </c>
      <c r="L605" s="1" t="s">
        <v>19</v>
      </c>
      <c r="M605" s="1">
        <v>955</v>
      </c>
    </row>
    <row r="606" spans="1:13" x14ac:dyDescent="0.35">
      <c r="A606" s="1" t="s">
        <v>1117</v>
      </c>
      <c r="B606" s="2">
        <v>46117</v>
      </c>
      <c r="C606" s="1" t="s">
        <v>1118</v>
      </c>
      <c r="D606" s="1" t="s">
        <v>37</v>
      </c>
      <c r="E606" s="1" t="s">
        <v>44</v>
      </c>
      <c r="F606" s="1" t="s">
        <v>17</v>
      </c>
      <c r="G606" s="3">
        <v>0.69444444444444442</v>
      </c>
      <c r="H606" s="3">
        <v>0.70902777777777781</v>
      </c>
      <c r="I606" s="1">
        <v>21</v>
      </c>
      <c r="J606" s="1">
        <v>18</v>
      </c>
      <c r="K606" s="1" t="s">
        <v>60</v>
      </c>
      <c r="L606" s="1" t="s">
        <v>19</v>
      </c>
      <c r="M606" s="1">
        <v>2489</v>
      </c>
    </row>
    <row r="607" spans="1:13" x14ac:dyDescent="0.35">
      <c r="A607" s="1" t="s">
        <v>1119</v>
      </c>
      <c r="B607" s="2">
        <v>46118</v>
      </c>
      <c r="C607" s="1" t="s">
        <v>1120</v>
      </c>
      <c r="D607" s="1" t="s">
        <v>23</v>
      </c>
      <c r="E607" s="1" t="s">
        <v>50</v>
      </c>
      <c r="F607" s="1" t="s">
        <v>17</v>
      </c>
      <c r="G607" s="3">
        <v>0.45833333333333331</v>
      </c>
      <c r="H607" s="3">
        <v>0.49236111111111108</v>
      </c>
      <c r="I607" s="1">
        <v>49</v>
      </c>
      <c r="J607" s="1">
        <v>41</v>
      </c>
      <c r="K607" s="1" t="s">
        <v>276</v>
      </c>
      <c r="L607" s="1" t="s">
        <v>19</v>
      </c>
      <c r="M607" s="1">
        <v>1197</v>
      </c>
    </row>
    <row r="608" spans="1:13" x14ac:dyDescent="0.35">
      <c r="A608" s="1" t="s">
        <v>1121</v>
      </c>
      <c r="B608" s="2">
        <v>46118</v>
      </c>
      <c r="C608" s="1" t="s">
        <v>125</v>
      </c>
      <c r="D608" s="1" t="s">
        <v>78</v>
      </c>
      <c r="E608" s="1" t="s">
        <v>23</v>
      </c>
      <c r="F608" s="1" t="s">
        <v>38</v>
      </c>
      <c r="G608" s="3">
        <v>0.63194444444444442</v>
      </c>
      <c r="H608" s="3">
        <v>0.6333333333333333</v>
      </c>
      <c r="I608" s="1">
        <v>2</v>
      </c>
      <c r="J608" s="1">
        <v>10</v>
      </c>
      <c r="K608" s="1" t="s">
        <v>18</v>
      </c>
      <c r="L608" s="1" t="s">
        <v>19</v>
      </c>
      <c r="M608" s="1">
        <v>602</v>
      </c>
    </row>
    <row r="609" spans="1:13" x14ac:dyDescent="0.35">
      <c r="A609" s="1" t="s">
        <v>1122</v>
      </c>
      <c r="B609" s="2">
        <v>46118</v>
      </c>
      <c r="C609" s="1" t="s">
        <v>1123</v>
      </c>
      <c r="D609" s="1" t="s">
        <v>50</v>
      </c>
      <c r="E609" s="1" t="s">
        <v>23</v>
      </c>
      <c r="F609" s="1" t="s">
        <v>28</v>
      </c>
      <c r="G609" s="3">
        <v>0.66319444444444442</v>
      </c>
      <c r="H609" s="3">
        <v>0.66111111111111109</v>
      </c>
      <c r="I609" s="1">
        <v>-3</v>
      </c>
      <c r="J609" s="1">
        <v>-8</v>
      </c>
      <c r="K609" s="1" t="s">
        <v>18</v>
      </c>
      <c r="L609" s="1" t="s">
        <v>19</v>
      </c>
      <c r="M609" s="1">
        <v>1197</v>
      </c>
    </row>
    <row r="610" spans="1:13" x14ac:dyDescent="0.35">
      <c r="A610" s="1" t="s">
        <v>1124</v>
      </c>
      <c r="B610" s="2">
        <v>46118</v>
      </c>
      <c r="C610" s="1" t="s">
        <v>1125</v>
      </c>
      <c r="D610" s="1" t="s">
        <v>1126</v>
      </c>
      <c r="E610" s="1" t="s">
        <v>22</v>
      </c>
      <c r="F610" s="1" t="s">
        <v>24</v>
      </c>
      <c r="G610" s="3">
        <v>0.73958333333333337</v>
      </c>
      <c r="H610" s="3">
        <v>0.74236111111111114</v>
      </c>
      <c r="I610" s="1">
        <v>4</v>
      </c>
      <c r="J610" s="1">
        <v>9</v>
      </c>
      <c r="K610" s="1" t="s">
        <v>18</v>
      </c>
      <c r="L610" s="1" t="s">
        <v>19</v>
      </c>
      <c r="M610" s="1">
        <v>2149</v>
      </c>
    </row>
    <row r="611" spans="1:13" x14ac:dyDescent="0.35">
      <c r="A611" s="1" t="s">
        <v>1127</v>
      </c>
      <c r="B611" s="2">
        <v>46119</v>
      </c>
      <c r="C611" s="1" t="s">
        <v>282</v>
      </c>
      <c r="D611" s="1" t="s">
        <v>50</v>
      </c>
      <c r="E611" s="1" t="s">
        <v>15</v>
      </c>
      <c r="F611" s="1" t="s">
        <v>24</v>
      </c>
      <c r="G611" s="3">
        <v>0.26041666666666669</v>
      </c>
      <c r="H611" s="3">
        <v>0.25763888888888892</v>
      </c>
      <c r="I611" s="1">
        <v>-4</v>
      </c>
      <c r="J611" s="1">
        <v>-15</v>
      </c>
      <c r="K611" s="1" t="s">
        <v>18</v>
      </c>
      <c r="L611" s="1" t="s">
        <v>19</v>
      </c>
      <c r="M611" s="1">
        <v>1942</v>
      </c>
    </row>
    <row r="612" spans="1:13" x14ac:dyDescent="0.35">
      <c r="A612" s="1" t="s">
        <v>1128</v>
      </c>
      <c r="B612" s="2">
        <v>46119</v>
      </c>
      <c r="C612" s="1" t="s">
        <v>1129</v>
      </c>
      <c r="D612" s="1" t="s">
        <v>23</v>
      </c>
      <c r="E612" s="1" t="s">
        <v>15</v>
      </c>
      <c r="F612" s="1" t="s">
        <v>17</v>
      </c>
      <c r="G612" s="3">
        <v>0.51388888888888884</v>
      </c>
      <c r="H612" s="3">
        <v>0.52083333333333337</v>
      </c>
      <c r="I612" s="1">
        <v>10</v>
      </c>
      <c r="J612" s="1">
        <v>9</v>
      </c>
      <c r="K612" s="1" t="s">
        <v>18</v>
      </c>
      <c r="L612" s="1" t="s">
        <v>19</v>
      </c>
      <c r="M612" s="1">
        <v>861</v>
      </c>
    </row>
    <row r="613" spans="1:13" x14ac:dyDescent="0.35">
      <c r="A613" s="1" t="s">
        <v>1130</v>
      </c>
      <c r="B613" s="2">
        <v>46119</v>
      </c>
      <c r="C613" s="1" t="s">
        <v>1131</v>
      </c>
      <c r="D613" s="1" t="s">
        <v>27</v>
      </c>
      <c r="E613" s="1" t="s">
        <v>44</v>
      </c>
      <c r="F613" s="1" t="s">
        <v>28</v>
      </c>
      <c r="G613" s="3">
        <v>0.51736111111111116</v>
      </c>
      <c r="H613" s="3">
        <v>0.5180555555555556</v>
      </c>
      <c r="I613" s="1">
        <v>1</v>
      </c>
      <c r="J613" s="1">
        <v>4</v>
      </c>
      <c r="K613" s="1" t="s">
        <v>18</v>
      </c>
      <c r="L613" s="1" t="s">
        <v>19</v>
      </c>
      <c r="M613" s="1">
        <v>1559</v>
      </c>
    </row>
    <row r="614" spans="1:13" x14ac:dyDescent="0.35">
      <c r="A614" s="1" t="s">
        <v>1132</v>
      </c>
      <c r="B614" s="2">
        <v>46119</v>
      </c>
      <c r="C614" s="1" t="s">
        <v>1012</v>
      </c>
      <c r="D614" s="1" t="s">
        <v>27</v>
      </c>
      <c r="E614" s="1" t="s">
        <v>16</v>
      </c>
      <c r="F614" s="1" t="s">
        <v>28</v>
      </c>
      <c r="G614" s="3">
        <v>0.58333333333333337</v>
      </c>
      <c r="H614" s="3">
        <v>0.60486111111111107</v>
      </c>
      <c r="I614" s="1">
        <v>31</v>
      </c>
      <c r="J614" s="1">
        <v>21</v>
      </c>
      <c r="K614" s="1" t="s">
        <v>54</v>
      </c>
      <c r="L614" s="1" t="s">
        <v>19</v>
      </c>
      <c r="M614" s="1">
        <v>802</v>
      </c>
    </row>
    <row r="615" spans="1:13" x14ac:dyDescent="0.35">
      <c r="A615" s="1" t="s">
        <v>1133</v>
      </c>
      <c r="B615" s="2">
        <v>46119</v>
      </c>
      <c r="C615" s="1" t="s">
        <v>1012</v>
      </c>
      <c r="D615" s="1" t="s">
        <v>202</v>
      </c>
      <c r="E615" s="1" t="s">
        <v>44</v>
      </c>
      <c r="F615" s="1" t="s">
        <v>24</v>
      </c>
      <c r="G615" s="3">
        <v>0.76041666666666663</v>
      </c>
      <c r="H615" s="3">
        <v>0.75763888888888886</v>
      </c>
      <c r="I615" s="1">
        <v>-4</v>
      </c>
      <c r="J615" s="1">
        <v>4</v>
      </c>
      <c r="K615" s="1"/>
      <c r="L615" s="1" t="s">
        <v>19</v>
      </c>
      <c r="M615" s="1">
        <v>1260</v>
      </c>
    </row>
    <row r="616" spans="1:13" x14ac:dyDescent="0.35">
      <c r="A616" s="1" t="s">
        <v>1134</v>
      </c>
      <c r="B616" s="2">
        <v>46119</v>
      </c>
      <c r="C616" s="1" t="s">
        <v>773</v>
      </c>
      <c r="D616" s="1" t="s">
        <v>15</v>
      </c>
      <c r="E616" s="1" t="s">
        <v>16</v>
      </c>
      <c r="F616" s="1" t="s">
        <v>17</v>
      </c>
      <c r="G616" s="3">
        <v>0.86458333333333337</v>
      </c>
      <c r="H616" s="3">
        <v>0.90694444444444444</v>
      </c>
      <c r="I616" s="1">
        <v>61</v>
      </c>
      <c r="J616" s="1">
        <v>49</v>
      </c>
      <c r="K616" s="1" t="s">
        <v>54</v>
      </c>
      <c r="L616" s="1" t="s">
        <v>19</v>
      </c>
      <c r="M616" s="1">
        <v>1742</v>
      </c>
    </row>
    <row r="617" spans="1:13" x14ac:dyDescent="0.35">
      <c r="A617" s="1" t="s">
        <v>1135</v>
      </c>
      <c r="B617" s="2">
        <v>46120</v>
      </c>
      <c r="C617" s="1" t="s">
        <v>1060</v>
      </c>
      <c r="D617" s="1" t="s">
        <v>15</v>
      </c>
      <c r="E617" s="1" t="s">
        <v>27</v>
      </c>
      <c r="F617" s="1" t="s">
        <v>24</v>
      </c>
      <c r="G617" s="3">
        <v>0.59375</v>
      </c>
      <c r="H617" s="3">
        <v>0.58819444444444446</v>
      </c>
      <c r="I617" s="1">
        <v>-8</v>
      </c>
      <c r="J617" s="1">
        <v>-9</v>
      </c>
      <c r="K617" s="1" t="s">
        <v>18</v>
      </c>
      <c r="L617" s="1" t="s">
        <v>19</v>
      </c>
      <c r="M617" s="1">
        <v>1232</v>
      </c>
    </row>
    <row r="618" spans="1:13" x14ac:dyDescent="0.35">
      <c r="A618" s="1" t="s">
        <v>1136</v>
      </c>
      <c r="B618" s="2">
        <v>46120</v>
      </c>
      <c r="C618" s="1" t="s">
        <v>1137</v>
      </c>
      <c r="D618" s="1" t="s">
        <v>41</v>
      </c>
      <c r="E618" s="1" t="s">
        <v>16</v>
      </c>
      <c r="F618" s="1" t="s">
        <v>28</v>
      </c>
      <c r="G618" s="3">
        <v>0.64236111111111116</v>
      </c>
      <c r="H618" s="3">
        <v>0.64930555555555558</v>
      </c>
      <c r="I618" s="1">
        <v>10</v>
      </c>
      <c r="J618" s="1">
        <v>16</v>
      </c>
      <c r="K618" s="1" t="s">
        <v>18</v>
      </c>
      <c r="L618" s="1" t="s">
        <v>19</v>
      </c>
      <c r="M618" s="1">
        <v>1199</v>
      </c>
    </row>
    <row r="619" spans="1:13" x14ac:dyDescent="0.35">
      <c r="A619" s="1" t="s">
        <v>1138</v>
      </c>
      <c r="B619" s="2">
        <v>46121</v>
      </c>
      <c r="C619" s="1" t="s">
        <v>1017</v>
      </c>
      <c r="D619" s="1" t="s">
        <v>50</v>
      </c>
      <c r="E619" s="1" t="s">
        <v>27</v>
      </c>
      <c r="F619" s="1" t="s">
        <v>38</v>
      </c>
      <c r="G619" s="3">
        <v>0.79513888888888884</v>
      </c>
      <c r="H619" s="3">
        <v>0.7944444444444444</v>
      </c>
      <c r="I619" s="1">
        <v>-300</v>
      </c>
      <c r="J619" s="1">
        <v>-9</v>
      </c>
      <c r="K619" s="1" t="s">
        <v>18</v>
      </c>
      <c r="L619" s="1" t="s">
        <v>19</v>
      </c>
      <c r="M619" s="1">
        <v>730</v>
      </c>
    </row>
    <row r="620" spans="1:13" x14ac:dyDescent="0.35">
      <c r="A620" s="1" t="s">
        <v>1139</v>
      </c>
      <c r="B620" s="2">
        <v>46122</v>
      </c>
      <c r="C620" s="1" t="s">
        <v>768</v>
      </c>
      <c r="D620" s="1" t="s">
        <v>695</v>
      </c>
      <c r="E620" s="1" t="s">
        <v>22</v>
      </c>
      <c r="F620" s="1" t="s">
        <v>38</v>
      </c>
      <c r="G620" s="3">
        <v>0.63888888888888884</v>
      </c>
      <c r="H620" s="3">
        <v>0.65069444444444446</v>
      </c>
      <c r="I620" s="1">
        <v>17</v>
      </c>
      <c r="J620" s="1">
        <v>13</v>
      </c>
      <c r="K620" s="1" t="s">
        <v>617</v>
      </c>
      <c r="L620" s="1" t="s">
        <v>19</v>
      </c>
      <c r="M620" s="1">
        <v>2415</v>
      </c>
    </row>
    <row r="621" spans="1:13" x14ac:dyDescent="0.35">
      <c r="A621" s="1" t="s">
        <v>1140</v>
      </c>
      <c r="B621" s="2">
        <v>46123</v>
      </c>
      <c r="C621" s="1" t="s">
        <v>180</v>
      </c>
      <c r="D621" s="1" t="s">
        <v>47</v>
      </c>
      <c r="E621" s="1" t="s">
        <v>197</v>
      </c>
      <c r="F621" s="1" t="s">
        <v>24</v>
      </c>
      <c r="G621" s="3">
        <v>0.25347222222222221</v>
      </c>
      <c r="H621" s="3">
        <v>0.25347222222222221</v>
      </c>
      <c r="I621" s="1">
        <v>0</v>
      </c>
      <c r="J621" s="1">
        <v>-1</v>
      </c>
      <c r="K621" s="1" t="s">
        <v>18</v>
      </c>
      <c r="L621" s="1" t="s">
        <v>19</v>
      </c>
      <c r="M621" s="1">
        <v>2580</v>
      </c>
    </row>
    <row r="622" spans="1:13" x14ac:dyDescent="0.35">
      <c r="A622" s="1" t="s">
        <v>1141</v>
      </c>
      <c r="B622" s="2">
        <v>46123</v>
      </c>
      <c r="C622" s="1" t="s">
        <v>1142</v>
      </c>
      <c r="D622" s="1" t="s">
        <v>44</v>
      </c>
      <c r="E622" s="1" t="s">
        <v>50</v>
      </c>
      <c r="F622" s="1" t="s">
        <v>38</v>
      </c>
      <c r="G622" s="3">
        <v>0.29166666666666669</v>
      </c>
      <c r="H622" s="3">
        <v>0.28958333333333341</v>
      </c>
      <c r="I622" s="1">
        <v>-3</v>
      </c>
      <c r="J622" s="1">
        <v>2</v>
      </c>
      <c r="K622" s="1" t="s">
        <v>18</v>
      </c>
      <c r="L622" s="1" t="s">
        <v>19</v>
      </c>
      <c r="M622" s="1">
        <v>945</v>
      </c>
    </row>
    <row r="623" spans="1:13" x14ac:dyDescent="0.35">
      <c r="A623" s="1" t="s">
        <v>1143</v>
      </c>
      <c r="B623" s="2">
        <v>46123</v>
      </c>
      <c r="C623" s="1" t="s">
        <v>1144</v>
      </c>
      <c r="D623" s="1" t="s">
        <v>22</v>
      </c>
      <c r="E623" s="1" t="s">
        <v>16</v>
      </c>
      <c r="F623" s="1" t="s">
        <v>28</v>
      </c>
      <c r="G623" s="3">
        <v>0.30555555555555558</v>
      </c>
      <c r="H623" s="3">
        <v>0.31388888888888888</v>
      </c>
      <c r="I623" s="1">
        <v>12</v>
      </c>
      <c r="J623" s="1">
        <v>18</v>
      </c>
      <c r="K623" s="1" t="s">
        <v>18</v>
      </c>
      <c r="L623" s="1" t="s">
        <v>19</v>
      </c>
      <c r="M623" s="1">
        <v>738</v>
      </c>
    </row>
    <row r="624" spans="1:13" x14ac:dyDescent="0.35">
      <c r="A624" s="1" t="s">
        <v>1145</v>
      </c>
      <c r="B624" s="2">
        <v>46123</v>
      </c>
      <c r="C624" s="1" t="s">
        <v>114</v>
      </c>
      <c r="D624" s="1" t="s">
        <v>23</v>
      </c>
      <c r="E624" s="1" t="s">
        <v>16</v>
      </c>
      <c r="F624" s="1" t="s">
        <v>17</v>
      </c>
      <c r="G624" s="3">
        <v>0.5625</v>
      </c>
      <c r="H624" s="1"/>
      <c r="I624" s="1"/>
      <c r="J624" s="1"/>
      <c r="K624" s="1" t="s">
        <v>617</v>
      </c>
      <c r="L624" s="1" t="s">
        <v>254</v>
      </c>
      <c r="M624" s="1">
        <v>886</v>
      </c>
    </row>
    <row r="625" spans="1:13" x14ac:dyDescent="0.35">
      <c r="A625" s="1" t="s">
        <v>1146</v>
      </c>
      <c r="B625" s="2">
        <v>46123</v>
      </c>
      <c r="C625" s="1" t="s">
        <v>1147</v>
      </c>
      <c r="D625" s="1" t="s">
        <v>226</v>
      </c>
      <c r="E625" s="1" t="s">
        <v>41</v>
      </c>
      <c r="F625" s="1" t="s">
        <v>28</v>
      </c>
      <c r="G625" s="3">
        <v>0.82638888888888884</v>
      </c>
      <c r="H625" s="3">
        <v>0.83125000000000004</v>
      </c>
      <c r="I625" s="1">
        <v>7</v>
      </c>
      <c r="J625" s="1">
        <v>8</v>
      </c>
      <c r="K625" s="1"/>
      <c r="L625" s="1" t="s">
        <v>19</v>
      </c>
      <c r="M625" s="1">
        <v>1708</v>
      </c>
    </row>
    <row r="626" spans="1:13" x14ac:dyDescent="0.35">
      <c r="A626" s="1" t="s">
        <v>1148</v>
      </c>
      <c r="B626" s="2">
        <v>46124</v>
      </c>
      <c r="C626" s="1" t="s">
        <v>692</v>
      </c>
      <c r="D626" s="1" t="s">
        <v>93</v>
      </c>
      <c r="E626" s="1" t="s">
        <v>50</v>
      </c>
      <c r="F626" s="1" t="s">
        <v>24</v>
      </c>
      <c r="G626" s="3">
        <v>0.72916666666666663</v>
      </c>
      <c r="H626" s="3">
        <v>0.73333333333333328</v>
      </c>
      <c r="I626" s="1">
        <v>6</v>
      </c>
      <c r="J626" s="1">
        <v>13</v>
      </c>
      <c r="K626" s="1"/>
      <c r="L626" s="1" t="s">
        <v>19</v>
      </c>
      <c r="M626" s="1">
        <v>606</v>
      </c>
    </row>
    <row r="627" spans="1:13" x14ac:dyDescent="0.35">
      <c r="A627" s="1" t="s">
        <v>1149</v>
      </c>
      <c r="B627" s="2">
        <v>46124</v>
      </c>
      <c r="C627" s="1" t="s">
        <v>1150</v>
      </c>
      <c r="D627" s="1" t="s">
        <v>78</v>
      </c>
      <c r="E627" s="1" t="s">
        <v>27</v>
      </c>
      <c r="F627" s="1" t="s">
        <v>24</v>
      </c>
      <c r="G627" s="3">
        <v>0.94444444444444442</v>
      </c>
      <c r="H627" s="1"/>
      <c r="I627" s="1"/>
      <c r="J627" s="1"/>
      <c r="K627" s="1" t="s">
        <v>60</v>
      </c>
      <c r="L627" s="1" t="s">
        <v>254</v>
      </c>
      <c r="M627" s="1">
        <v>866</v>
      </c>
    </row>
    <row r="628" spans="1:13" x14ac:dyDescent="0.35">
      <c r="A628" s="1" t="s">
        <v>1151</v>
      </c>
      <c r="B628" s="2">
        <v>46125</v>
      </c>
      <c r="C628" s="1" t="s">
        <v>1152</v>
      </c>
      <c r="D628" s="1" t="s">
        <v>23</v>
      </c>
      <c r="E628" s="1" t="s">
        <v>413</v>
      </c>
      <c r="F628" s="1" t="s">
        <v>17</v>
      </c>
      <c r="G628" s="3">
        <v>0.4236111111111111</v>
      </c>
      <c r="H628" s="3">
        <v>0.42152777777777778</v>
      </c>
      <c r="I628" s="1">
        <v>-3</v>
      </c>
      <c r="J628" s="1">
        <v>0</v>
      </c>
      <c r="K628" s="1" t="s">
        <v>18</v>
      </c>
      <c r="L628" s="1" t="s">
        <v>19</v>
      </c>
      <c r="M628" s="1">
        <v>861</v>
      </c>
    </row>
    <row r="629" spans="1:13" x14ac:dyDescent="0.35">
      <c r="A629" s="1" t="s">
        <v>1153</v>
      </c>
      <c r="B629" s="2">
        <v>46125</v>
      </c>
      <c r="C629" s="1" t="s">
        <v>694</v>
      </c>
      <c r="D629" s="1" t="s">
        <v>50</v>
      </c>
      <c r="E629" s="1" t="s">
        <v>27</v>
      </c>
      <c r="F629" s="1" t="s">
        <v>38</v>
      </c>
      <c r="G629" s="3">
        <v>0.87847222222222221</v>
      </c>
      <c r="H629" s="3">
        <v>0.90555555555555556</v>
      </c>
      <c r="I629" s="1">
        <v>39</v>
      </c>
      <c r="J629" s="1">
        <v>33</v>
      </c>
      <c r="K629" s="1" t="s">
        <v>54</v>
      </c>
      <c r="L629" s="1" t="s">
        <v>19</v>
      </c>
      <c r="M629" s="1">
        <v>730</v>
      </c>
    </row>
    <row r="630" spans="1:13" x14ac:dyDescent="0.35">
      <c r="A630" s="1" t="s">
        <v>1154</v>
      </c>
      <c r="B630" s="2">
        <v>46125</v>
      </c>
      <c r="C630" s="1" t="s">
        <v>971</v>
      </c>
      <c r="D630" s="1" t="s">
        <v>16</v>
      </c>
      <c r="E630" s="1" t="s">
        <v>41</v>
      </c>
      <c r="F630" s="1" t="s">
        <v>28</v>
      </c>
      <c r="G630" s="3">
        <v>0.87847222222222221</v>
      </c>
      <c r="H630" s="3">
        <v>0.87777777777777777</v>
      </c>
      <c r="I630" s="1">
        <v>-1</v>
      </c>
      <c r="J630" s="1">
        <v>-5</v>
      </c>
      <c r="K630" s="1" t="s">
        <v>18</v>
      </c>
      <c r="L630" s="1" t="s">
        <v>19</v>
      </c>
      <c r="M630" s="1">
        <v>1199</v>
      </c>
    </row>
    <row r="631" spans="1:13" x14ac:dyDescent="0.35">
      <c r="A631" s="1" t="s">
        <v>1155</v>
      </c>
      <c r="B631" s="2">
        <v>46126</v>
      </c>
      <c r="C631" s="1" t="s">
        <v>118</v>
      </c>
      <c r="D631" s="1" t="s">
        <v>44</v>
      </c>
      <c r="E631" s="1" t="s">
        <v>15</v>
      </c>
      <c r="F631" s="1" t="s">
        <v>28</v>
      </c>
      <c r="G631" s="3">
        <v>0.625</v>
      </c>
      <c r="H631" s="3">
        <v>0.63263888888888886</v>
      </c>
      <c r="I631" s="1">
        <v>11</v>
      </c>
      <c r="J631" s="1">
        <v>8</v>
      </c>
      <c r="K631" s="1" t="s">
        <v>18</v>
      </c>
      <c r="L631" s="1" t="s">
        <v>19</v>
      </c>
      <c r="M631" s="1">
        <v>2606</v>
      </c>
    </row>
    <row r="632" spans="1:13" x14ac:dyDescent="0.35">
      <c r="A632" s="1" t="s">
        <v>1156</v>
      </c>
      <c r="B632" s="2">
        <v>46126</v>
      </c>
      <c r="C632" s="1" t="s">
        <v>1157</v>
      </c>
      <c r="D632" s="1" t="s">
        <v>23</v>
      </c>
      <c r="E632" s="1" t="s">
        <v>31</v>
      </c>
      <c r="F632" s="1" t="s">
        <v>38</v>
      </c>
      <c r="G632" s="3">
        <v>0.75</v>
      </c>
      <c r="H632" s="3">
        <v>0.81736111111111109</v>
      </c>
      <c r="I632" s="1">
        <v>97</v>
      </c>
      <c r="J632" s="1">
        <v>105</v>
      </c>
      <c r="K632" s="1" t="s">
        <v>54</v>
      </c>
      <c r="L632" s="1" t="s">
        <v>19</v>
      </c>
      <c r="M632" s="1">
        <v>627</v>
      </c>
    </row>
    <row r="633" spans="1:13" x14ac:dyDescent="0.35">
      <c r="A633" s="1" t="s">
        <v>1158</v>
      </c>
      <c r="B633" s="2">
        <v>46126</v>
      </c>
      <c r="C633" s="1" t="s">
        <v>603</v>
      </c>
      <c r="D633" s="1" t="s">
        <v>123</v>
      </c>
      <c r="E633" s="1" t="s">
        <v>23</v>
      </c>
      <c r="F633" s="1" t="s">
        <v>17</v>
      </c>
      <c r="G633" s="3">
        <v>0.83333333333333337</v>
      </c>
      <c r="H633" s="3">
        <v>0.82777777777777772</v>
      </c>
      <c r="I633" s="1">
        <v>-8</v>
      </c>
      <c r="J633" s="1">
        <v>-2</v>
      </c>
      <c r="K633" s="1" t="s">
        <v>18</v>
      </c>
      <c r="L633" s="1" t="s">
        <v>19</v>
      </c>
      <c r="M633" s="1">
        <v>1197</v>
      </c>
    </row>
    <row r="634" spans="1:13" x14ac:dyDescent="0.35">
      <c r="A634" s="1" t="s">
        <v>1159</v>
      </c>
      <c r="B634" s="2">
        <v>46127</v>
      </c>
      <c r="C634" s="1" t="s">
        <v>754</v>
      </c>
      <c r="D634" s="1" t="s">
        <v>41</v>
      </c>
      <c r="E634" s="1" t="s">
        <v>16</v>
      </c>
      <c r="F634" s="1" t="s">
        <v>17</v>
      </c>
      <c r="G634" s="3">
        <v>0.3611111111111111</v>
      </c>
      <c r="H634" s="3">
        <v>0.36319444444444438</v>
      </c>
      <c r="I634" s="1">
        <v>3</v>
      </c>
      <c r="J634" s="1">
        <v>11</v>
      </c>
      <c r="K634" s="1" t="s">
        <v>18</v>
      </c>
      <c r="L634" s="1" t="s">
        <v>19</v>
      </c>
      <c r="M634" s="1">
        <v>1199</v>
      </c>
    </row>
    <row r="635" spans="1:13" x14ac:dyDescent="0.35">
      <c r="A635" s="1" t="s">
        <v>1160</v>
      </c>
      <c r="B635" s="2">
        <v>46127</v>
      </c>
      <c r="C635" s="1" t="s">
        <v>1161</v>
      </c>
      <c r="D635" s="1" t="s">
        <v>27</v>
      </c>
      <c r="E635" s="1" t="s">
        <v>50</v>
      </c>
      <c r="F635" s="1" t="s">
        <v>17</v>
      </c>
      <c r="G635" s="3">
        <v>0.46180555555555558</v>
      </c>
      <c r="H635" s="3">
        <v>0.45694444444444438</v>
      </c>
      <c r="I635" s="1">
        <v>-7</v>
      </c>
      <c r="J635" s="1">
        <v>-11</v>
      </c>
      <c r="K635" s="1"/>
      <c r="L635" s="1" t="s">
        <v>19</v>
      </c>
      <c r="M635" s="1">
        <v>730</v>
      </c>
    </row>
    <row r="636" spans="1:13" x14ac:dyDescent="0.35">
      <c r="A636" s="1" t="s">
        <v>1162</v>
      </c>
      <c r="B636" s="2">
        <v>46127</v>
      </c>
      <c r="C636" s="1" t="s">
        <v>454</v>
      </c>
      <c r="D636" s="1" t="s">
        <v>23</v>
      </c>
      <c r="E636" s="1" t="s">
        <v>41</v>
      </c>
      <c r="F636" s="1" t="s">
        <v>24</v>
      </c>
      <c r="G636" s="3">
        <v>0.47916666666666669</v>
      </c>
      <c r="H636" s="3">
        <v>0.47986111111111113</v>
      </c>
      <c r="I636" s="1">
        <v>1</v>
      </c>
      <c r="J636" s="1">
        <v>3</v>
      </c>
      <c r="K636" s="1" t="s">
        <v>18</v>
      </c>
      <c r="L636" s="1" t="s">
        <v>19</v>
      </c>
      <c r="M636" s="1">
        <v>1708</v>
      </c>
    </row>
    <row r="637" spans="1:13" x14ac:dyDescent="0.35">
      <c r="A637" s="1" t="s">
        <v>1163</v>
      </c>
      <c r="B637" s="2">
        <v>46127</v>
      </c>
      <c r="C637" s="1" t="s">
        <v>649</v>
      </c>
      <c r="D637" s="1" t="s">
        <v>15</v>
      </c>
      <c r="E637" s="1" t="s">
        <v>23</v>
      </c>
      <c r="F637" s="1" t="s">
        <v>17</v>
      </c>
      <c r="G637" s="3">
        <v>0.69444444444444442</v>
      </c>
      <c r="H637" s="3">
        <v>0.70277777777777772</v>
      </c>
      <c r="I637" s="1">
        <v>12</v>
      </c>
      <c r="J637" s="1">
        <v>1</v>
      </c>
      <c r="K637" s="1" t="s">
        <v>18</v>
      </c>
      <c r="L637" s="1" t="s">
        <v>19</v>
      </c>
      <c r="M637" s="1">
        <v>861</v>
      </c>
    </row>
    <row r="638" spans="1:13" x14ac:dyDescent="0.35">
      <c r="A638" s="1" t="s">
        <v>1164</v>
      </c>
      <c r="B638" s="2">
        <v>46127</v>
      </c>
      <c r="C638" s="1" t="s">
        <v>677</v>
      </c>
      <c r="D638" s="1" t="s">
        <v>78</v>
      </c>
      <c r="E638" s="1" t="s">
        <v>37</v>
      </c>
      <c r="F638" s="1" t="s">
        <v>17</v>
      </c>
      <c r="G638" s="3">
        <v>0.72916666666666663</v>
      </c>
      <c r="H638" s="3">
        <v>0.74097222222222225</v>
      </c>
      <c r="I638" s="1">
        <v>17</v>
      </c>
      <c r="J638" s="1">
        <v>13</v>
      </c>
      <c r="K638" s="1" t="s">
        <v>174</v>
      </c>
      <c r="L638" s="1" t="s">
        <v>19</v>
      </c>
      <c r="M638" s="1">
        <v>1108</v>
      </c>
    </row>
    <row r="639" spans="1:13" x14ac:dyDescent="0.35">
      <c r="A639" s="1" t="s">
        <v>1165</v>
      </c>
      <c r="B639" s="2">
        <v>46128</v>
      </c>
      <c r="C639" s="1" t="s">
        <v>752</v>
      </c>
      <c r="D639" s="1" t="s">
        <v>22</v>
      </c>
      <c r="E639" s="1" t="s">
        <v>44</v>
      </c>
      <c r="F639" s="1" t="s">
        <v>17</v>
      </c>
      <c r="G639" s="3">
        <v>0.33333333333333331</v>
      </c>
      <c r="H639" s="3">
        <v>0.32916666666666672</v>
      </c>
      <c r="I639" s="1">
        <v>-6</v>
      </c>
      <c r="J639" s="1">
        <v>-16</v>
      </c>
      <c r="K639" s="1" t="s">
        <v>18</v>
      </c>
      <c r="L639" s="1" t="s">
        <v>19</v>
      </c>
      <c r="M639" s="1">
        <v>186</v>
      </c>
    </row>
    <row r="640" spans="1:13" x14ac:dyDescent="0.35">
      <c r="A640" s="1" t="s">
        <v>1166</v>
      </c>
      <c r="B640" s="2">
        <v>46128</v>
      </c>
      <c r="C640" s="1" t="s">
        <v>1167</v>
      </c>
      <c r="D640" s="1" t="s">
        <v>50</v>
      </c>
      <c r="E640" s="1" t="s">
        <v>413</v>
      </c>
      <c r="F640" s="1" t="s">
        <v>17</v>
      </c>
      <c r="G640" s="3">
        <v>0.63194444444444442</v>
      </c>
      <c r="H640" s="1"/>
      <c r="I640" s="1"/>
      <c r="J640" s="1"/>
      <c r="K640" s="1" t="s">
        <v>60</v>
      </c>
      <c r="L640" s="1" t="s">
        <v>254</v>
      </c>
      <c r="M640" s="1">
        <v>1942</v>
      </c>
    </row>
    <row r="641" spans="1:13" x14ac:dyDescent="0.35">
      <c r="A641" s="1" t="s">
        <v>1168</v>
      </c>
      <c r="B641" s="2">
        <v>46129</v>
      </c>
      <c r="C641" s="1" t="s">
        <v>919</v>
      </c>
      <c r="D641" s="1" t="s">
        <v>15</v>
      </c>
      <c r="E641" s="1" t="s">
        <v>22</v>
      </c>
      <c r="F641" s="1" t="s">
        <v>24</v>
      </c>
      <c r="G641" s="3">
        <v>0.32291666666666669</v>
      </c>
      <c r="H641" s="3">
        <v>0.31805555555555548</v>
      </c>
      <c r="I641" s="1">
        <v>-7</v>
      </c>
      <c r="J641" s="1">
        <v>-12</v>
      </c>
      <c r="K641" s="1" t="s">
        <v>18</v>
      </c>
      <c r="L641" s="1" t="s">
        <v>19</v>
      </c>
      <c r="M641" s="1">
        <v>2470</v>
      </c>
    </row>
    <row r="642" spans="1:13" x14ac:dyDescent="0.35">
      <c r="A642" s="1" t="s">
        <v>1169</v>
      </c>
      <c r="B642" s="2">
        <v>46129</v>
      </c>
      <c r="C642" s="1" t="s">
        <v>378</v>
      </c>
      <c r="D642" s="1" t="s">
        <v>418</v>
      </c>
      <c r="E642" s="1" t="s">
        <v>15</v>
      </c>
      <c r="F642" s="1" t="s">
        <v>28</v>
      </c>
      <c r="G642" s="3">
        <v>0.67361111111111116</v>
      </c>
      <c r="H642" s="3">
        <v>0.67291666666666672</v>
      </c>
      <c r="I642" s="1">
        <v>-1</v>
      </c>
      <c r="J642" s="1">
        <v>-7</v>
      </c>
      <c r="K642" s="1" t="s">
        <v>18</v>
      </c>
      <c r="L642" s="1" t="s">
        <v>19</v>
      </c>
      <c r="M642" s="1">
        <v>2338</v>
      </c>
    </row>
    <row r="643" spans="1:13" x14ac:dyDescent="0.35">
      <c r="A643" s="1" t="s">
        <v>1170</v>
      </c>
      <c r="B643" s="2">
        <v>46129</v>
      </c>
      <c r="C643" s="1" t="s">
        <v>322</v>
      </c>
      <c r="D643" s="1" t="s">
        <v>1171</v>
      </c>
      <c r="E643" s="1" t="s">
        <v>23</v>
      </c>
      <c r="F643" s="1" t="s">
        <v>28</v>
      </c>
      <c r="G643" s="3">
        <v>0.71180555555555558</v>
      </c>
      <c r="H643" s="3">
        <v>0.71111111111111114</v>
      </c>
      <c r="I643" s="1">
        <v>-1</v>
      </c>
      <c r="J643" s="1">
        <v>-6</v>
      </c>
      <c r="K643" s="1" t="s">
        <v>18</v>
      </c>
      <c r="L643" s="1" t="s">
        <v>19</v>
      </c>
      <c r="M643" s="1">
        <v>602</v>
      </c>
    </row>
    <row r="644" spans="1:13" x14ac:dyDescent="0.35">
      <c r="A644" s="1" t="s">
        <v>1172</v>
      </c>
      <c r="B644" s="2">
        <v>46130</v>
      </c>
      <c r="C644" s="1" t="s">
        <v>1173</v>
      </c>
      <c r="D644" s="1" t="s">
        <v>15</v>
      </c>
      <c r="E644" s="1" t="s">
        <v>22</v>
      </c>
      <c r="F644" s="1" t="s">
        <v>17</v>
      </c>
      <c r="G644" s="3">
        <v>0.51041666666666663</v>
      </c>
      <c r="H644" s="3">
        <v>0.50972222222222219</v>
      </c>
      <c r="I644" s="1">
        <v>-1</v>
      </c>
      <c r="J644" s="1">
        <v>9</v>
      </c>
      <c r="K644" s="1"/>
      <c r="L644" s="1" t="s">
        <v>19</v>
      </c>
      <c r="M644" s="1">
        <v>2470</v>
      </c>
    </row>
    <row r="645" spans="1:13" x14ac:dyDescent="0.35">
      <c r="A645" s="1" t="s">
        <v>1174</v>
      </c>
      <c r="B645" s="2">
        <v>46130</v>
      </c>
      <c r="C645" s="1" t="s">
        <v>1175</v>
      </c>
      <c r="D645" s="1" t="s">
        <v>16</v>
      </c>
      <c r="E645" s="1" t="s">
        <v>15</v>
      </c>
      <c r="F645" s="1" t="s">
        <v>17</v>
      </c>
      <c r="G645" s="3">
        <v>0.63541666666666663</v>
      </c>
      <c r="H645" s="3">
        <v>0.7416666666666667</v>
      </c>
      <c r="I645" s="1">
        <v>153</v>
      </c>
      <c r="J645" s="1">
        <v>148</v>
      </c>
      <c r="K645" s="1" t="s">
        <v>149</v>
      </c>
      <c r="L645" s="1" t="s">
        <v>19</v>
      </c>
      <c r="M645" s="1">
        <v>1742</v>
      </c>
    </row>
    <row r="646" spans="1:13" x14ac:dyDescent="0.35">
      <c r="A646" s="1" t="s">
        <v>1176</v>
      </c>
      <c r="B646" s="2">
        <v>46130</v>
      </c>
      <c r="C646" s="1" t="s">
        <v>1075</v>
      </c>
      <c r="D646" s="1" t="s">
        <v>50</v>
      </c>
      <c r="E646" s="1" t="s">
        <v>44</v>
      </c>
      <c r="F646" s="1" t="s">
        <v>28</v>
      </c>
      <c r="G646" s="3">
        <v>0.74652777777777779</v>
      </c>
      <c r="H646" s="3">
        <v>0.75208333333333333</v>
      </c>
      <c r="I646" s="1">
        <v>8</v>
      </c>
      <c r="J646" s="1">
        <v>11</v>
      </c>
      <c r="K646" s="1"/>
      <c r="L646" s="1" t="s">
        <v>19</v>
      </c>
      <c r="M646" s="1">
        <v>945</v>
      </c>
    </row>
    <row r="647" spans="1:13" x14ac:dyDescent="0.35">
      <c r="A647" s="1" t="s">
        <v>1177</v>
      </c>
      <c r="B647" s="2">
        <v>46131</v>
      </c>
      <c r="C647" s="1" t="s">
        <v>1178</v>
      </c>
      <c r="D647" s="1" t="s">
        <v>78</v>
      </c>
      <c r="E647" s="1" t="s">
        <v>15</v>
      </c>
      <c r="F647" s="1" t="s">
        <v>38</v>
      </c>
      <c r="G647" s="3">
        <v>0.47916666666666669</v>
      </c>
      <c r="H647" s="3">
        <v>0.47361111111111109</v>
      </c>
      <c r="I647" s="1">
        <v>-8</v>
      </c>
      <c r="J647" s="1">
        <v>0</v>
      </c>
      <c r="K647" s="1" t="s">
        <v>18</v>
      </c>
      <c r="L647" s="1" t="s">
        <v>19</v>
      </c>
      <c r="M647" s="1">
        <v>370</v>
      </c>
    </row>
    <row r="648" spans="1:13" x14ac:dyDescent="0.35">
      <c r="A648" s="1" t="s">
        <v>1179</v>
      </c>
      <c r="B648" s="2">
        <v>46131</v>
      </c>
      <c r="C648" s="1" t="s">
        <v>446</v>
      </c>
      <c r="D648" s="1" t="s">
        <v>16</v>
      </c>
      <c r="E648" s="1" t="s">
        <v>50</v>
      </c>
      <c r="F648" s="1" t="s">
        <v>38</v>
      </c>
      <c r="G648" s="3">
        <v>0.50694444444444442</v>
      </c>
      <c r="H648" s="3">
        <v>0.51875000000000004</v>
      </c>
      <c r="I648" s="1">
        <v>17</v>
      </c>
      <c r="J648" s="1">
        <v>2</v>
      </c>
      <c r="K648" s="1" t="s">
        <v>54</v>
      </c>
      <c r="L648" s="1" t="s">
        <v>19</v>
      </c>
      <c r="M648" s="1">
        <v>606</v>
      </c>
    </row>
    <row r="649" spans="1:13" x14ac:dyDescent="0.35">
      <c r="A649" s="1" t="s">
        <v>1180</v>
      </c>
      <c r="B649" s="2">
        <v>46131</v>
      </c>
      <c r="C649" s="1" t="s">
        <v>756</v>
      </c>
      <c r="D649" s="1" t="s">
        <v>50</v>
      </c>
      <c r="E649" s="1" t="s">
        <v>44</v>
      </c>
      <c r="F649" s="1" t="s">
        <v>24</v>
      </c>
      <c r="G649" s="3">
        <v>0.68402777777777779</v>
      </c>
      <c r="H649" s="3">
        <v>0.68402777777777779</v>
      </c>
      <c r="I649" s="1">
        <v>0</v>
      </c>
      <c r="J649" s="1">
        <v>-12</v>
      </c>
      <c r="K649" s="1" t="s">
        <v>18</v>
      </c>
      <c r="L649" s="1" t="s">
        <v>19</v>
      </c>
      <c r="M649" s="1">
        <v>945</v>
      </c>
    </row>
    <row r="650" spans="1:13" x14ac:dyDescent="0.35">
      <c r="A650" s="1" t="s">
        <v>1181</v>
      </c>
      <c r="B650" s="2">
        <v>46131</v>
      </c>
      <c r="C650" s="1" t="s">
        <v>596</v>
      </c>
      <c r="D650" s="1" t="s">
        <v>50</v>
      </c>
      <c r="E650" s="1" t="s">
        <v>47</v>
      </c>
      <c r="F650" s="1" t="s">
        <v>24</v>
      </c>
      <c r="G650" s="3">
        <v>0.72916666666666663</v>
      </c>
      <c r="H650" s="3">
        <v>0.72361111111111109</v>
      </c>
      <c r="I650" s="1">
        <v>-8</v>
      </c>
      <c r="J650" s="1">
        <v>-1</v>
      </c>
      <c r="K650" s="1" t="s">
        <v>18</v>
      </c>
      <c r="L650" s="1" t="s">
        <v>19</v>
      </c>
      <c r="M650" s="1">
        <v>2134</v>
      </c>
    </row>
    <row r="651" spans="1:13" x14ac:dyDescent="0.35">
      <c r="A651" s="1" t="s">
        <v>1181</v>
      </c>
      <c r="B651" s="2">
        <v>46131</v>
      </c>
      <c r="C651" s="1" t="s">
        <v>596</v>
      </c>
      <c r="D651" s="1" t="s">
        <v>50</v>
      </c>
      <c r="E651" s="1" t="s">
        <v>47</v>
      </c>
      <c r="F651" s="1" t="s">
        <v>24</v>
      </c>
      <c r="G651" s="3">
        <v>0.72916666666666663</v>
      </c>
      <c r="H651" s="3">
        <v>0.72361111111111109</v>
      </c>
      <c r="I651" s="1">
        <v>-8</v>
      </c>
      <c r="J651" s="1">
        <v>-1</v>
      </c>
      <c r="K651" s="1" t="s">
        <v>18</v>
      </c>
      <c r="L651" s="1" t="s">
        <v>19</v>
      </c>
      <c r="M651" s="1">
        <v>2134</v>
      </c>
    </row>
    <row r="652" spans="1:13" x14ac:dyDescent="0.35">
      <c r="A652" s="1" t="s">
        <v>1182</v>
      </c>
      <c r="B652" s="2">
        <v>46132</v>
      </c>
      <c r="C652" s="1" t="s">
        <v>1183</v>
      </c>
      <c r="D652" s="1" t="s">
        <v>16</v>
      </c>
      <c r="E652" s="1" t="s">
        <v>22</v>
      </c>
      <c r="F652" s="1" t="s">
        <v>24</v>
      </c>
      <c r="G652" s="3">
        <v>0.22569444444444439</v>
      </c>
      <c r="H652" s="3">
        <v>0.22638888888888889</v>
      </c>
      <c r="I652" s="1">
        <v>1</v>
      </c>
      <c r="J652" s="1">
        <v>0</v>
      </c>
      <c r="K652" s="1" t="s">
        <v>18</v>
      </c>
      <c r="L652" s="1" t="s">
        <v>19</v>
      </c>
      <c r="M652" s="1">
        <v>738</v>
      </c>
    </row>
    <row r="653" spans="1:13" x14ac:dyDescent="0.35">
      <c r="A653" s="1" t="s">
        <v>1184</v>
      </c>
      <c r="B653" s="2">
        <v>46132</v>
      </c>
      <c r="C653" s="1" t="s">
        <v>1185</v>
      </c>
      <c r="D653" s="1" t="s">
        <v>78</v>
      </c>
      <c r="E653" s="1" t="s">
        <v>15</v>
      </c>
      <c r="F653" s="1" t="s">
        <v>17</v>
      </c>
      <c r="G653" s="3">
        <v>0.37847222222222221</v>
      </c>
      <c r="H653" s="3">
        <v>0.37638888888888888</v>
      </c>
      <c r="I653" s="1">
        <v>-3</v>
      </c>
      <c r="J653" s="1">
        <v>2</v>
      </c>
      <c r="K653" s="1" t="s">
        <v>18</v>
      </c>
      <c r="L653" s="1" t="s">
        <v>19</v>
      </c>
      <c r="M653" s="1">
        <v>370</v>
      </c>
    </row>
    <row r="654" spans="1:13" x14ac:dyDescent="0.35">
      <c r="A654" s="1" t="s">
        <v>1186</v>
      </c>
      <c r="B654" s="2">
        <v>46132</v>
      </c>
      <c r="C654" s="1" t="s">
        <v>1115</v>
      </c>
      <c r="D654" s="1" t="s">
        <v>23</v>
      </c>
      <c r="E654" s="1" t="s">
        <v>16</v>
      </c>
      <c r="F654" s="1" t="s">
        <v>28</v>
      </c>
      <c r="G654" s="3">
        <v>0.63888888888888884</v>
      </c>
      <c r="H654" s="3">
        <v>0.64236111111111116</v>
      </c>
      <c r="I654" s="1">
        <v>5</v>
      </c>
      <c r="J654" s="1">
        <v>3</v>
      </c>
      <c r="K654" s="1" t="s">
        <v>18</v>
      </c>
      <c r="L654" s="1" t="s">
        <v>19</v>
      </c>
      <c r="M654" s="1">
        <v>886</v>
      </c>
    </row>
    <row r="655" spans="1:13" x14ac:dyDescent="0.35">
      <c r="A655" s="1" t="s">
        <v>1187</v>
      </c>
      <c r="B655" s="2">
        <v>46132</v>
      </c>
      <c r="C655" s="1" t="s">
        <v>1188</v>
      </c>
      <c r="D655" s="1" t="s">
        <v>16</v>
      </c>
      <c r="E655" s="1" t="s">
        <v>15</v>
      </c>
      <c r="F655" s="1" t="s">
        <v>28</v>
      </c>
      <c r="G655" s="3">
        <v>0.71180555555555558</v>
      </c>
      <c r="H655" s="1"/>
      <c r="I655" s="1">
        <v>2</v>
      </c>
      <c r="J655" s="1">
        <v>-3</v>
      </c>
      <c r="K655" s="1" t="s">
        <v>18</v>
      </c>
      <c r="L655" s="1" t="s">
        <v>19</v>
      </c>
      <c r="M655" s="1">
        <v>1742</v>
      </c>
    </row>
    <row r="656" spans="1:13" x14ac:dyDescent="0.35">
      <c r="A656" s="1" t="s">
        <v>1189</v>
      </c>
      <c r="B656" s="2">
        <v>46133</v>
      </c>
      <c r="C656" s="1" t="s">
        <v>278</v>
      </c>
      <c r="D656" s="1" t="s">
        <v>50</v>
      </c>
      <c r="E656" s="1" t="s">
        <v>16</v>
      </c>
      <c r="F656" s="1" t="s">
        <v>17</v>
      </c>
      <c r="G656" s="3">
        <v>0.60416666666666663</v>
      </c>
      <c r="H656" s="3">
        <v>0.6166666666666667</v>
      </c>
      <c r="I656" s="1">
        <v>18</v>
      </c>
      <c r="J656" s="1">
        <v>7</v>
      </c>
      <c r="K656" s="1" t="s">
        <v>54</v>
      </c>
      <c r="L656" s="1" t="s">
        <v>19</v>
      </c>
      <c r="M656" s="1">
        <v>606</v>
      </c>
    </row>
    <row r="657" spans="1:13" x14ac:dyDescent="0.35">
      <c r="A657" s="1" t="s">
        <v>1190</v>
      </c>
      <c r="B657" s="2">
        <v>46133</v>
      </c>
      <c r="C657" s="1" t="s">
        <v>817</v>
      </c>
      <c r="D657" s="1" t="s">
        <v>27</v>
      </c>
      <c r="E657" s="1" t="s">
        <v>15</v>
      </c>
      <c r="F657" s="1" t="s">
        <v>28</v>
      </c>
      <c r="G657" s="3">
        <v>0.62847222222222221</v>
      </c>
      <c r="H657" s="1"/>
      <c r="I657" s="1"/>
      <c r="J657" s="1"/>
      <c r="K657" s="1" t="s">
        <v>276</v>
      </c>
      <c r="L657" s="1" t="s">
        <v>254</v>
      </c>
      <c r="M657" s="1">
        <v>1232</v>
      </c>
    </row>
    <row r="658" spans="1:13" x14ac:dyDescent="0.35">
      <c r="A658" s="1" t="s">
        <v>1191</v>
      </c>
      <c r="B658" s="2">
        <v>46133</v>
      </c>
      <c r="C658" s="1" t="s">
        <v>294</v>
      </c>
      <c r="D658" s="1" t="s">
        <v>695</v>
      </c>
      <c r="E658" s="1" t="s">
        <v>44</v>
      </c>
      <c r="F658" s="1" t="s">
        <v>17</v>
      </c>
      <c r="G658" s="3">
        <v>0.86458333333333337</v>
      </c>
      <c r="H658" s="3">
        <v>0.85972222222222228</v>
      </c>
      <c r="I658" s="1">
        <v>-7</v>
      </c>
      <c r="J658" s="1">
        <v>-12</v>
      </c>
      <c r="K658" s="1"/>
      <c r="L658" s="1" t="s">
        <v>19</v>
      </c>
      <c r="M658" s="1">
        <v>2489</v>
      </c>
    </row>
    <row r="659" spans="1:13" x14ac:dyDescent="0.35">
      <c r="A659" s="1" t="s">
        <v>1192</v>
      </c>
      <c r="B659" s="2">
        <v>46134</v>
      </c>
      <c r="C659" s="1" t="s">
        <v>1193</v>
      </c>
      <c r="D659" s="1" t="s">
        <v>50</v>
      </c>
      <c r="E659" s="1" t="s">
        <v>41</v>
      </c>
      <c r="F659" s="1" t="s">
        <v>17</v>
      </c>
      <c r="G659" s="3">
        <v>0.31944444444444442</v>
      </c>
      <c r="H659" s="3">
        <v>0.32291666666666669</v>
      </c>
      <c r="I659" s="1">
        <v>5</v>
      </c>
      <c r="J659" s="1">
        <v>-1</v>
      </c>
      <c r="K659" s="1" t="s">
        <v>18</v>
      </c>
      <c r="L659" s="1" t="s">
        <v>19</v>
      </c>
      <c r="M659" s="1">
        <v>596</v>
      </c>
    </row>
    <row r="660" spans="1:13" x14ac:dyDescent="0.35">
      <c r="A660" s="1" t="s">
        <v>1194</v>
      </c>
      <c r="B660" s="2">
        <v>46134</v>
      </c>
      <c r="C660" s="1" t="s">
        <v>1195</v>
      </c>
      <c r="D660" s="1" t="s">
        <v>15</v>
      </c>
      <c r="E660" s="1" t="s">
        <v>16</v>
      </c>
      <c r="F660" s="1" t="s">
        <v>24</v>
      </c>
      <c r="G660" s="3">
        <v>0.53125</v>
      </c>
      <c r="H660" s="3">
        <v>0.53333333333333333</v>
      </c>
      <c r="I660" s="1">
        <v>3</v>
      </c>
      <c r="J660" s="1">
        <v>13</v>
      </c>
      <c r="K660" s="1" t="s">
        <v>18</v>
      </c>
      <c r="L660" s="1" t="s">
        <v>19</v>
      </c>
      <c r="M660" s="1">
        <v>1742</v>
      </c>
    </row>
    <row r="661" spans="1:13" x14ac:dyDescent="0.35">
      <c r="A661" s="1" t="s">
        <v>1196</v>
      </c>
      <c r="B661" s="2">
        <v>46134</v>
      </c>
      <c r="C661" s="1" t="s">
        <v>171</v>
      </c>
      <c r="D661" s="1" t="s">
        <v>31</v>
      </c>
      <c r="E661" s="1" t="s">
        <v>50</v>
      </c>
      <c r="F661" s="1" t="s">
        <v>17</v>
      </c>
      <c r="G661" s="3">
        <v>0.59027777777777779</v>
      </c>
      <c r="H661" s="3">
        <v>0.59652777777777777</v>
      </c>
      <c r="I661" s="1">
        <v>9</v>
      </c>
      <c r="J661" s="1">
        <v>6</v>
      </c>
      <c r="K661" s="1" t="s">
        <v>18</v>
      </c>
      <c r="L661" s="1" t="s">
        <v>19</v>
      </c>
      <c r="M661" s="1">
        <v>1743</v>
      </c>
    </row>
    <row r="662" spans="1:13" x14ac:dyDescent="0.35">
      <c r="A662" s="1" t="s">
        <v>1197</v>
      </c>
      <c r="B662" s="2">
        <v>46135</v>
      </c>
      <c r="C662" s="1" t="s">
        <v>819</v>
      </c>
      <c r="D662" s="1" t="s">
        <v>41</v>
      </c>
      <c r="E662" s="1" t="s">
        <v>37</v>
      </c>
      <c r="F662" s="1" t="s">
        <v>28</v>
      </c>
      <c r="G662" s="3">
        <v>0.46180555555555558</v>
      </c>
      <c r="H662" s="3">
        <v>0.46597222222222218</v>
      </c>
      <c r="I662" s="1">
        <v>6</v>
      </c>
      <c r="J662" s="1">
        <v>1</v>
      </c>
      <c r="K662" s="1" t="s">
        <v>18</v>
      </c>
      <c r="L662" s="1" t="s">
        <v>19</v>
      </c>
      <c r="M662" s="1">
        <v>2722</v>
      </c>
    </row>
    <row r="663" spans="1:13" x14ac:dyDescent="0.35">
      <c r="A663" s="1" t="s">
        <v>1198</v>
      </c>
      <c r="B663" s="2">
        <v>46135</v>
      </c>
      <c r="C663" s="1" t="s">
        <v>1027</v>
      </c>
      <c r="D663" s="1" t="s">
        <v>37</v>
      </c>
      <c r="E663" s="1" t="s">
        <v>27</v>
      </c>
      <c r="F663" s="1" t="s">
        <v>17</v>
      </c>
      <c r="G663" s="3">
        <v>0.625</v>
      </c>
      <c r="H663" s="3">
        <v>0.64652777777777781</v>
      </c>
      <c r="I663" s="1">
        <v>31</v>
      </c>
      <c r="J663" s="1">
        <v>23</v>
      </c>
      <c r="K663" s="1" t="s">
        <v>1020</v>
      </c>
      <c r="L663" s="1" t="s">
        <v>19</v>
      </c>
      <c r="M663" s="1">
        <v>1658</v>
      </c>
    </row>
    <row r="664" spans="1:13" x14ac:dyDescent="0.35">
      <c r="A664" s="1" t="s">
        <v>1199</v>
      </c>
      <c r="B664" s="2">
        <v>46135</v>
      </c>
      <c r="C664" s="1" t="s">
        <v>548</v>
      </c>
      <c r="D664" s="1" t="s">
        <v>22</v>
      </c>
      <c r="E664" s="1" t="s">
        <v>16</v>
      </c>
      <c r="F664" s="1" t="s">
        <v>24</v>
      </c>
      <c r="G664" s="3">
        <v>0.79513888888888884</v>
      </c>
      <c r="H664" s="3">
        <v>0.80277777777777781</v>
      </c>
      <c r="I664" s="1">
        <v>11</v>
      </c>
      <c r="J664" s="1">
        <v>3</v>
      </c>
      <c r="K664" s="1" t="s">
        <v>18</v>
      </c>
      <c r="L664" s="1" t="s">
        <v>19</v>
      </c>
      <c r="M664" s="1">
        <v>738</v>
      </c>
    </row>
    <row r="665" spans="1:13" x14ac:dyDescent="0.35">
      <c r="A665" s="1" t="s">
        <v>1200</v>
      </c>
      <c r="B665" s="2">
        <v>46135</v>
      </c>
      <c r="C665" s="1" t="s">
        <v>1201</v>
      </c>
      <c r="D665" s="1" t="s">
        <v>16</v>
      </c>
      <c r="E665" s="1" t="s">
        <v>78</v>
      </c>
      <c r="F665" s="1" t="s">
        <v>24</v>
      </c>
      <c r="G665" s="3">
        <v>0.81597222222222221</v>
      </c>
      <c r="H665" s="3">
        <v>0.8125</v>
      </c>
      <c r="I665" s="1">
        <v>-5</v>
      </c>
      <c r="J665" s="1">
        <v>-10</v>
      </c>
      <c r="K665" s="1"/>
      <c r="L665" s="1" t="s">
        <v>19</v>
      </c>
      <c r="M665" s="1">
        <v>1438</v>
      </c>
    </row>
    <row r="666" spans="1:13" x14ac:dyDescent="0.35">
      <c r="A666" s="1" t="s">
        <v>1202</v>
      </c>
      <c r="B666" s="2">
        <v>46136</v>
      </c>
      <c r="C666" s="1" t="s">
        <v>207</v>
      </c>
      <c r="D666" s="1" t="s">
        <v>50</v>
      </c>
      <c r="E666" s="1" t="s">
        <v>44</v>
      </c>
      <c r="F666" s="1" t="s">
        <v>28</v>
      </c>
      <c r="G666" s="3">
        <v>0.46527777777777779</v>
      </c>
      <c r="H666" s="3">
        <v>0.46805555555555561</v>
      </c>
      <c r="I666" s="1">
        <v>4</v>
      </c>
      <c r="J666" s="1">
        <v>14</v>
      </c>
      <c r="K666" s="1"/>
      <c r="L666" s="1" t="s">
        <v>19</v>
      </c>
      <c r="M666" s="1">
        <v>945</v>
      </c>
    </row>
    <row r="667" spans="1:13" x14ac:dyDescent="0.35">
      <c r="A667" s="1" t="s">
        <v>1203</v>
      </c>
      <c r="B667" s="2">
        <v>46136</v>
      </c>
      <c r="C667" s="1" t="s">
        <v>770</v>
      </c>
      <c r="D667" s="1" t="s">
        <v>16</v>
      </c>
      <c r="E667" s="1" t="s">
        <v>31</v>
      </c>
      <c r="F667" s="1" t="s">
        <v>28</v>
      </c>
      <c r="G667" s="3">
        <v>0.53819444444444442</v>
      </c>
      <c r="H667" s="3">
        <v>0.56111111111111112</v>
      </c>
      <c r="I667" s="1">
        <v>33</v>
      </c>
      <c r="J667" s="1">
        <v>25</v>
      </c>
      <c r="K667" s="1" t="s">
        <v>263</v>
      </c>
      <c r="L667" s="1" t="s">
        <v>19</v>
      </c>
      <c r="M667" s="1">
        <v>1511</v>
      </c>
    </row>
    <row r="668" spans="1:13" x14ac:dyDescent="0.35">
      <c r="A668" s="1" t="s">
        <v>1204</v>
      </c>
      <c r="B668" s="2">
        <v>46136</v>
      </c>
      <c r="C668" s="1" t="s">
        <v>146</v>
      </c>
      <c r="D668" s="1" t="s">
        <v>27</v>
      </c>
      <c r="E668" s="1" t="s">
        <v>16</v>
      </c>
      <c r="F668" s="1" t="s">
        <v>38</v>
      </c>
      <c r="G668" s="3">
        <v>0.73611111111111116</v>
      </c>
      <c r="H668" s="3">
        <v>0.8208333333333333</v>
      </c>
      <c r="I668" s="1">
        <v>122</v>
      </c>
      <c r="J668" s="1">
        <v>127</v>
      </c>
      <c r="K668" s="1" t="s">
        <v>129</v>
      </c>
      <c r="L668" s="1" t="s">
        <v>19</v>
      </c>
      <c r="M668" s="1">
        <v>802</v>
      </c>
    </row>
    <row r="669" spans="1:13" x14ac:dyDescent="0.35">
      <c r="A669" s="1" t="s">
        <v>1205</v>
      </c>
      <c r="B669" s="2">
        <v>46137</v>
      </c>
      <c r="C669" s="1" t="s">
        <v>167</v>
      </c>
      <c r="D669" s="1" t="s">
        <v>15</v>
      </c>
      <c r="E669" s="1" t="s">
        <v>31</v>
      </c>
      <c r="F669" s="1" t="s">
        <v>28</v>
      </c>
      <c r="G669" s="3">
        <v>0.25347222222222221</v>
      </c>
      <c r="H669" s="3">
        <v>0.25069444444444439</v>
      </c>
      <c r="I669" s="1">
        <v>-4</v>
      </c>
      <c r="J669" s="1">
        <v>6</v>
      </c>
      <c r="K669" s="1"/>
      <c r="L669" s="1" t="s">
        <v>19</v>
      </c>
      <c r="M669" s="1">
        <v>236</v>
      </c>
    </row>
    <row r="670" spans="1:13" x14ac:dyDescent="0.35">
      <c r="A670" s="1" t="s">
        <v>1206</v>
      </c>
      <c r="B670" s="2">
        <v>46137</v>
      </c>
      <c r="C670" s="1" t="s">
        <v>1207</v>
      </c>
      <c r="D670" s="1" t="s">
        <v>16</v>
      </c>
      <c r="E670" s="1" t="s">
        <v>123</v>
      </c>
      <c r="F670" s="1" t="s">
        <v>17</v>
      </c>
      <c r="G670" s="3">
        <v>0.57638888888888884</v>
      </c>
      <c r="H670" s="3">
        <v>0.58263888888888893</v>
      </c>
      <c r="I670" s="1">
        <v>9</v>
      </c>
      <c r="J670" s="1">
        <v>0</v>
      </c>
      <c r="K670" s="1" t="s">
        <v>18</v>
      </c>
      <c r="L670" s="1" t="s">
        <v>19</v>
      </c>
      <c r="M670" s="1">
        <v>606</v>
      </c>
    </row>
    <row r="671" spans="1:13" x14ac:dyDescent="0.35">
      <c r="A671" s="1" t="s">
        <v>1208</v>
      </c>
      <c r="B671" s="2">
        <v>46137</v>
      </c>
      <c r="C671" s="1" t="s">
        <v>748</v>
      </c>
      <c r="D671" s="1" t="s">
        <v>15</v>
      </c>
      <c r="E671" s="1" t="s">
        <v>23</v>
      </c>
      <c r="F671" s="1" t="s">
        <v>24</v>
      </c>
      <c r="G671" s="3">
        <v>0.68055555555555558</v>
      </c>
      <c r="H671" s="3">
        <v>0.69791666666666663</v>
      </c>
      <c r="I671" s="1">
        <v>25</v>
      </c>
      <c r="J671" s="1">
        <v>20</v>
      </c>
      <c r="K671" s="1" t="s">
        <v>60</v>
      </c>
      <c r="L671" s="1" t="s">
        <v>19</v>
      </c>
      <c r="M671" s="1">
        <v>861</v>
      </c>
    </row>
    <row r="672" spans="1:13" x14ac:dyDescent="0.35">
      <c r="A672" s="1" t="s">
        <v>1209</v>
      </c>
      <c r="B672" s="2">
        <v>46138</v>
      </c>
      <c r="C672" s="1" t="s">
        <v>1210</v>
      </c>
      <c r="D672" s="1" t="s">
        <v>16</v>
      </c>
      <c r="E672" s="1" t="s">
        <v>27</v>
      </c>
      <c r="F672" s="1" t="s">
        <v>28</v>
      </c>
      <c r="G672" s="3">
        <v>0.64236111111111116</v>
      </c>
      <c r="H672" s="3">
        <v>0.64375000000000004</v>
      </c>
      <c r="I672" s="1">
        <v>2</v>
      </c>
      <c r="J672" s="1">
        <v>9</v>
      </c>
      <c r="K672" s="1" t="s">
        <v>18</v>
      </c>
      <c r="L672" s="1" t="s">
        <v>19</v>
      </c>
      <c r="M672" s="1">
        <v>802</v>
      </c>
    </row>
    <row r="673" spans="1:13" x14ac:dyDescent="0.35">
      <c r="A673" s="1" t="s">
        <v>1211</v>
      </c>
      <c r="B673" s="2">
        <v>46139</v>
      </c>
      <c r="C673" s="1" t="s">
        <v>1212</v>
      </c>
      <c r="D673" s="1" t="s">
        <v>16</v>
      </c>
      <c r="E673" s="1" t="s">
        <v>50</v>
      </c>
      <c r="F673" s="1" t="s">
        <v>24</v>
      </c>
      <c r="G673" s="3">
        <v>0.2673611111111111</v>
      </c>
      <c r="H673" s="3">
        <v>0.26805555555555549</v>
      </c>
      <c r="I673" s="1">
        <v>1</v>
      </c>
      <c r="J673" s="1">
        <v>10</v>
      </c>
      <c r="K673" s="1" t="s">
        <v>18</v>
      </c>
      <c r="L673" s="1" t="s">
        <v>19</v>
      </c>
      <c r="M673" s="1">
        <v>606</v>
      </c>
    </row>
    <row r="674" spans="1:13" x14ac:dyDescent="0.35">
      <c r="A674" s="1" t="s">
        <v>1213</v>
      </c>
      <c r="B674" s="2">
        <v>46139</v>
      </c>
      <c r="C674" s="1" t="s">
        <v>1214</v>
      </c>
      <c r="D674" s="1" t="s">
        <v>591</v>
      </c>
      <c r="E674" s="1" t="s">
        <v>15</v>
      </c>
      <c r="F674" s="1" t="s">
        <v>24</v>
      </c>
      <c r="G674" s="3">
        <v>0.82291666666666663</v>
      </c>
      <c r="H674" s="3">
        <v>0.83125000000000004</v>
      </c>
      <c r="I674" s="1">
        <v>12</v>
      </c>
      <c r="J674" s="1">
        <v>8</v>
      </c>
      <c r="K674" s="1"/>
      <c r="L674" s="1" t="s">
        <v>19</v>
      </c>
      <c r="M674" s="1">
        <v>1232</v>
      </c>
    </row>
    <row r="675" spans="1:13" x14ac:dyDescent="0.35">
      <c r="A675" s="1" t="s">
        <v>1215</v>
      </c>
      <c r="B675" s="2">
        <v>46140</v>
      </c>
      <c r="C675" s="1" t="s">
        <v>823</v>
      </c>
      <c r="D675" s="1" t="s">
        <v>41</v>
      </c>
      <c r="E675" s="1" t="s">
        <v>50</v>
      </c>
      <c r="F675" s="1" t="s">
        <v>17</v>
      </c>
      <c r="G675" s="3">
        <v>0.41666666666666669</v>
      </c>
      <c r="H675" s="3">
        <v>0.42152777777777778</v>
      </c>
      <c r="I675" s="1">
        <v>7</v>
      </c>
      <c r="J675" s="1">
        <v>8</v>
      </c>
      <c r="K675" s="1" t="s">
        <v>18</v>
      </c>
      <c r="L675" s="1" t="s">
        <v>19</v>
      </c>
      <c r="M675" s="1">
        <v>596</v>
      </c>
    </row>
    <row r="676" spans="1:13" x14ac:dyDescent="0.35">
      <c r="A676" s="1" t="s">
        <v>1216</v>
      </c>
      <c r="B676" s="2">
        <v>46140</v>
      </c>
      <c r="C676" s="1" t="s">
        <v>1217</v>
      </c>
      <c r="D676" s="1" t="s">
        <v>22</v>
      </c>
      <c r="E676" s="1" t="s">
        <v>31</v>
      </c>
      <c r="F676" s="1" t="s">
        <v>24</v>
      </c>
      <c r="G676" s="3">
        <v>0.50347222222222221</v>
      </c>
      <c r="H676" s="3">
        <v>0.5083333333333333</v>
      </c>
      <c r="I676" s="1">
        <v>7</v>
      </c>
      <c r="J676" s="1">
        <v>-4</v>
      </c>
      <c r="K676" s="1" t="s">
        <v>18</v>
      </c>
      <c r="L676" s="1" t="s">
        <v>19</v>
      </c>
      <c r="M676" s="1">
        <v>2243</v>
      </c>
    </row>
    <row r="677" spans="1:13" x14ac:dyDescent="0.35">
      <c r="A677" s="1" t="s">
        <v>1218</v>
      </c>
      <c r="B677" s="2">
        <v>46140</v>
      </c>
      <c r="C677" s="1" t="s">
        <v>1219</v>
      </c>
      <c r="D677" s="1" t="s">
        <v>50</v>
      </c>
      <c r="E677" s="1" t="s">
        <v>47</v>
      </c>
      <c r="F677" s="1" t="s">
        <v>17</v>
      </c>
      <c r="G677" s="3">
        <v>0.59375</v>
      </c>
      <c r="H677" s="3">
        <v>0.59097222222222223</v>
      </c>
      <c r="I677" s="1">
        <v>-4</v>
      </c>
      <c r="J677" s="1">
        <v>-5</v>
      </c>
      <c r="K677" s="1" t="s">
        <v>18</v>
      </c>
      <c r="L677" s="1" t="s">
        <v>19</v>
      </c>
      <c r="M677" s="1">
        <v>2134</v>
      </c>
    </row>
    <row r="678" spans="1:13" x14ac:dyDescent="0.35">
      <c r="A678" s="1" t="s">
        <v>1220</v>
      </c>
      <c r="B678" s="2">
        <v>46140</v>
      </c>
      <c r="C678" s="1" t="s">
        <v>819</v>
      </c>
      <c r="D678" s="1" t="s">
        <v>15</v>
      </c>
      <c r="E678" s="1" t="s">
        <v>588</v>
      </c>
      <c r="F678" s="1" t="s">
        <v>24</v>
      </c>
      <c r="G678" s="3">
        <v>0.67708333333333337</v>
      </c>
      <c r="H678" s="3">
        <v>0.67361111111111116</v>
      </c>
      <c r="I678" s="1">
        <v>-5</v>
      </c>
      <c r="J678" s="1">
        <v>-4</v>
      </c>
      <c r="K678" s="1" t="s">
        <v>18</v>
      </c>
      <c r="L678" s="1" t="s">
        <v>19</v>
      </c>
      <c r="M678" s="1">
        <v>1232</v>
      </c>
    </row>
    <row r="679" spans="1:13" x14ac:dyDescent="0.35">
      <c r="A679" s="1" t="s">
        <v>1221</v>
      </c>
      <c r="B679" s="2">
        <v>46140</v>
      </c>
      <c r="C679" s="1" t="s">
        <v>100</v>
      </c>
      <c r="D679" s="1" t="s">
        <v>15</v>
      </c>
      <c r="E679" s="1" t="s">
        <v>37</v>
      </c>
      <c r="F679" s="1" t="s">
        <v>38</v>
      </c>
      <c r="G679" s="3">
        <v>0.80208333333333337</v>
      </c>
      <c r="H679" s="3">
        <v>0.80347222222222225</v>
      </c>
      <c r="I679" s="1">
        <v>2</v>
      </c>
      <c r="J679" s="1">
        <v>-10</v>
      </c>
      <c r="K679" s="1" t="s">
        <v>18</v>
      </c>
      <c r="L679" s="1" t="s">
        <v>19</v>
      </c>
      <c r="M679" s="1">
        <v>955</v>
      </c>
    </row>
    <row r="680" spans="1:13" x14ac:dyDescent="0.35">
      <c r="A680" s="1" t="s">
        <v>1222</v>
      </c>
      <c r="B680" s="2">
        <v>46140</v>
      </c>
      <c r="C680" s="1" t="s">
        <v>1223</v>
      </c>
      <c r="D680" s="1" t="s">
        <v>50</v>
      </c>
      <c r="E680" s="1" t="s">
        <v>78</v>
      </c>
      <c r="F680" s="1" t="s">
        <v>24</v>
      </c>
      <c r="G680" s="3">
        <v>0.82638888888888884</v>
      </c>
      <c r="H680" s="3">
        <v>0.8208333333333333</v>
      </c>
      <c r="I680" s="1">
        <v>-8</v>
      </c>
      <c r="J680" s="1">
        <v>-5</v>
      </c>
      <c r="K680" s="1" t="s">
        <v>18</v>
      </c>
      <c r="L680" s="1" t="s">
        <v>19</v>
      </c>
      <c r="M680" s="1">
        <v>1584</v>
      </c>
    </row>
    <row r="681" spans="1:13" x14ac:dyDescent="0.35">
      <c r="A681" s="1" t="s">
        <v>1224</v>
      </c>
      <c r="B681" s="2">
        <v>46141</v>
      </c>
      <c r="C681" s="1" t="s">
        <v>1225</v>
      </c>
      <c r="D681" s="1" t="s">
        <v>197</v>
      </c>
      <c r="E681" s="1" t="s">
        <v>78</v>
      </c>
      <c r="F681" s="1" t="s">
        <v>24</v>
      </c>
      <c r="G681" s="3">
        <v>0.3888888888888889</v>
      </c>
      <c r="H681" s="3">
        <v>0.38958333333333328</v>
      </c>
      <c r="I681" s="1">
        <v>1</v>
      </c>
      <c r="J681" s="1">
        <v>-9</v>
      </c>
      <c r="K681" s="1" t="s">
        <v>18</v>
      </c>
      <c r="L681" s="1" t="s">
        <v>19</v>
      </c>
      <c r="M681" s="1">
        <v>2149</v>
      </c>
    </row>
    <row r="682" spans="1:13" x14ac:dyDescent="0.35">
      <c r="A682" s="1" t="s">
        <v>1226</v>
      </c>
      <c r="B682" s="2">
        <v>46141</v>
      </c>
      <c r="C682" s="1" t="s">
        <v>760</v>
      </c>
      <c r="D682" s="1" t="s">
        <v>15</v>
      </c>
      <c r="E682" s="1" t="s">
        <v>37</v>
      </c>
      <c r="F682" s="1" t="s">
        <v>28</v>
      </c>
      <c r="G682" s="3">
        <v>0.66666666666666663</v>
      </c>
      <c r="H682" s="3">
        <v>0.67222222222222228</v>
      </c>
      <c r="I682" s="1">
        <v>8</v>
      </c>
      <c r="J682" s="1">
        <v>0</v>
      </c>
      <c r="K682" s="1" t="s">
        <v>18</v>
      </c>
      <c r="L682" s="1" t="s">
        <v>19</v>
      </c>
      <c r="M682" s="1">
        <v>955</v>
      </c>
    </row>
    <row r="683" spans="1:13" x14ac:dyDescent="0.35">
      <c r="A683" s="1" t="s">
        <v>1227</v>
      </c>
      <c r="B683" s="2">
        <v>46141</v>
      </c>
      <c r="C683" s="1" t="s">
        <v>137</v>
      </c>
      <c r="D683" s="1" t="s">
        <v>22</v>
      </c>
      <c r="E683" s="1" t="s">
        <v>37</v>
      </c>
      <c r="F683" s="1" t="s">
        <v>24</v>
      </c>
      <c r="G683" s="3">
        <v>0.73263888888888884</v>
      </c>
      <c r="H683" s="3">
        <v>0.72777777777777775</v>
      </c>
      <c r="I683" s="1">
        <v>-7</v>
      </c>
      <c r="J683" s="1">
        <v>-13</v>
      </c>
      <c r="K683" s="1" t="s">
        <v>18</v>
      </c>
      <c r="L683" s="1" t="s">
        <v>19</v>
      </c>
      <c r="M683" s="1">
        <v>2415</v>
      </c>
    </row>
    <row r="684" spans="1:13" x14ac:dyDescent="0.35">
      <c r="A684" s="1" t="s">
        <v>1228</v>
      </c>
      <c r="B684" s="2">
        <v>46142</v>
      </c>
      <c r="C684" s="1" t="s">
        <v>1229</v>
      </c>
      <c r="D684" s="1" t="s">
        <v>23</v>
      </c>
      <c r="E684" s="1" t="s">
        <v>16</v>
      </c>
      <c r="F684" s="1" t="s">
        <v>17</v>
      </c>
      <c r="G684" s="3">
        <v>0.59722222222222221</v>
      </c>
      <c r="H684" s="3">
        <v>0.6020833333333333</v>
      </c>
      <c r="I684" s="1">
        <v>7</v>
      </c>
      <c r="J684" s="1">
        <v>11</v>
      </c>
      <c r="K684" s="1" t="s">
        <v>18</v>
      </c>
      <c r="L684" s="1" t="s">
        <v>19</v>
      </c>
      <c r="M684" s="1">
        <v>886</v>
      </c>
    </row>
    <row r="685" spans="1:13" x14ac:dyDescent="0.35">
      <c r="A685" s="1" t="s">
        <v>1230</v>
      </c>
      <c r="B685" s="2">
        <v>46142</v>
      </c>
      <c r="C685" s="1" t="s">
        <v>1231</v>
      </c>
      <c r="D685" s="1" t="s">
        <v>71</v>
      </c>
      <c r="E685" s="1" t="s">
        <v>27</v>
      </c>
      <c r="F685" s="1" t="s">
        <v>28</v>
      </c>
      <c r="G685" s="3">
        <v>0.73611111111111116</v>
      </c>
      <c r="H685" s="3">
        <v>0.73958333333333337</v>
      </c>
      <c r="I685" s="1">
        <v>5</v>
      </c>
      <c r="J685" s="1">
        <v>7</v>
      </c>
      <c r="K685" s="1" t="s">
        <v>18</v>
      </c>
      <c r="L685" s="1" t="s">
        <v>19</v>
      </c>
      <c r="M685" s="1">
        <v>802</v>
      </c>
    </row>
    <row r="686" spans="1:13" x14ac:dyDescent="0.35">
      <c r="A686" s="1" t="s">
        <v>1232</v>
      </c>
      <c r="B686" s="2">
        <v>46142</v>
      </c>
      <c r="C686" s="1" t="s">
        <v>1233</v>
      </c>
      <c r="D686" s="1" t="s">
        <v>44</v>
      </c>
      <c r="E686" s="1" t="s">
        <v>23</v>
      </c>
      <c r="F686" s="1" t="s">
        <v>17</v>
      </c>
      <c r="G686" s="3">
        <v>0.82291666666666663</v>
      </c>
      <c r="H686" s="3">
        <v>0.81874999999999998</v>
      </c>
      <c r="I686" s="1">
        <v>-6</v>
      </c>
      <c r="J686" s="1">
        <v>-6</v>
      </c>
      <c r="K686" s="1" t="s">
        <v>18</v>
      </c>
      <c r="L686" s="1" t="s">
        <v>19</v>
      </c>
      <c r="M686" s="1">
        <v>1749</v>
      </c>
    </row>
    <row r="687" spans="1:13" x14ac:dyDescent="0.35">
      <c r="A687" s="1" t="s">
        <v>1234</v>
      </c>
      <c r="B687" s="2">
        <v>46143</v>
      </c>
      <c r="C687" s="1" t="s">
        <v>609</v>
      </c>
      <c r="D687" s="1" t="s">
        <v>50</v>
      </c>
      <c r="E687" s="1" t="s">
        <v>31</v>
      </c>
      <c r="F687" s="1" t="s">
        <v>17</v>
      </c>
      <c r="G687" s="3">
        <v>0.3263888888888889</v>
      </c>
      <c r="H687" s="3">
        <v>0.3347222222222222</v>
      </c>
      <c r="I687" s="1">
        <v>12</v>
      </c>
      <c r="J687" s="1">
        <v>12</v>
      </c>
      <c r="K687" s="1" t="s">
        <v>18</v>
      </c>
      <c r="L687" s="1" t="s">
        <v>19</v>
      </c>
      <c r="M687" s="1">
        <v>1743</v>
      </c>
    </row>
    <row r="688" spans="1:13" x14ac:dyDescent="0.35">
      <c r="A688" s="1" t="s">
        <v>1235</v>
      </c>
      <c r="B688" s="2">
        <v>46143</v>
      </c>
      <c r="C688" s="1" t="s">
        <v>302</v>
      </c>
      <c r="D688" s="1" t="s">
        <v>23</v>
      </c>
      <c r="E688" s="1" t="s">
        <v>27</v>
      </c>
      <c r="F688" s="1" t="s">
        <v>24</v>
      </c>
      <c r="G688" s="3">
        <v>0.47916666666666669</v>
      </c>
      <c r="H688" s="3">
        <v>0.47430555555555548</v>
      </c>
      <c r="I688" s="1">
        <v>-7</v>
      </c>
      <c r="J688" s="1">
        <v>-10</v>
      </c>
      <c r="K688" s="1" t="s">
        <v>18</v>
      </c>
      <c r="L688" s="1" t="s">
        <v>19</v>
      </c>
      <c r="M688" s="1">
        <v>641</v>
      </c>
    </row>
    <row r="689" spans="1:13" x14ac:dyDescent="0.35">
      <c r="A689" s="1" t="s">
        <v>1236</v>
      </c>
      <c r="B689" s="2">
        <v>46143</v>
      </c>
      <c r="C689" s="1" t="s">
        <v>1237</v>
      </c>
      <c r="D689" s="1" t="s">
        <v>23</v>
      </c>
      <c r="E689" s="1" t="s">
        <v>78</v>
      </c>
      <c r="F689" s="1" t="s">
        <v>38</v>
      </c>
      <c r="G689" s="3">
        <v>0.73263888888888884</v>
      </c>
      <c r="H689" s="3">
        <v>0.7270833333333333</v>
      </c>
      <c r="I689" s="1">
        <v>-8</v>
      </c>
      <c r="J689" s="1">
        <v>0</v>
      </c>
      <c r="K689" s="1"/>
      <c r="L689" s="1" t="s">
        <v>19</v>
      </c>
      <c r="M689" s="1">
        <v>602</v>
      </c>
    </row>
    <row r="690" spans="1:13" x14ac:dyDescent="0.35">
      <c r="A690" s="1" t="s">
        <v>1238</v>
      </c>
      <c r="B690" s="2">
        <v>46144</v>
      </c>
      <c r="C690" s="1" t="s">
        <v>1123</v>
      </c>
      <c r="D690" s="1" t="s">
        <v>806</v>
      </c>
      <c r="E690" s="1" t="s">
        <v>78</v>
      </c>
      <c r="F690" s="1" t="s">
        <v>24</v>
      </c>
      <c r="G690" s="3">
        <v>0.40972222222222221</v>
      </c>
      <c r="H690" s="3">
        <v>0.41597222222222219</v>
      </c>
      <c r="I690" s="1">
        <v>9</v>
      </c>
      <c r="J690" s="1">
        <v>19</v>
      </c>
      <c r="K690" s="1" t="s">
        <v>18</v>
      </c>
      <c r="L690" s="1" t="s">
        <v>19</v>
      </c>
      <c r="M690" s="1">
        <v>370</v>
      </c>
    </row>
    <row r="691" spans="1:13" x14ac:dyDescent="0.35">
      <c r="A691" s="1" t="s">
        <v>1239</v>
      </c>
      <c r="B691" s="2">
        <v>46144</v>
      </c>
      <c r="C691" s="1" t="s">
        <v>519</v>
      </c>
      <c r="D691" s="1" t="s">
        <v>15</v>
      </c>
      <c r="E691" s="1" t="s">
        <v>27</v>
      </c>
      <c r="F691" s="1" t="s">
        <v>24</v>
      </c>
      <c r="G691" s="3">
        <v>0.70138888888888884</v>
      </c>
      <c r="H691" s="1"/>
      <c r="I691" s="1"/>
      <c r="J691" s="1"/>
      <c r="K691" s="1" t="s">
        <v>129</v>
      </c>
      <c r="L691" s="1" t="s">
        <v>254</v>
      </c>
      <c r="M691" s="1">
        <v>1232</v>
      </c>
    </row>
    <row r="692" spans="1:13" x14ac:dyDescent="0.35">
      <c r="A692" s="1" t="s">
        <v>1240</v>
      </c>
      <c r="B692" s="2">
        <v>46144</v>
      </c>
      <c r="C692" s="1" t="s">
        <v>791</v>
      </c>
      <c r="D692" s="1" t="s">
        <v>23</v>
      </c>
      <c r="E692" s="1" t="s">
        <v>15</v>
      </c>
      <c r="F692" s="1" t="s">
        <v>28</v>
      </c>
      <c r="G692" s="3">
        <v>0.83680555555555558</v>
      </c>
      <c r="H692" s="3">
        <v>0.83680555555555558</v>
      </c>
      <c r="I692" s="1">
        <v>0</v>
      </c>
      <c r="J692" s="1">
        <v>-9</v>
      </c>
      <c r="K692" s="1" t="s">
        <v>18</v>
      </c>
      <c r="L692" s="1" t="s">
        <v>19</v>
      </c>
      <c r="M692" s="1">
        <v>861</v>
      </c>
    </row>
    <row r="693" spans="1:13" x14ac:dyDescent="0.35">
      <c r="A693" s="1" t="s">
        <v>1241</v>
      </c>
      <c r="B693" s="2">
        <v>46145</v>
      </c>
      <c r="C693" s="1" t="s">
        <v>1242</v>
      </c>
      <c r="D693" s="1" t="s">
        <v>31</v>
      </c>
      <c r="E693" s="1" t="s">
        <v>16</v>
      </c>
      <c r="F693" s="1" t="s">
        <v>38</v>
      </c>
      <c r="G693" s="3">
        <v>0.45833333333333331</v>
      </c>
      <c r="H693" s="3">
        <v>0.50972222222222219</v>
      </c>
      <c r="I693" s="1">
        <v>74</v>
      </c>
      <c r="J693" s="1">
        <v>72</v>
      </c>
      <c r="K693" s="1" t="s">
        <v>149</v>
      </c>
      <c r="L693" s="1" t="s">
        <v>19</v>
      </c>
      <c r="M693" s="1">
        <v>1511</v>
      </c>
    </row>
    <row r="694" spans="1:13" x14ac:dyDescent="0.35">
      <c r="A694" s="1" t="s">
        <v>1241</v>
      </c>
      <c r="B694" s="2">
        <v>46145</v>
      </c>
      <c r="C694" s="1" t="s">
        <v>1242</v>
      </c>
      <c r="D694" s="1" t="s">
        <v>31</v>
      </c>
      <c r="E694" s="1" t="s">
        <v>16</v>
      </c>
      <c r="F694" s="1" t="s">
        <v>38</v>
      </c>
      <c r="G694" s="3">
        <v>0.45833333333333331</v>
      </c>
      <c r="H694" s="3">
        <v>0.50972222222222219</v>
      </c>
      <c r="I694" s="1">
        <v>74</v>
      </c>
      <c r="J694" s="1">
        <v>72</v>
      </c>
      <c r="K694" s="1" t="s">
        <v>149</v>
      </c>
      <c r="L694" s="1" t="s">
        <v>19</v>
      </c>
      <c r="M694" s="1">
        <v>1511</v>
      </c>
    </row>
    <row r="695" spans="1:13" x14ac:dyDescent="0.35">
      <c r="A695" s="1" t="s">
        <v>1243</v>
      </c>
      <c r="B695" s="2">
        <v>46145</v>
      </c>
      <c r="C695" s="1" t="s">
        <v>357</v>
      </c>
      <c r="D695" s="1" t="s">
        <v>50</v>
      </c>
      <c r="E695" s="1" t="s">
        <v>16</v>
      </c>
      <c r="F695" s="1" t="s">
        <v>28</v>
      </c>
      <c r="G695" s="3">
        <v>0.47569444444444442</v>
      </c>
      <c r="H695" s="3">
        <v>0.47708333333333341</v>
      </c>
      <c r="I695" s="1">
        <v>2</v>
      </c>
      <c r="J695" s="1">
        <v>4</v>
      </c>
      <c r="K695" s="1" t="s">
        <v>18</v>
      </c>
      <c r="L695" s="1" t="s">
        <v>19</v>
      </c>
      <c r="M695" s="1">
        <v>606</v>
      </c>
    </row>
    <row r="696" spans="1:13" x14ac:dyDescent="0.35">
      <c r="A696" s="1" t="s">
        <v>1244</v>
      </c>
      <c r="B696" s="2">
        <v>46145</v>
      </c>
      <c r="C696" s="1" t="s">
        <v>746</v>
      </c>
      <c r="D696" s="1" t="s">
        <v>50</v>
      </c>
      <c r="E696" s="1" t="s">
        <v>41</v>
      </c>
      <c r="F696" s="1" t="s">
        <v>17</v>
      </c>
      <c r="G696" s="3">
        <v>0.58333333333333337</v>
      </c>
      <c r="H696" s="3">
        <v>0.63541666666666663</v>
      </c>
      <c r="I696" s="1">
        <v>75</v>
      </c>
      <c r="J696" s="1">
        <v>63</v>
      </c>
      <c r="K696" s="1" t="s">
        <v>54</v>
      </c>
      <c r="L696" s="1" t="s">
        <v>19</v>
      </c>
      <c r="M696" s="1">
        <v>596</v>
      </c>
    </row>
    <row r="697" spans="1:13" x14ac:dyDescent="0.35">
      <c r="A697" s="1" t="s">
        <v>1245</v>
      </c>
      <c r="B697" s="2">
        <v>46145</v>
      </c>
      <c r="C697" s="1" t="s">
        <v>794</v>
      </c>
      <c r="D697" s="1" t="s">
        <v>44</v>
      </c>
      <c r="E697" s="1" t="s">
        <v>50</v>
      </c>
      <c r="F697" s="1" t="s">
        <v>17</v>
      </c>
      <c r="G697" s="3">
        <v>0.69097222222222221</v>
      </c>
      <c r="H697" s="3">
        <v>0.68819444444444444</v>
      </c>
      <c r="I697" s="1">
        <v>-4</v>
      </c>
      <c r="J697" s="1">
        <v>6</v>
      </c>
      <c r="K697" s="1" t="s">
        <v>18</v>
      </c>
      <c r="L697" s="1" t="s">
        <v>19</v>
      </c>
      <c r="M697" s="1">
        <v>945</v>
      </c>
    </row>
    <row r="698" spans="1:13" x14ac:dyDescent="0.35">
      <c r="A698" s="1" t="s">
        <v>1246</v>
      </c>
      <c r="B698" s="2">
        <v>46146</v>
      </c>
      <c r="C698" s="1" t="s">
        <v>773</v>
      </c>
      <c r="D698" s="1" t="s">
        <v>23</v>
      </c>
      <c r="E698" s="1" t="s">
        <v>41</v>
      </c>
      <c r="F698" s="1" t="s">
        <v>24</v>
      </c>
      <c r="G698" s="3">
        <v>0.25347222222222221</v>
      </c>
      <c r="H698" s="3">
        <v>0.25138888888888888</v>
      </c>
      <c r="I698" s="1">
        <v>-3</v>
      </c>
      <c r="J698" s="1">
        <v>7</v>
      </c>
      <c r="K698" s="1" t="s">
        <v>18</v>
      </c>
      <c r="L698" s="1" t="s">
        <v>19</v>
      </c>
      <c r="M698" s="1">
        <v>1708</v>
      </c>
    </row>
    <row r="699" spans="1:13" x14ac:dyDescent="0.35">
      <c r="A699" s="1" t="s">
        <v>1247</v>
      </c>
      <c r="B699" s="2">
        <v>46146</v>
      </c>
      <c r="C699" s="1" t="s">
        <v>282</v>
      </c>
      <c r="D699" s="1" t="s">
        <v>41</v>
      </c>
      <c r="E699" s="1" t="s">
        <v>27</v>
      </c>
      <c r="F699" s="1" t="s">
        <v>24</v>
      </c>
      <c r="G699" s="3">
        <v>0.2951388888888889</v>
      </c>
      <c r="H699" s="3">
        <v>0.29652777777777778</v>
      </c>
      <c r="I699" s="1">
        <v>2</v>
      </c>
      <c r="J699" s="1">
        <v>8</v>
      </c>
      <c r="K699" s="1" t="s">
        <v>18</v>
      </c>
      <c r="L699" s="1" t="s">
        <v>19</v>
      </c>
      <c r="M699" s="1">
        <v>1120</v>
      </c>
    </row>
    <row r="700" spans="1:13" x14ac:dyDescent="0.35">
      <c r="A700" s="1" t="s">
        <v>1248</v>
      </c>
      <c r="B700" s="2">
        <v>46147</v>
      </c>
      <c r="C700" s="1" t="s">
        <v>986</v>
      </c>
      <c r="D700" s="1" t="s">
        <v>23</v>
      </c>
      <c r="E700" s="1" t="s">
        <v>22</v>
      </c>
      <c r="F700" s="1" t="s">
        <v>17</v>
      </c>
      <c r="G700" s="3">
        <v>0.24305555555555561</v>
      </c>
      <c r="H700" s="3">
        <v>0.25138888888888888</v>
      </c>
      <c r="I700" s="1">
        <v>12</v>
      </c>
      <c r="J700" s="1">
        <v>1</v>
      </c>
      <c r="K700" s="1" t="s">
        <v>18</v>
      </c>
      <c r="L700" s="1" t="s">
        <v>19</v>
      </c>
      <c r="M700" s="1">
        <v>1622</v>
      </c>
    </row>
    <row r="701" spans="1:13" x14ac:dyDescent="0.35">
      <c r="A701" s="1" t="s">
        <v>1249</v>
      </c>
      <c r="B701" s="2">
        <v>46147</v>
      </c>
      <c r="C701" s="1" t="s">
        <v>1250</v>
      </c>
      <c r="D701" s="1" t="s">
        <v>50</v>
      </c>
      <c r="E701" s="1" t="s">
        <v>22</v>
      </c>
      <c r="F701" s="1" t="s">
        <v>38</v>
      </c>
      <c r="G701" s="3">
        <v>0.71527777777777779</v>
      </c>
      <c r="H701" s="3">
        <v>0.81180555555555556</v>
      </c>
      <c r="I701" s="1">
        <v>139</v>
      </c>
      <c r="J701" s="1">
        <v>124</v>
      </c>
      <c r="K701" s="1" t="s">
        <v>263</v>
      </c>
      <c r="L701" s="1" t="s">
        <v>19</v>
      </c>
      <c r="M701" s="1">
        <v>759</v>
      </c>
    </row>
    <row r="702" spans="1:13" x14ac:dyDescent="0.35">
      <c r="A702" s="1" t="s">
        <v>1251</v>
      </c>
      <c r="B702" s="2">
        <v>46147</v>
      </c>
      <c r="C702" s="1" t="s">
        <v>1252</v>
      </c>
      <c r="D702" s="1" t="s">
        <v>27</v>
      </c>
      <c r="E702" s="1" t="s">
        <v>22</v>
      </c>
      <c r="F702" s="1" t="s">
        <v>17</v>
      </c>
      <c r="G702" s="3">
        <v>0.78472222222222221</v>
      </c>
      <c r="H702" s="3">
        <v>0.78888888888888886</v>
      </c>
      <c r="I702" s="1">
        <v>6</v>
      </c>
      <c r="J702" s="1">
        <v>3</v>
      </c>
      <c r="K702" s="1" t="s">
        <v>18</v>
      </c>
      <c r="L702" s="1" t="s">
        <v>19</v>
      </c>
      <c r="M702" s="1">
        <v>1389</v>
      </c>
    </row>
    <row r="703" spans="1:13" x14ac:dyDescent="0.35">
      <c r="A703" s="1" t="s">
        <v>1253</v>
      </c>
      <c r="B703" s="2">
        <v>46148</v>
      </c>
      <c r="C703" s="1" t="s">
        <v>913</v>
      </c>
      <c r="D703" s="1" t="s">
        <v>16</v>
      </c>
      <c r="E703" s="1" t="s">
        <v>50</v>
      </c>
      <c r="F703" s="1" t="s">
        <v>24</v>
      </c>
      <c r="G703" s="3">
        <v>0.3263888888888889</v>
      </c>
      <c r="H703" s="3">
        <v>0.36249999999999999</v>
      </c>
      <c r="I703" s="1">
        <v>52</v>
      </c>
      <c r="J703" s="1">
        <v>41</v>
      </c>
      <c r="K703" s="1" t="s">
        <v>54</v>
      </c>
      <c r="L703" s="1" t="s">
        <v>19</v>
      </c>
      <c r="M703" s="1">
        <v>606</v>
      </c>
    </row>
    <row r="704" spans="1:13" x14ac:dyDescent="0.35">
      <c r="A704" s="1" t="s">
        <v>1254</v>
      </c>
      <c r="B704" s="2">
        <v>46148</v>
      </c>
      <c r="C704" s="1" t="s">
        <v>577</v>
      </c>
      <c r="D704" s="1" t="s">
        <v>47</v>
      </c>
      <c r="E704" s="1" t="s">
        <v>22</v>
      </c>
      <c r="F704" s="1" t="s">
        <v>24</v>
      </c>
      <c r="G704" s="3">
        <v>0.51736111111111116</v>
      </c>
      <c r="H704" s="1"/>
      <c r="I704" s="1">
        <v>28</v>
      </c>
      <c r="J704" s="1">
        <v>32</v>
      </c>
      <c r="K704" s="1" t="s">
        <v>174</v>
      </c>
      <c r="L704" s="1" t="s">
        <v>19</v>
      </c>
      <c r="M704" s="1">
        <v>2580</v>
      </c>
    </row>
    <row r="705" spans="1:13" x14ac:dyDescent="0.35">
      <c r="A705" s="1" t="s">
        <v>1255</v>
      </c>
      <c r="B705" s="2">
        <v>46148</v>
      </c>
      <c r="C705" s="1" t="s">
        <v>1113</v>
      </c>
      <c r="D705" s="1" t="s">
        <v>23</v>
      </c>
      <c r="E705" s="1" t="s">
        <v>15</v>
      </c>
      <c r="F705" s="1" t="s">
        <v>17</v>
      </c>
      <c r="G705" s="3">
        <v>0.61111111111111116</v>
      </c>
      <c r="H705" s="3">
        <v>0.60972222222222228</v>
      </c>
      <c r="I705" s="1">
        <v>-2</v>
      </c>
      <c r="J705" s="1">
        <v>-12</v>
      </c>
      <c r="K705" s="1" t="s">
        <v>18</v>
      </c>
      <c r="L705" s="1" t="s">
        <v>19</v>
      </c>
      <c r="M705" s="1">
        <v>861</v>
      </c>
    </row>
    <row r="706" spans="1:13" x14ac:dyDescent="0.35">
      <c r="A706" s="1" t="s">
        <v>1256</v>
      </c>
      <c r="B706" s="2">
        <v>46148</v>
      </c>
      <c r="C706" s="1" t="s">
        <v>1257</v>
      </c>
      <c r="D706" s="1" t="s">
        <v>27</v>
      </c>
      <c r="E706" s="1" t="s">
        <v>50</v>
      </c>
      <c r="F706" s="1" t="s">
        <v>17</v>
      </c>
      <c r="G706" s="3">
        <v>0.63888888888888884</v>
      </c>
      <c r="H706" s="3">
        <v>0.66597222222222219</v>
      </c>
      <c r="I706" s="1">
        <v>39</v>
      </c>
      <c r="J706" s="1"/>
      <c r="K706" s="1" t="s">
        <v>60</v>
      </c>
      <c r="L706" s="1" t="s">
        <v>19</v>
      </c>
      <c r="M706" s="1">
        <v>730</v>
      </c>
    </row>
    <row r="707" spans="1:13" x14ac:dyDescent="0.35">
      <c r="A707" s="1" t="s">
        <v>1258</v>
      </c>
      <c r="B707" s="2">
        <v>46149</v>
      </c>
      <c r="C707" s="1" t="s">
        <v>1259</v>
      </c>
      <c r="D707" s="1" t="s">
        <v>78</v>
      </c>
      <c r="E707" s="1" t="s">
        <v>31</v>
      </c>
      <c r="F707" s="1" t="s">
        <v>24</v>
      </c>
      <c r="G707" s="3">
        <v>0.31944444444444442</v>
      </c>
      <c r="H707" s="3">
        <v>0.32500000000000001</v>
      </c>
      <c r="I707" s="1">
        <v>8</v>
      </c>
      <c r="J707" s="1">
        <v>5</v>
      </c>
      <c r="K707" s="1" t="s">
        <v>18</v>
      </c>
      <c r="L707" s="1" t="s">
        <v>19</v>
      </c>
      <c r="M707" s="1">
        <v>256</v>
      </c>
    </row>
    <row r="708" spans="1:13" x14ac:dyDescent="0.35">
      <c r="A708" s="1" t="s">
        <v>1260</v>
      </c>
      <c r="B708" s="2">
        <v>46149</v>
      </c>
      <c r="C708" s="1" t="s">
        <v>1261</v>
      </c>
      <c r="D708" s="1" t="s">
        <v>15</v>
      </c>
      <c r="E708" s="1" t="s">
        <v>23</v>
      </c>
      <c r="F708" s="1" t="s">
        <v>38</v>
      </c>
      <c r="G708" s="3">
        <v>0.36805555555555558</v>
      </c>
      <c r="H708" s="3">
        <v>0.36319444444444438</v>
      </c>
      <c r="I708" s="1">
        <v>-7</v>
      </c>
      <c r="J708" s="1">
        <v>-3</v>
      </c>
      <c r="K708" s="1"/>
      <c r="L708" s="1" t="s">
        <v>19</v>
      </c>
      <c r="M708" s="1">
        <v>861</v>
      </c>
    </row>
    <row r="709" spans="1:13" x14ac:dyDescent="0.35">
      <c r="A709" s="1" t="s">
        <v>1262</v>
      </c>
      <c r="B709" s="2">
        <v>46149</v>
      </c>
      <c r="C709" s="1" t="s">
        <v>770</v>
      </c>
      <c r="D709" s="1" t="s">
        <v>51</v>
      </c>
      <c r="E709" s="1" t="s">
        <v>23</v>
      </c>
      <c r="F709" s="1" t="s">
        <v>17</v>
      </c>
      <c r="G709" s="3">
        <v>0.64236111111111116</v>
      </c>
      <c r="H709" s="3">
        <v>0.64166666666666672</v>
      </c>
      <c r="I709" s="1">
        <v>-1</v>
      </c>
      <c r="J709" s="1">
        <v>-9</v>
      </c>
      <c r="K709" s="1" t="s">
        <v>18</v>
      </c>
      <c r="L709" s="1" t="s">
        <v>19</v>
      </c>
      <c r="M709" s="1">
        <v>641</v>
      </c>
    </row>
    <row r="710" spans="1:13" x14ac:dyDescent="0.35">
      <c r="A710" s="1" t="s">
        <v>1263</v>
      </c>
      <c r="B710" s="2">
        <v>46149</v>
      </c>
      <c r="C710" s="1" t="s">
        <v>422</v>
      </c>
      <c r="D710" s="1" t="s">
        <v>41</v>
      </c>
      <c r="E710" s="1" t="s">
        <v>16</v>
      </c>
      <c r="F710" s="1" t="s">
        <v>38</v>
      </c>
      <c r="G710" s="3">
        <v>0.65277777777777779</v>
      </c>
      <c r="H710" s="3">
        <v>0.66111111111111109</v>
      </c>
      <c r="I710" s="1">
        <v>12</v>
      </c>
      <c r="J710" s="1">
        <v>5</v>
      </c>
      <c r="K710" s="1" t="s">
        <v>18</v>
      </c>
      <c r="L710" s="1" t="s">
        <v>19</v>
      </c>
      <c r="M710" s="1">
        <v>1199</v>
      </c>
    </row>
    <row r="711" spans="1:13" x14ac:dyDescent="0.35">
      <c r="A711" s="1" t="s">
        <v>1264</v>
      </c>
      <c r="B711" s="2">
        <v>46150</v>
      </c>
      <c r="C711" s="1" t="s">
        <v>1225</v>
      </c>
      <c r="D711" s="1" t="s">
        <v>47</v>
      </c>
      <c r="E711" s="1" t="s">
        <v>23</v>
      </c>
      <c r="F711" s="1" t="s">
        <v>17</v>
      </c>
      <c r="G711" s="3">
        <v>0.59027777777777779</v>
      </c>
      <c r="H711" s="3">
        <v>0.58680555555555558</v>
      </c>
      <c r="I711" s="1">
        <v>-5</v>
      </c>
      <c r="J711" s="1">
        <v>-4</v>
      </c>
      <c r="K711" s="1" t="s">
        <v>18</v>
      </c>
      <c r="L711" s="1" t="s">
        <v>19</v>
      </c>
      <c r="M711" s="1">
        <v>965</v>
      </c>
    </row>
    <row r="712" spans="1:13" x14ac:dyDescent="0.35">
      <c r="A712" s="1" t="s">
        <v>1265</v>
      </c>
      <c r="B712" s="2">
        <v>46150</v>
      </c>
      <c r="C712" s="1" t="s">
        <v>835</v>
      </c>
      <c r="D712" s="1" t="s">
        <v>47</v>
      </c>
      <c r="E712" s="1" t="s">
        <v>50</v>
      </c>
      <c r="F712" s="1" t="s">
        <v>17</v>
      </c>
      <c r="G712" s="3">
        <v>0.67013888888888884</v>
      </c>
      <c r="H712" s="3">
        <v>0.6645833333333333</v>
      </c>
      <c r="I712" s="1">
        <v>-8</v>
      </c>
      <c r="J712" s="1">
        <v>1</v>
      </c>
      <c r="K712" s="1"/>
      <c r="L712" s="1" t="s">
        <v>19</v>
      </c>
      <c r="M712" s="1">
        <v>2134</v>
      </c>
    </row>
    <row r="713" spans="1:13" x14ac:dyDescent="0.35">
      <c r="A713" s="1" t="s">
        <v>1266</v>
      </c>
      <c r="B713" s="2">
        <v>46151</v>
      </c>
      <c r="C713" s="1" t="s">
        <v>670</v>
      </c>
      <c r="D713" s="1" t="s">
        <v>328</v>
      </c>
      <c r="E713" s="1" t="s">
        <v>27</v>
      </c>
      <c r="F713" s="1" t="s">
        <v>17</v>
      </c>
      <c r="G713" s="3">
        <v>0.42708333333333331</v>
      </c>
      <c r="H713" s="3">
        <v>0.43402777777777779</v>
      </c>
      <c r="I713" s="1">
        <v>10</v>
      </c>
      <c r="J713" s="1">
        <v>13</v>
      </c>
      <c r="K713" s="1" t="s">
        <v>18</v>
      </c>
      <c r="L713" s="1" t="s">
        <v>19</v>
      </c>
      <c r="M713" s="1">
        <v>1389</v>
      </c>
    </row>
    <row r="714" spans="1:13" x14ac:dyDescent="0.35">
      <c r="A714" s="1" t="s">
        <v>1267</v>
      </c>
      <c r="B714" s="2">
        <v>46151</v>
      </c>
      <c r="C714" s="1" t="s">
        <v>665</v>
      </c>
      <c r="D714" s="1" t="s">
        <v>44</v>
      </c>
      <c r="E714" s="1" t="s">
        <v>27</v>
      </c>
      <c r="F714" s="1" t="s">
        <v>17</v>
      </c>
      <c r="G714" s="3">
        <v>0.61111111111111116</v>
      </c>
      <c r="H714" s="3">
        <v>0.60763888888888884</v>
      </c>
      <c r="I714" s="1">
        <v>-5</v>
      </c>
      <c r="J714" s="1">
        <v>2</v>
      </c>
      <c r="K714" s="1" t="s">
        <v>18</v>
      </c>
      <c r="L714" s="1" t="s">
        <v>19</v>
      </c>
      <c r="M714" s="1">
        <v>1559</v>
      </c>
    </row>
    <row r="715" spans="1:13" x14ac:dyDescent="0.35">
      <c r="A715" s="1" t="s">
        <v>1268</v>
      </c>
      <c r="B715" s="2">
        <v>46151</v>
      </c>
      <c r="C715" s="1" t="s">
        <v>859</v>
      </c>
      <c r="D715" s="1" t="s">
        <v>41</v>
      </c>
      <c r="E715" s="1" t="s">
        <v>27</v>
      </c>
      <c r="F715" s="1" t="s">
        <v>17</v>
      </c>
      <c r="G715" s="3">
        <v>0.70833333333333337</v>
      </c>
      <c r="H715" s="3">
        <v>0.73541666666666672</v>
      </c>
      <c r="I715" s="1">
        <v>39</v>
      </c>
      <c r="J715" s="1">
        <v>41</v>
      </c>
      <c r="K715" s="1" t="s">
        <v>54</v>
      </c>
      <c r="L715" s="1" t="s">
        <v>19</v>
      </c>
      <c r="M715" s="1">
        <v>1120</v>
      </c>
    </row>
    <row r="716" spans="1:13" x14ac:dyDescent="0.35">
      <c r="A716" s="1" t="s">
        <v>1269</v>
      </c>
      <c r="B716" s="2">
        <v>46152</v>
      </c>
      <c r="C716" s="1" t="s">
        <v>889</v>
      </c>
      <c r="D716" s="1" t="s">
        <v>44</v>
      </c>
      <c r="E716" s="1" t="s">
        <v>47</v>
      </c>
      <c r="F716" s="1" t="s">
        <v>24</v>
      </c>
      <c r="G716" s="3">
        <v>0.30208333333333331</v>
      </c>
      <c r="H716" s="3">
        <v>0.29722222222222222</v>
      </c>
      <c r="I716" s="1">
        <v>-7</v>
      </c>
      <c r="J716" s="1">
        <v>-14</v>
      </c>
      <c r="K716" s="1"/>
      <c r="L716" s="1" t="s">
        <v>19</v>
      </c>
      <c r="M716" s="1">
        <v>2698</v>
      </c>
    </row>
    <row r="717" spans="1:13" x14ac:dyDescent="0.35">
      <c r="A717" s="1" t="s">
        <v>1270</v>
      </c>
      <c r="B717" s="2">
        <v>46152</v>
      </c>
      <c r="C717" s="1" t="s">
        <v>355</v>
      </c>
      <c r="D717" s="1" t="s">
        <v>16</v>
      </c>
      <c r="E717" s="1" t="s">
        <v>44</v>
      </c>
      <c r="F717" s="1" t="s">
        <v>38</v>
      </c>
      <c r="G717" s="3">
        <v>0.40972222222222221</v>
      </c>
      <c r="H717" s="3">
        <v>0.40694444444444439</v>
      </c>
      <c r="I717" s="1">
        <v>-4</v>
      </c>
      <c r="J717" s="1">
        <v>-6</v>
      </c>
      <c r="K717" s="1" t="s">
        <v>18</v>
      </c>
      <c r="L717" s="1" t="s">
        <v>19</v>
      </c>
      <c r="M717" s="1">
        <v>864</v>
      </c>
    </row>
    <row r="718" spans="1:13" x14ac:dyDescent="0.35">
      <c r="A718" s="1" t="s">
        <v>1271</v>
      </c>
      <c r="B718" s="2">
        <v>46152</v>
      </c>
      <c r="C718" s="1" t="s">
        <v>1272</v>
      </c>
      <c r="D718" s="1" t="s">
        <v>214</v>
      </c>
      <c r="E718" s="1" t="s">
        <v>27</v>
      </c>
      <c r="F718" s="1" t="s">
        <v>17</v>
      </c>
      <c r="G718" s="3">
        <v>0.63888888888888884</v>
      </c>
      <c r="H718" s="3">
        <v>0.66319444444444442</v>
      </c>
      <c r="I718" s="1">
        <v>35</v>
      </c>
      <c r="J718" s="1">
        <v>36</v>
      </c>
      <c r="K718" s="1" t="s">
        <v>60</v>
      </c>
      <c r="L718" s="1" t="s">
        <v>19</v>
      </c>
      <c r="M718" s="1">
        <v>641</v>
      </c>
    </row>
    <row r="719" spans="1:13" x14ac:dyDescent="0.35">
      <c r="A719" s="1" t="s">
        <v>1273</v>
      </c>
      <c r="B719" s="2">
        <v>46153</v>
      </c>
      <c r="C719" s="1" t="s">
        <v>1274</v>
      </c>
      <c r="D719" s="1" t="s">
        <v>22</v>
      </c>
      <c r="E719" s="1" t="s">
        <v>15</v>
      </c>
      <c r="F719" s="1" t="s">
        <v>24</v>
      </c>
      <c r="G719" s="3">
        <v>0.29166666666666669</v>
      </c>
      <c r="H719" s="3">
        <v>0.31180555555555561</v>
      </c>
      <c r="I719" s="1">
        <v>29</v>
      </c>
      <c r="J719" s="1">
        <v>32</v>
      </c>
      <c r="K719" s="1" t="s">
        <v>54</v>
      </c>
      <c r="L719" s="1" t="s">
        <v>19</v>
      </c>
      <c r="M719" s="1">
        <v>2470</v>
      </c>
    </row>
    <row r="720" spans="1:13" x14ac:dyDescent="0.35">
      <c r="A720" s="1" t="s">
        <v>1275</v>
      </c>
      <c r="B720" s="2">
        <v>46153</v>
      </c>
      <c r="C720" s="1" t="s">
        <v>454</v>
      </c>
      <c r="D720" s="1" t="s">
        <v>15</v>
      </c>
      <c r="E720" s="1" t="s">
        <v>50</v>
      </c>
      <c r="F720" s="1" t="s">
        <v>17</v>
      </c>
      <c r="G720" s="3">
        <v>0.61111111111111116</v>
      </c>
      <c r="H720" s="3">
        <v>0.6069444444444444</v>
      </c>
      <c r="I720" s="1">
        <v>-6</v>
      </c>
      <c r="J720" s="1">
        <v>-11</v>
      </c>
      <c r="K720" s="1" t="s">
        <v>18</v>
      </c>
      <c r="L720" s="1" t="s">
        <v>19</v>
      </c>
      <c r="M720" s="1">
        <v>1942</v>
      </c>
    </row>
    <row r="721" spans="1:13" x14ac:dyDescent="0.35">
      <c r="A721" s="1" t="s">
        <v>1276</v>
      </c>
      <c r="B721" s="2">
        <v>46154</v>
      </c>
      <c r="C721" s="1" t="s">
        <v>723</v>
      </c>
      <c r="D721" s="1" t="s">
        <v>41</v>
      </c>
      <c r="E721" s="1" t="s">
        <v>78</v>
      </c>
      <c r="F721" s="1" t="s">
        <v>17</v>
      </c>
      <c r="G721" s="3">
        <v>0.43055555555555558</v>
      </c>
      <c r="H721" s="3">
        <v>0.42916666666666659</v>
      </c>
      <c r="I721" s="1">
        <v>-2</v>
      </c>
      <c r="J721" s="1">
        <v>-8</v>
      </c>
      <c r="K721" s="1" t="s">
        <v>18</v>
      </c>
      <c r="L721" s="1" t="s">
        <v>19</v>
      </c>
      <c r="M721" s="1">
        <v>1969</v>
      </c>
    </row>
    <row r="722" spans="1:13" x14ac:dyDescent="0.35">
      <c r="A722" s="1" t="s">
        <v>1277</v>
      </c>
      <c r="B722" s="2">
        <v>46154</v>
      </c>
      <c r="C722" s="1" t="s">
        <v>1278</v>
      </c>
      <c r="D722" s="1" t="s">
        <v>41</v>
      </c>
      <c r="E722" s="1" t="s">
        <v>78</v>
      </c>
      <c r="F722" s="1" t="s">
        <v>24</v>
      </c>
      <c r="G722" s="3">
        <v>0.64583333333333337</v>
      </c>
      <c r="H722" s="1"/>
      <c r="I722" s="1">
        <v>-2</v>
      </c>
      <c r="J722" s="1">
        <v>-4</v>
      </c>
      <c r="K722" s="1" t="s">
        <v>18</v>
      </c>
      <c r="L722" s="1" t="s">
        <v>19</v>
      </c>
      <c r="M722" s="1">
        <v>1969</v>
      </c>
    </row>
    <row r="723" spans="1:13" x14ac:dyDescent="0.35">
      <c r="A723" s="1" t="s">
        <v>1279</v>
      </c>
      <c r="B723" s="2">
        <v>46155</v>
      </c>
      <c r="C723" s="1" t="s">
        <v>146</v>
      </c>
      <c r="D723" s="1" t="s">
        <v>37</v>
      </c>
      <c r="E723" s="1" t="s">
        <v>44</v>
      </c>
      <c r="F723" s="1" t="s">
        <v>17</v>
      </c>
      <c r="G723" s="3">
        <v>0.53472222222222221</v>
      </c>
      <c r="H723" s="3">
        <v>0.55625000000000002</v>
      </c>
      <c r="I723" s="1">
        <v>31</v>
      </c>
      <c r="J723" s="1">
        <v>26</v>
      </c>
      <c r="K723" s="1" t="s">
        <v>617</v>
      </c>
      <c r="L723" s="1" t="s">
        <v>19</v>
      </c>
      <c r="M723" s="1">
        <v>2489</v>
      </c>
    </row>
    <row r="724" spans="1:13" x14ac:dyDescent="0.35">
      <c r="A724" s="1" t="s">
        <v>1280</v>
      </c>
      <c r="B724" s="2">
        <v>46155</v>
      </c>
      <c r="C724" s="1" t="s">
        <v>768</v>
      </c>
      <c r="D724" s="1" t="s">
        <v>23</v>
      </c>
      <c r="E724" s="1" t="s">
        <v>37</v>
      </c>
      <c r="F724" s="1" t="s">
        <v>24</v>
      </c>
      <c r="G724" s="3">
        <v>0.73958333333333337</v>
      </c>
      <c r="H724" s="3">
        <v>0.74652777777777779</v>
      </c>
      <c r="I724" s="1">
        <v>10</v>
      </c>
      <c r="J724" s="1">
        <v>10</v>
      </c>
      <c r="K724" s="1" t="s">
        <v>18</v>
      </c>
      <c r="L724" s="1" t="s">
        <v>19</v>
      </c>
      <c r="M724" s="1">
        <v>1023</v>
      </c>
    </row>
    <row r="725" spans="1:13" x14ac:dyDescent="0.35">
      <c r="A725" s="1" t="s">
        <v>1281</v>
      </c>
      <c r="B725" s="2">
        <v>46155</v>
      </c>
      <c r="C725" s="1" t="s">
        <v>1060</v>
      </c>
      <c r="D725" s="1" t="s">
        <v>23</v>
      </c>
      <c r="E725" s="1" t="s">
        <v>22</v>
      </c>
      <c r="F725" s="1" t="s">
        <v>38</v>
      </c>
      <c r="G725" s="3">
        <v>0.74652777777777779</v>
      </c>
      <c r="H725" s="3">
        <v>0.75277777777777777</v>
      </c>
      <c r="I725" s="1">
        <v>9</v>
      </c>
      <c r="J725" s="1">
        <v>15</v>
      </c>
      <c r="K725" s="1" t="s">
        <v>18</v>
      </c>
      <c r="L725" s="1" t="s">
        <v>19</v>
      </c>
      <c r="M725" s="1">
        <v>1622</v>
      </c>
    </row>
    <row r="726" spans="1:13" x14ac:dyDescent="0.35">
      <c r="A726" s="1" t="s">
        <v>1282</v>
      </c>
      <c r="B726" s="2">
        <v>46156</v>
      </c>
      <c r="C726" s="1" t="s">
        <v>1283</v>
      </c>
      <c r="D726" s="1" t="s">
        <v>16</v>
      </c>
      <c r="E726" s="1" t="s">
        <v>31</v>
      </c>
      <c r="F726" s="1" t="s">
        <v>28</v>
      </c>
      <c r="G726" s="3">
        <v>0.39583333333333331</v>
      </c>
      <c r="H726" s="3">
        <v>0.39791666666666659</v>
      </c>
      <c r="I726" s="1">
        <v>3</v>
      </c>
      <c r="J726" s="1">
        <v>-5</v>
      </c>
      <c r="K726" s="1" t="s">
        <v>18</v>
      </c>
      <c r="L726" s="1" t="s">
        <v>19</v>
      </c>
      <c r="M726" s="1">
        <v>1511</v>
      </c>
    </row>
    <row r="727" spans="1:13" x14ac:dyDescent="0.35">
      <c r="A727" s="1" t="s">
        <v>1284</v>
      </c>
      <c r="B727" s="2">
        <v>46157</v>
      </c>
      <c r="C727" s="1" t="s">
        <v>1285</v>
      </c>
      <c r="D727" s="1" t="s">
        <v>27</v>
      </c>
      <c r="E727" s="1" t="s">
        <v>47</v>
      </c>
      <c r="F727" s="1" t="s">
        <v>28</v>
      </c>
      <c r="G727" s="3">
        <v>0.5625</v>
      </c>
      <c r="H727" s="3">
        <v>0.56111111111111112</v>
      </c>
      <c r="I727" s="1">
        <v>-2</v>
      </c>
      <c r="J727" s="1">
        <v>0</v>
      </c>
      <c r="K727" s="1" t="s">
        <v>18</v>
      </c>
      <c r="L727" s="1" t="s">
        <v>19</v>
      </c>
      <c r="M727" s="1">
        <v>1462</v>
      </c>
    </row>
    <row r="728" spans="1:13" x14ac:dyDescent="0.35">
      <c r="A728" s="1" t="s">
        <v>1286</v>
      </c>
      <c r="B728" s="2">
        <v>46157</v>
      </c>
      <c r="C728" s="1" t="s">
        <v>1287</v>
      </c>
      <c r="D728" s="1" t="s">
        <v>27</v>
      </c>
      <c r="E728" s="1" t="s">
        <v>940</v>
      </c>
      <c r="F728" s="1" t="s">
        <v>17</v>
      </c>
      <c r="G728" s="3">
        <v>0.66319444444444442</v>
      </c>
      <c r="H728" s="3">
        <v>0.67013888888888884</v>
      </c>
      <c r="I728" s="1">
        <v>10</v>
      </c>
      <c r="J728" s="1">
        <v>7</v>
      </c>
      <c r="K728" s="1" t="s">
        <v>18</v>
      </c>
      <c r="L728" s="1" t="s">
        <v>19</v>
      </c>
      <c r="M728" s="1">
        <v>1053</v>
      </c>
    </row>
    <row r="729" spans="1:13" x14ac:dyDescent="0.35">
      <c r="A729" s="1" t="s">
        <v>1288</v>
      </c>
      <c r="B729" s="2">
        <v>46158</v>
      </c>
      <c r="C729" s="1" t="s">
        <v>171</v>
      </c>
      <c r="D729" s="1" t="s">
        <v>50</v>
      </c>
      <c r="E729" s="1" t="s">
        <v>16</v>
      </c>
      <c r="F729" s="1" t="s">
        <v>24</v>
      </c>
      <c r="G729" s="3">
        <v>0.4513888888888889</v>
      </c>
      <c r="H729" s="3">
        <v>0.45347222222222222</v>
      </c>
      <c r="I729" s="1">
        <v>3</v>
      </c>
      <c r="J729" s="1">
        <v>3</v>
      </c>
      <c r="K729" s="1" t="s">
        <v>18</v>
      </c>
      <c r="L729" s="1" t="s">
        <v>19</v>
      </c>
      <c r="M729" s="1">
        <v>606</v>
      </c>
    </row>
    <row r="730" spans="1:13" x14ac:dyDescent="0.35">
      <c r="A730" s="1" t="s">
        <v>1289</v>
      </c>
      <c r="B730" s="2">
        <v>46158</v>
      </c>
      <c r="C730" s="1" t="s">
        <v>383</v>
      </c>
      <c r="D730" s="1" t="s">
        <v>16</v>
      </c>
      <c r="E730" s="1" t="s">
        <v>37</v>
      </c>
      <c r="F730" s="1" t="s">
        <v>17</v>
      </c>
      <c r="G730" s="3">
        <v>0.67361111111111116</v>
      </c>
      <c r="H730" s="3">
        <v>0.68472222222222223</v>
      </c>
      <c r="I730" s="1">
        <v>16</v>
      </c>
      <c r="J730" s="1">
        <v>13</v>
      </c>
      <c r="K730" s="1" t="s">
        <v>98</v>
      </c>
      <c r="L730" s="1" t="s">
        <v>19</v>
      </c>
      <c r="M730" s="1">
        <v>1717</v>
      </c>
    </row>
    <row r="731" spans="1:13" x14ac:dyDescent="0.35">
      <c r="A731" s="1" t="s">
        <v>1290</v>
      </c>
      <c r="B731" s="2">
        <v>46160</v>
      </c>
      <c r="C731" s="1" t="s">
        <v>430</v>
      </c>
      <c r="D731" s="1" t="s">
        <v>44</v>
      </c>
      <c r="E731" s="1" t="s">
        <v>22</v>
      </c>
      <c r="F731" s="1" t="s">
        <v>17</v>
      </c>
      <c r="G731" s="3">
        <v>0.3923611111111111</v>
      </c>
      <c r="H731" s="3">
        <v>0.38750000000000001</v>
      </c>
      <c r="I731" s="1">
        <v>-7</v>
      </c>
      <c r="J731" s="1">
        <v>-11</v>
      </c>
      <c r="K731" s="1" t="s">
        <v>18</v>
      </c>
      <c r="L731" s="1" t="s">
        <v>19</v>
      </c>
      <c r="M731" s="1">
        <v>186</v>
      </c>
    </row>
    <row r="732" spans="1:13" x14ac:dyDescent="0.35">
      <c r="A732" s="1" t="s">
        <v>1291</v>
      </c>
      <c r="B732" s="2">
        <v>46160</v>
      </c>
      <c r="C732" s="1" t="s">
        <v>723</v>
      </c>
      <c r="D732" s="1" t="s">
        <v>22</v>
      </c>
      <c r="E732" s="1" t="s">
        <v>51</v>
      </c>
      <c r="F732" s="1" t="s">
        <v>17</v>
      </c>
      <c r="G732" s="3">
        <v>0.69444444444444442</v>
      </c>
      <c r="H732" s="3">
        <v>0.69097222222222221</v>
      </c>
      <c r="I732" s="1">
        <v>-5</v>
      </c>
      <c r="J732" s="1">
        <v>3</v>
      </c>
      <c r="K732" s="1" t="s">
        <v>18</v>
      </c>
      <c r="L732" s="1" t="s">
        <v>19</v>
      </c>
      <c r="M732" s="1">
        <v>1389</v>
      </c>
    </row>
    <row r="733" spans="1:13" x14ac:dyDescent="0.35">
      <c r="A733" s="1" t="s">
        <v>1292</v>
      </c>
      <c r="B733" s="2">
        <v>46160</v>
      </c>
      <c r="C733" s="1" t="s">
        <v>228</v>
      </c>
      <c r="D733" s="1" t="s">
        <v>418</v>
      </c>
      <c r="E733" s="1" t="s">
        <v>16</v>
      </c>
      <c r="F733" s="1" t="s">
        <v>17</v>
      </c>
      <c r="G733" s="3">
        <v>0.85416666666666663</v>
      </c>
      <c r="H733" s="3">
        <v>0.90277777777777779</v>
      </c>
      <c r="I733" s="1">
        <v>70</v>
      </c>
      <c r="J733" s="1">
        <v>61</v>
      </c>
      <c r="K733" s="1" t="s">
        <v>149</v>
      </c>
      <c r="L733" s="1" t="s">
        <v>19</v>
      </c>
      <c r="M733" s="1">
        <v>1199</v>
      </c>
    </row>
    <row r="734" spans="1:13" x14ac:dyDescent="0.35">
      <c r="A734" s="1" t="s">
        <v>1293</v>
      </c>
      <c r="B734" s="2">
        <v>46161</v>
      </c>
      <c r="C734" s="1" t="s">
        <v>1294</v>
      </c>
      <c r="D734" s="1" t="s">
        <v>1295</v>
      </c>
      <c r="E734" s="1" t="s">
        <v>27</v>
      </c>
      <c r="F734" s="1" t="s">
        <v>28</v>
      </c>
      <c r="G734" s="3">
        <v>0.35069444444444442</v>
      </c>
      <c r="H734" s="3">
        <v>0.37916666666666671</v>
      </c>
      <c r="I734" s="1">
        <v>41</v>
      </c>
      <c r="J734" s="1">
        <v>27</v>
      </c>
      <c r="K734" s="1" t="s">
        <v>60</v>
      </c>
      <c r="L734" s="1" t="s">
        <v>19</v>
      </c>
      <c r="M734" s="1">
        <v>1462</v>
      </c>
    </row>
    <row r="735" spans="1:13" x14ac:dyDescent="0.35">
      <c r="A735" s="1" t="s">
        <v>1296</v>
      </c>
      <c r="B735" s="2">
        <v>46161</v>
      </c>
      <c r="C735" s="1" t="s">
        <v>986</v>
      </c>
      <c r="D735" s="1" t="s">
        <v>47</v>
      </c>
      <c r="E735" s="1" t="s">
        <v>15</v>
      </c>
      <c r="F735" s="1" t="s">
        <v>24</v>
      </c>
      <c r="G735" s="3">
        <v>0.4236111111111111</v>
      </c>
      <c r="H735" s="3">
        <v>0.41805555555555562</v>
      </c>
      <c r="I735" s="1">
        <v>-8</v>
      </c>
      <c r="J735" s="1">
        <v>1</v>
      </c>
      <c r="K735" s="1" t="s">
        <v>18</v>
      </c>
      <c r="L735" s="1" t="s">
        <v>19</v>
      </c>
      <c r="M735" s="1">
        <v>338</v>
      </c>
    </row>
    <row r="736" spans="1:13" x14ac:dyDescent="0.35">
      <c r="A736" s="1" t="s">
        <v>1297</v>
      </c>
      <c r="B736" s="2">
        <v>46161</v>
      </c>
      <c r="C736" s="1" t="s">
        <v>412</v>
      </c>
      <c r="D736" s="1" t="s">
        <v>27</v>
      </c>
      <c r="E736" s="1" t="s">
        <v>16</v>
      </c>
      <c r="F736" s="1" t="s">
        <v>17</v>
      </c>
      <c r="G736" s="3">
        <v>0.56597222222222221</v>
      </c>
      <c r="H736" s="3">
        <v>0.56458333333333333</v>
      </c>
      <c r="I736" s="1">
        <v>-2</v>
      </c>
      <c r="J736" s="1">
        <v>6</v>
      </c>
      <c r="K736" s="1" t="s">
        <v>18</v>
      </c>
      <c r="L736" s="1" t="s">
        <v>19</v>
      </c>
      <c r="M736" s="1">
        <v>802</v>
      </c>
    </row>
    <row r="737" spans="1:13" x14ac:dyDescent="0.35">
      <c r="A737" s="1" t="s">
        <v>1298</v>
      </c>
      <c r="B737" s="2">
        <v>46162</v>
      </c>
      <c r="C737" s="1" t="s">
        <v>1299</v>
      </c>
      <c r="D737" s="1" t="s">
        <v>16</v>
      </c>
      <c r="E737" s="1" t="s">
        <v>78</v>
      </c>
      <c r="F737" s="1" t="s">
        <v>38</v>
      </c>
      <c r="G737" s="3">
        <v>0.34722222222222221</v>
      </c>
      <c r="H737" s="3">
        <v>0.37569444444444439</v>
      </c>
      <c r="I737" s="1">
        <v>41</v>
      </c>
      <c r="J737" s="1">
        <v>39</v>
      </c>
      <c r="K737" s="1" t="s">
        <v>54</v>
      </c>
      <c r="L737" s="1" t="s">
        <v>19</v>
      </c>
      <c r="M737" s="1">
        <v>1438</v>
      </c>
    </row>
    <row r="738" spans="1:13" x14ac:dyDescent="0.35">
      <c r="A738" s="1" t="s">
        <v>1300</v>
      </c>
      <c r="B738" s="2">
        <v>46162</v>
      </c>
      <c r="C738" s="1" t="s">
        <v>1301</v>
      </c>
      <c r="D738" s="1" t="s">
        <v>16</v>
      </c>
      <c r="E738" s="1" t="s">
        <v>47</v>
      </c>
      <c r="F738" s="1" t="s">
        <v>38</v>
      </c>
      <c r="G738" s="3">
        <v>0.53819444444444442</v>
      </c>
      <c r="H738" s="3">
        <v>0.54027777777777775</v>
      </c>
      <c r="I738" s="1">
        <v>3</v>
      </c>
      <c r="J738" s="1">
        <v>-5</v>
      </c>
      <c r="K738" s="1"/>
      <c r="L738" s="1" t="s">
        <v>19</v>
      </c>
      <c r="M738" s="1">
        <v>1842</v>
      </c>
    </row>
    <row r="739" spans="1:13" x14ac:dyDescent="0.35">
      <c r="A739" s="1" t="s">
        <v>1302</v>
      </c>
      <c r="B739" s="2">
        <v>46163</v>
      </c>
      <c r="C739" s="1" t="s">
        <v>1233</v>
      </c>
      <c r="D739" s="1" t="s">
        <v>226</v>
      </c>
      <c r="E739" s="1" t="s">
        <v>22</v>
      </c>
      <c r="F739" s="1" t="s">
        <v>28</v>
      </c>
      <c r="G739" s="3">
        <v>0.28819444444444442</v>
      </c>
      <c r="H739" s="3">
        <v>0.31944444444444442</v>
      </c>
      <c r="I739" s="1">
        <v>45</v>
      </c>
      <c r="J739" s="1">
        <v>31</v>
      </c>
      <c r="K739" s="1" t="s">
        <v>54</v>
      </c>
      <c r="L739" s="1" t="s">
        <v>19</v>
      </c>
      <c r="M739" s="1">
        <v>1622</v>
      </c>
    </row>
    <row r="740" spans="1:13" x14ac:dyDescent="0.35">
      <c r="A740" s="1" t="s">
        <v>1303</v>
      </c>
      <c r="B740" s="2">
        <v>46163</v>
      </c>
      <c r="C740" s="1" t="s">
        <v>1304</v>
      </c>
      <c r="D740" s="1" t="s">
        <v>37</v>
      </c>
      <c r="E740" s="1" t="s">
        <v>50</v>
      </c>
      <c r="F740" s="1" t="s">
        <v>17</v>
      </c>
      <c r="G740" s="3">
        <v>0.30555555555555558</v>
      </c>
      <c r="H740" s="3">
        <v>0.32708333333333328</v>
      </c>
      <c r="I740" s="1">
        <v>31</v>
      </c>
      <c r="J740" s="1">
        <v>25</v>
      </c>
      <c r="K740" s="1" t="s">
        <v>60</v>
      </c>
      <c r="L740" s="1" t="s">
        <v>19</v>
      </c>
      <c r="M740" s="1">
        <v>2178</v>
      </c>
    </row>
    <row r="741" spans="1:13" x14ac:dyDescent="0.35">
      <c r="A741" s="1" t="s">
        <v>1305</v>
      </c>
      <c r="B741" s="2">
        <v>46163</v>
      </c>
      <c r="C741" s="1" t="s">
        <v>1019</v>
      </c>
      <c r="D741" s="1" t="s">
        <v>16</v>
      </c>
      <c r="E741" s="1" t="s">
        <v>27</v>
      </c>
      <c r="F741" s="1" t="s">
        <v>24</v>
      </c>
      <c r="G741" s="3">
        <v>0.46875</v>
      </c>
      <c r="H741" s="3">
        <v>0.47638888888888892</v>
      </c>
      <c r="I741" s="1">
        <v>11</v>
      </c>
      <c r="J741" s="1">
        <v>13</v>
      </c>
      <c r="K741" s="1" t="s">
        <v>18</v>
      </c>
      <c r="L741" s="1" t="s">
        <v>19</v>
      </c>
      <c r="M741" s="1">
        <v>802</v>
      </c>
    </row>
    <row r="742" spans="1:13" x14ac:dyDescent="0.35">
      <c r="A742" s="1" t="s">
        <v>1306</v>
      </c>
      <c r="B742" s="2">
        <v>46163</v>
      </c>
      <c r="C742" s="1" t="s">
        <v>1307</v>
      </c>
      <c r="D742" s="1" t="s">
        <v>37</v>
      </c>
      <c r="E742" s="1" t="s">
        <v>50</v>
      </c>
      <c r="F742" s="1" t="s">
        <v>17</v>
      </c>
      <c r="G742" s="3">
        <v>0.53472222222222221</v>
      </c>
      <c r="H742" s="3">
        <v>0.57499999999999996</v>
      </c>
      <c r="I742" s="1">
        <v>58</v>
      </c>
      <c r="J742" s="1"/>
      <c r="K742" s="1" t="s">
        <v>276</v>
      </c>
      <c r="L742" s="1" t="s">
        <v>19</v>
      </c>
      <c r="M742" s="1">
        <v>2178</v>
      </c>
    </row>
    <row r="743" spans="1:13" x14ac:dyDescent="0.35">
      <c r="A743" s="1" t="s">
        <v>1308</v>
      </c>
      <c r="B743" s="2">
        <v>46163</v>
      </c>
      <c r="C743" s="1" t="s">
        <v>470</v>
      </c>
      <c r="D743" s="1" t="s">
        <v>16</v>
      </c>
      <c r="E743" s="1" t="s">
        <v>27</v>
      </c>
      <c r="F743" s="1" t="s">
        <v>28</v>
      </c>
      <c r="G743" s="3">
        <v>0.57986111111111116</v>
      </c>
      <c r="H743" s="3">
        <v>0.57777777777777772</v>
      </c>
      <c r="I743" s="1">
        <v>-3</v>
      </c>
      <c r="J743" s="1">
        <v>-5</v>
      </c>
      <c r="K743" s="1" t="s">
        <v>18</v>
      </c>
      <c r="L743" s="1" t="s">
        <v>19</v>
      </c>
      <c r="M743" s="1">
        <v>802</v>
      </c>
    </row>
    <row r="744" spans="1:13" x14ac:dyDescent="0.35">
      <c r="A744" s="1" t="s">
        <v>1309</v>
      </c>
      <c r="B744" s="2">
        <v>46163</v>
      </c>
      <c r="C744" s="1" t="s">
        <v>361</v>
      </c>
      <c r="D744" s="1" t="s">
        <v>22</v>
      </c>
      <c r="E744" s="1" t="s">
        <v>44</v>
      </c>
      <c r="F744" s="1" t="s">
        <v>38</v>
      </c>
      <c r="G744" s="3">
        <v>0.71527777777777779</v>
      </c>
      <c r="H744" s="3">
        <v>0.70972222222222225</v>
      </c>
      <c r="I744" s="1">
        <v>-8</v>
      </c>
      <c r="J744" s="1">
        <v>-14</v>
      </c>
      <c r="K744" s="1" t="s">
        <v>18</v>
      </c>
      <c r="L744" s="1" t="s">
        <v>19</v>
      </c>
      <c r="M744" s="1">
        <v>186</v>
      </c>
    </row>
    <row r="745" spans="1:13" x14ac:dyDescent="0.35">
      <c r="A745" s="1" t="s">
        <v>1310</v>
      </c>
      <c r="B745" s="2">
        <v>46163</v>
      </c>
      <c r="C745" s="1" t="s">
        <v>1311</v>
      </c>
      <c r="D745" s="1" t="s">
        <v>22</v>
      </c>
      <c r="E745" s="1" t="s">
        <v>47</v>
      </c>
      <c r="F745" s="1" t="s">
        <v>17</v>
      </c>
      <c r="G745" s="3">
        <v>0.875</v>
      </c>
      <c r="H745" s="3">
        <v>0.88055555555555554</v>
      </c>
      <c r="I745" s="1">
        <v>8</v>
      </c>
      <c r="J745" s="1">
        <v>4</v>
      </c>
      <c r="K745" s="1" t="s">
        <v>18</v>
      </c>
      <c r="L745" s="1" t="s">
        <v>19</v>
      </c>
      <c r="M745" s="1">
        <v>2580</v>
      </c>
    </row>
    <row r="746" spans="1:13" x14ac:dyDescent="0.35">
      <c r="A746" s="1" t="s">
        <v>1312</v>
      </c>
      <c r="B746" s="2">
        <v>46165</v>
      </c>
      <c r="C746" s="1" t="s">
        <v>1313</v>
      </c>
      <c r="D746" s="1" t="s">
        <v>31</v>
      </c>
      <c r="E746" s="1" t="s">
        <v>23</v>
      </c>
      <c r="F746" s="1" t="s">
        <v>28</v>
      </c>
      <c r="G746" s="3">
        <v>0.37847222222222221</v>
      </c>
      <c r="H746" s="3">
        <v>0.43472222222222218</v>
      </c>
      <c r="I746" s="1">
        <v>81</v>
      </c>
      <c r="J746" s="1">
        <v>70</v>
      </c>
      <c r="K746" s="1" t="s">
        <v>54</v>
      </c>
      <c r="L746" s="1" t="s">
        <v>19</v>
      </c>
      <c r="M746" s="1">
        <v>627</v>
      </c>
    </row>
    <row r="747" spans="1:13" x14ac:dyDescent="0.35">
      <c r="A747" s="1" t="s">
        <v>1314</v>
      </c>
      <c r="B747" s="2">
        <v>46165</v>
      </c>
      <c r="C747" s="1" t="s">
        <v>1315</v>
      </c>
      <c r="D747" s="1" t="s">
        <v>50</v>
      </c>
      <c r="E747" s="1" t="s">
        <v>31</v>
      </c>
      <c r="F747" s="1" t="s">
        <v>17</v>
      </c>
      <c r="G747" s="3">
        <v>0.51041666666666663</v>
      </c>
      <c r="H747" s="3">
        <v>0.51249999999999996</v>
      </c>
      <c r="I747" s="1">
        <v>3</v>
      </c>
      <c r="J747" s="1">
        <v>-5</v>
      </c>
      <c r="K747" s="1"/>
      <c r="L747" s="1" t="s">
        <v>19</v>
      </c>
      <c r="M747" s="1">
        <v>1743</v>
      </c>
    </row>
    <row r="748" spans="1:13" x14ac:dyDescent="0.35">
      <c r="A748" s="1" t="s">
        <v>1316</v>
      </c>
      <c r="B748" s="2">
        <v>46165</v>
      </c>
      <c r="C748" s="1" t="s">
        <v>49</v>
      </c>
      <c r="D748" s="1" t="s">
        <v>50</v>
      </c>
      <c r="E748" s="1" t="s">
        <v>37</v>
      </c>
      <c r="F748" s="1" t="s">
        <v>17</v>
      </c>
      <c r="G748" s="3">
        <v>0.52430555555555558</v>
      </c>
      <c r="H748" s="3">
        <v>0.53611111111111109</v>
      </c>
      <c r="I748" s="1">
        <v>17</v>
      </c>
      <c r="J748" s="1">
        <v>21</v>
      </c>
      <c r="K748" s="1" t="s">
        <v>98</v>
      </c>
      <c r="L748" s="1" t="s">
        <v>19</v>
      </c>
      <c r="M748" s="1">
        <v>2178</v>
      </c>
    </row>
    <row r="749" spans="1:13" x14ac:dyDescent="0.35">
      <c r="A749" s="1" t="s">
        <v>1317</v>
      </c>
      <c r="B749" s="2">
        <v>46165</v>
      </c>
      <c r="C749" s="1" t="s">
        <v>677</v>
      </c>
      <c r="D749" s="1" t="s">
        <v>418</v>
      </c>
      <c r="E749" s="1" t="s">
        <v>22</v>
      </c>
      <c r="F749" s="1" t="s">
        <v>17</v>
      </c>
      <c r="G749" s="3">
        <v>0.62152777777777779</v>
      </c>
      <c r="H749" s="3">
        <v>0.6166666666666667</v>
      </c>
      <c r="I749" s="1">
        <v>-7</v>
      </c>
      <c r="J749" s="1">
        <v>1</v>
      </c>
      <c r="K749" s="1" t="s">
        <v>18</v>
      </c>
      <c r="L749" s="1" t="s">
        <v>19</v>
      </c>
      <c r="M749" s="1">
        <v>1092</v>
      </c>
    </row>
    <row r="750" spans="1:13" x14ac:dyDescent="0.35">
      <c r="A750" s="1" t="s">
        <v>1318</v>
      </c>
      <c r="B750" s="2">
        <v>46165</v>
      </c>
      <c r="C750" s="1" t="s">
        <v>49</v>
      </c>
      <c r="D750" s="1" t="s">
        <v>31</v>
      </c>
      <c r="E750" s="1" t="s">
        <v>23</v>
      </c>
      <c r="F750" s="1" t="s">
        <v>17</v>
      </c>
      <c r="G750" s="3">
        <v>0.71180555555555558</v>
      </c>
      <c r="H750" s="3">
        <v>0.71736111111111112</v>
      </c>
      <c r="I750" s="1">
        <v>8</v>
      </c>
      <c r="J750" s="1">
        <v>15</v>
      </c>
      <c r="K750" s="1" t="s">
        <v>18</v>
      </c>
      <c r="L750" s="1" t="s">
        <v>19</v>
      </c>
      <c r="M750" s="1">
        <v>627</v>
      </c>
    </row>
    <row r="751" spans="1:13" x14ac:dyDescent="0.35">
      <c r="A751" s="1" t="s">
        <v>1319</v>
      </c>
      <c r="B751" s="2">
        <v>46167</v>
      </c>
      <c r="C751" s="1" t="s">
        <v>218</v>
      </c>
      <c r="D751" s="1" t="s">
        <v>47</v>
      </c>
      <c r="E751" s="1" t="s">
        <v>78</v>
      </c>
      <c r="F751" s="1" t="s">
        <v>24</v>
      </c>
      <c r="G751" s="3">
        <v>0.2951388888888889</v>
      </c>
      <c r="H751" s="3">
        <v>0.33680555555555558</v>
      </c>
      <c r="I751" s="1">
        <v>60</v>
      </c>
      <c r="J751" s="1">
        <v>65</v>
      </c>
      <c r="K751" s="1" t="s">
        <v>60</v>
      </c>
      <c r="L751" s="1" t="s">
        <v>19</v>
      </c>
      <c r="M751" s="1">
        <v>651</v>
      </c>
    </row>
    <row r="752" spans="1:13" x14ac:dyDescent="0.35">
      <c r="A752" s="1" t="s">
        <v>1320</v>
      </c>
      <c r="B752" s="2">
        <v>46167</v>
      </c>
      <c r="C752" s="1" t="s">
        <v>877</v>
      </c>
      <c r="D752" s="1" t="s">
        <v>78</v>
      </c>
      <c r="E752" s="1" t="s">
        <v>41</v>
      </c>
      <c r="F752" s="1" t="s">
        <v>17</v>
      </c>
      <c r="G752" s="3">
        <v>0.38194444444444442</v>
      </c>
      <c r="H752" s="3">
        <v>0.41388888888888892</v>
      </c>
      <c r="I752" s="1">
        <v>46</v>
      </c>
      <c r="J752" s="1">
        <v>50</v>
      </c>
      <c r="K752" s="1" t="s">
        <v>263</v>
      </c>
      <c r="L752" s="1" t="s">
        <v>19</v>
      </c>
      <c r="M752" s="1">
        <v>1969</v>
      </c>
    </row>
    <row r="753" spans="1:13" x14ac:dyDescent="0.35">
      <c r="A753" s="1" t="s">
        <v>1321</v>
      </c>
      <c r="B753" s="2">
        <v>46167</v>
      </c>
      <c r="C753" s="1" t="s">
        <v>958</v>
      </c>
      <c r="D753" s="1" t="s">
        <v>15</v>
      </c>
      <c r="E753" s="1" t="s">
        <v>41</v>
      </c>
      <c r="F753" s="1" t="s">
        <v>38</v>
      </c>
      <c r="G753" s="3">
        <v>0.68055555555555558</v>
      </c>
      <c r="H753" s="3">
        <v>0.68819444444444444</v>
      </c>
      <c r="I753" s="1">
        <v>11</v>
      </c>
      <c r="J753" s="1">
        <v>1</v>
      </c>
      <c r="K753" s="1" t="s">
        <v>18</v>
      </c>
      <c r="L753" s="1" t="s">
        <v>19</v>
      </c>
      <c r="M753" s="1">
        <v>2338</v>
      </c>
    </row>
    <row r="754" spans="1:13" x14ac:dyDescent="0.35">
      <c r="A754" s="1" t="s">
        <v>1322</v>
      </c>
      <c r="B754" s="2">
        <v>46168</v>
      </c>
      <c r="C754" s="1" t="s">
        <v>1323</v>
      </c>
      <c r="D754" s="1" t="s">
        <v>27</v>
      </c>
      <c r="E754" s="1" t="s">
        <v>37</v>
      </c>
      <c r="F754" s="1" t="s">
        <v>38</v>
      </c>
      <c r="G754" s="3">
        <v>0.39930555555555558</v>
      </c>
      <c r="H754" s="3">
        <v>0.4284722222222222</v>
      </c>
      <c r="I754" s="1">
        <v>42</v>
      </c>
      <c r="J754" s="1"/>
      <c r="K754" s="1" t="s">
        <v>477</v>
      </c>
      <c r="L754" s="1" t="s">
        <v>19</v>
      </c>
      <c r="M754" s="1">
        <v>1658</v>
      </c>
    </row>
    <row r="755" spans="1:13" x14ac:dyDescent="0.35">
      <c r="A755" s="1" t="s">
        <v>1324</v>
      </c>
      <c r="B755" s="2">
        <v>46168</v>
      </c>
      <c r="C755" s="1" t="s">
        <v>1325</v>
      </c>
      <c r="D755" s="1" t="s">
        <v>123</v>
      </c>
      <c r="E755" s="1" t="s">
        <v>27</v>
      </c>
      <c r="F755" s="1" t="s">
        <v>38</v>
      </c>
      <c r="G755" s="3">
        <v>0.43402777777777779</v>
      </c>
      <c r="H755" s="3">
        <v>0.43194444444444452</v>
      </c>
      <c r="I755" s="1">
        <v>-3</v>
      </c>
      <c r="J755" s="1">
        <v>-15</v>
      </c>
      <c r="K755" s="1"/>
      <c r="L755" s="1" t="s">
        <v>19</v>
      </c>
      <c r="M755" s="1">
        <v>730</v>
      </c>
    </row>
    <row r="756" spans="1:13" x14ac:dyDescent="0.35">
      <c r="A756" s="1" t="s">
        <v>1326</v>
      </c>
      <c r="B756" s="2">
        <v>46168</v>
      </c>
      <c r="C756" s="1" t="s">
        <v>234</v>
      </c>
      <c r="D756" s="1" t="s">
        <v>31</v>
      </c>
      <c r="E756" s="1" t="s">
        <v>23</v>
      </c>
      <c r="F756" s="1" t="s">
        <v>17</v>
      </c>
      <c r="G756" s="3">
        <v>0.4375</v>
      </c>
      <c r="H756" s="3">
        <v>0.4375</v>
      </c>
      <c r="I756" s="1">
        <v>0</v>
      </c>
      <c r="J756" s="1">
        <v>-2</v>
      </c>
      <c r="K756" s="1" t="s">
        <v>18</v>
      </c>
      <c r="L756" s="1" t="s">
        <v>19</v>
      </c>
      <c r="M756" s="1">
        <v>627</v>
      </c>
    </row>
    <row r="757" spans="1:13" x14ac:dyDescent="0.35">
      <c r="A757" s="1" t="s">
        <v>1327</v>
      </c>
      <c r="B757" s="2">
        <v>46168</v>
      </c>
      <c r="C757" s="1" t="s">
        <v>815</v>
      </c>
      <c r="D757" s="1" t="s">
        <v>78</v>
      </c>
      <c r="E757" s="1" t="s">
        <v>27</v>
      </c>
      <c r="F757" s="1" t="s">
        <v>28</v>
      </c>
      <c r="G757" s="3">
        <v>0.52430555555555558</v>
      </c>
      <c r="H757" s="3">
        <v>0.55625000000000002</v>
      </c>
      <c r="I757" s="1">
        <v>46</v>
      </c>
      <c r="J757" s="1">
        <v>42</v>
      </c>
      <c r="K757" s="1" t="s">
        <v>276</v>
      </c>
      <c r="L757" s="1" t="s">
        <v>19</v>
      </c>
      <c r="M757" s="1">
        <v>866</v>
      </c>
    </row>
    <row r="758" spans="1:13" x14ac:dyDescent="0.35">
      <c r="A758" s="1" t="s">
        <v>1328</v>
      </c>
      <c r="B758" s="2">
        <v>46168</v>
      </c>
      <c r="C758" s="1" t="s">
        <v>1329</v>
      </c>
      <c r="D758" s="1" t="s">
        <v>23</v>
      </c>
      <c r="E758" s="1" t="s">
        <v>27</v>
      </c>
      <c r="F758" s="1" t="s">
        <v>28</v>
      </c>
      <c r="G758" s="3">
        <v>0.70833333333333337</v>
      </c>
      <c r="H758" s="3">
        <v>0.73888888888888893</v>
      </c>
      <c r="I758" s="1">
        <v>44</v>
      </c>
      <c r="J758" s="1">
        <v>37</v>
      </c>
      <c r="K758" s="1" t="s">
        <v>60</v>
      </c>
      <c r="L758" s="1" t="s">
        <v>19</v>
      </c>
      <c r="M758" s="1">
        <v>641</v>
      </c>
    </row>
    <row r="759" spans="1:13" x14ac:dyDescent="0.35">
      <c r="A759" s="1" t="s">
        <v>1330</v>
      </c>
      <c r="B759" s="2">
        <v>46169</v>
      </c>
      <c r="C759" s="1" t="s">
        <v>70</v>
      </c>
      <c r="D759" s="1" t="s">
        <v>27</v>
      </c>
      <c r="E759" s="1" t="s">
        <v>50</v>
      </c>
      <c r="F759" s="1" t="s">
        <v>17</v>
      </c>
      <c r="G759" s="3">
        <v>0.4201388888888889</v>
      </c>
      <c r="H759" s="3">
        <v>0.4152777777777778</v>
      </c>
      <c r="I759" s="1">
        <v>-7</v>
      </c>
      <c r="J759" s="1">
        <v>-8</v>
      </c>
      <c r="K759" s="1" t="s">
        <v>18</v>
      </c>
      <c r="L759" s="1" t="s">
        <v>19</v>
      </c>
      <c r="M759" s="1">
        <v>730</v>
      </c>
    </row>
    <row r="760" spans="1:13" x14ac:dyDescent="0.35">
      <c r="A760" s="1" t="s">
        <v>1331</v>
      </c>
      <c r="B760" s="2">
        <v>46170</v>
      </c>
      <c r="C760" s="1" t="s">
        <v>1332</v>
      </c>
      <c r="D760" s="1" t="s">
        <v>16</v>
      </c>
      <c r="E760" s="1" t="s">
        <v>22</v>
      </c>
      <c r="F760" s="1" t="s">
        <v>24</v>
      </c>
      <c r="G760" s="3">
        <v>0.77083333333333337</v>
      </c>
      <c r="H760" s="3">
        <v>0.8354166666666667</v>
      </c>
      <c r="I760" s="1">
        <v>93</v>
      </c>
      <c r="J760" s="1">
        <v>98</v>
      </c>
      <c r="K760" s="1" t="s">
        <v>60</v>
      </c>
      <c r="L760" s="1" t="s">
        <v>19</v>
      </c>
      <c r="M760" s="1">
        <v>738</v>
      </c>
    </row>
    <row r="761" spans="1:13" x14ac:dyDescent="0.35">
      <c r="A761" s="1" t="s">
        <v>1333</v>
      </c>
      <c r="B761" s="2">
        <v>46170</v>
      </c>
      <c r="C761" s="1" t="s">
        <v>1334</v>
      </c>
      <c r="D761" s="1" t="s">
        <v>37</v>
      </c>
      <c r="E761" s="1" t="s">
        <v>50</v>
      </c>
      <c r="F761" s="1" t="s">
        <v>24</v>
      </c>
      <c r="G761" s="3">
        <v>0.79861111111111116</v>
      </c>
      <c r="H761" s="3">
        <v>0.83402777777777781</v>
      </c>
      <c r="I761" s="1">
        <v>51</v>
      </c>
      <c r="J761" s="1">
        <v>38</v>
      </c>
      <c r="K761" s="1" t="s">
        <v>303</v>
      </c>
      <c r="L761" s="1" t="s">
        <v>19</v>
      </c>
      <c r="M761" s="1">
        <v>2178</v>
      </c>
    </row>
    <row r="762" spans="1:13" x14ac:dyDescent="0.35">
      <c r="A762" s="1" t="s">
        <v>1335</v>
      </c>
      <c r="B762" s="2">
        <v>46171</v>
      </c>
      <c r="C762" s="1" t="s">
        <v>1336</v>
      </c>
      <c r="D762" s="1" t="s">
        <v>16</v>
      </c>
      <c r="E762" s="1" t="s">
        <v>78</v>
      </c>
      <c r="F762" s="1" t="s">
        <v>28</v>
      </c>
      <c r="G762" s="3">
        <v>0.34722222222222221</v>
      </c>
      <c r="H762" s="3">
        <v>0.34652777777777782</v>
      </c>
      <c r="I762" s="1">
        <v>-1</v>
      </c>
      <c r="J762" s="1">
        <v>4</v>
      </c>
      <c r="K762" s="1" t="s">
        <v>18</v>
      </c>
      <c r="L762" s="1" t="s">
        <v>19</v>
      </c>
      <c r="M762" s="1">
        <v>1438</v>
      </c>
    </row>
    <row r="763" spans="1:13" x14ac:dyDescent="0.35">
      <c r="A763" s="1" t="s">
        <v>1337</v>
      </c>
      <c r="B763" s="2">
        <v>46171</v>
      </c>
      <c r="C763" s="1" t="s">
        <v>112</v>
      </c>
      <c r="D763" s="1" t="s">
        <v>50</v>
      </c>
      <c r="E763" s="1" t="s">
        <v>27</v>
      </c>
      <c r="F763" s="1" t="s">
        <v>24</v>
      </c>
      <c r="G763" s="3">
        <v>0.68402777777777779</v>
      </c>
      <c r="H763" s="3">
        <v>0.73333333333333328</v>
      </c>
      <c r="I763" s="1">
        <v>71</v>
      </c>
      <c r="J763" s="1">
        <v>74</v>
      </c>
      <c r="K763" s="1" t="s">
        <v>54</v>
      </c>
      <c r="L763" s="1" t="s">
        <v>19</v>
      </c>
      <c r="M763" s="1">
        <v>730</v>
      </c>
    </row>
    <row r="764" spans="1:13" x14ac:dyDescent="0.35">
      <c r="A764" s="1" t="s">
        <v>1338</v>
      </c>
      <c r="B764" s="2">
        <v>46172</v>
      </c>
      <c r="C764" s="1" t="s">
        <v>1304</v>
      </c>
      <c r="D764" s="1" t="s">
        <v>16</v>
      </c>
      <c r="E764" s="1" t="s">
        <v>15</v>
      </c>
      <c r="F764" s="1" t="s">
        <v>17</v>
      </c>
      <c r="G764" s="3">
        <v>0.27083333333333331</v>
      </c>
      <c r="H764" s="3">
        <v>0.28680555555555548</v>
      </c>
      <c r="I764" s="1">
        <v>23</v>
      </c>
      <c r="J764" s="1">
        <v>14</v>
      </c>
      <c r="K764" s="1" t="s">
        <v>54</v>
      </c>
      <c r="L764" s="1" t="s">
        <v>19</v>
      </c>
      <c r="M764" s="1">
        <v>1742</v>
      </c>
    </row>
    <row r="765" spans="1:13" x14ac:dyDescent="0.35">
      <c r="A765" s="1" t="s">
        <v>1339</v>
      </c>
      <c r="B765" s="2">
        <v>46172</v>
      </c>
      <c r="C765" s="1" t="s">
        <v>969</v>
      </c>
      <c r="D765" s="1" t="s">
        <v>15</v>
      </c>
      <c r="E765" s="1" t="s">
        <v>50</v>
      </c>
      <c r="F765" s="1" t="s">
        <v>24</v>
      </c>
      <c r="G765" s="3">
        <v>0.66319444444444442</v>
      </c>
      <c r="H765" s="3">
        <v>0.6645833333333333</v>
      </c>
      <c r="I765" s="1">
        <v>2</v>
      </c>
      <c r="J765" s="1">
        <v>-7</v>
      </c>
      <c r="K765" s="1" t="s">
        <v>18</v>
      </c>
      <c r="L765" s="1" t="s">
        <v>19</v>
      </c>
      <c r="M765" s="1">
        <v>1942</v>
      </c>
    </row>
    <row r="766" spans="1:13" x14ac:dyDescent="0.35">
      <c r="A766" s="1" t="s">
        <v>1340</v>
      </c>
      <c r="B766" s="2">
        <v>46172</v>
      </c>
      <c r="C766" s="1" t="s">
        <v>1341</v>
      </c>
      <c r="D766" s="1" t="s">
        <v>50</v>
      </c>
      <c r="E766" s="1" t="s">
        <v>27</v>
      </c>
      <c r="F766" s="1" t="s">
        <v>24</v>
      </c>
      <c r="G766" s="3">
        <v>0.78819444444444442</v>
      </c>
      <c r="H766" s="3">
        <v>0.79652777777777772</v>
      </c>
      <c r="I766" s="1">
        <v>12</v>
      </c>
      <c r="J766" s="1"/>
      <c r="K766" s="1" t="s">
        <v>18</v>
      </c>
      <c r="L766" s="1" t="s">
        <v>19</v>
      </c>
      <c r="M766" s="1">
        <v>730</v>
      </c>
    </row>
    <row r="767" spans="1:13" x14ac:dyDescent="0.35">
      <c r="A767" s="1" t="s">
        <v>1342</v>
      </c>
      <c r="B767" s="2">
        <v>46173</v>
      </c>
      <c r="C767" s="1" t="s">
        <v>1343</v>
      </c>
      <c r="D767" s="1" t="s">
        <v>27</v>
      </c>
      <c r="E767" s="1" t="s">
        <v>16</v>
      </c>
      <c r="F767" s="1" t="s">
        <v>17</v>
      </c>
      <c r="G767" s="3">
        <v>0.24652777777777779</v>
      </c>
      <c r="H767" s="3">
        <v>0.27777777777777779</v>
      </c>
      <c r="I767" s="1">
        <v>45</v>
      </c>
      <c r="J767" s="1">
        <v>33</v>
      </c>
      <c r="K767" s="1" t="s">
        <v>54</v>
      </c>
      <c r="L767" s="1" t="s">
        <v>19</v>
      </c>
      <c r="M767" s="1">
        <v>802</v>
      </c>
    </row>
    <row r="768" spans="1:13" x14ac:dyDescent="0.35">
      <c r="A768" s="1" t="s">
        <v>1344</v>
      </c>
      <c r="B768" s="2">
        <v>46173</v>
      </c>
      <c r="C768" s="1" t="s">
        <v>621</v>
      </c>
      <c r="D768" s="1" t="s">
        <v>16</v>
      </c>
      <c r="E768" s="1" t="s">
        <v>23</v>
      </c>
      <c r="F768" s="1" t="s">
        <v>24</v>
      </c>
      <c r="G768" s="3">
        <v>0.31944444444444442</v>
      </c>
      <c r="H768" s="3">
        <v>0.35833333333333328</v>
      </c>
      <c r="I768" s="1">
        <v>56</v>
      </c>
      <c r="J768" s="1">
        <v>62</v>
      </c>
      <c r="K768" s="1" t="s">
        <v>129</v>
      </c>
      <c r="L768" s="1" t="s">
        <v>19</v>
      </c>
      <c r="M768" s="1">
        <v>886</v>
      </c>
    </row>
    <row r="769" spans="1:13" x14ac:dyDescent="0.35">
      <c r="A769" s="1" t="s">
        <v>1345</v>
      </c>
      <c r="B769" s="2">
        <v>46173</v>
      </c>
      <c r="C769" s="1" t="s">
        <v>983</v>
      </c>
      <c r="D769" s="1" t="s">
        <v>15</v>
      </c>
      <c r="E769" s="1" t="s">
        <v>629</v>
      </c>
      <c r="F769" s="1" t="s">
        <v>38</v>
      </c>
      <c r="G769" s="3">
        <v>0.53819444444444442</v>
      </c>
      <c r="H769" s="3">
        <v>0.54236111111111107</v>
      </c>
      <c r="I769" s="1">
        <v>6</v>
      </c>
      <c r="J769" s="1">
        <v>11</v>
      </c>
      <c r="K769" s="1"/>
      <c r="L769" s="1" t="s">
        <v>19</v>
      </c>
      <c r="M769" s="1">
        <v>370</v>
      </c>
    </row>
    <row r="770" spans="1:13" x14ac:dyDescent="0.35">
      <c r="A770" s="1" t="s">
        <v>1346</v>
      </c>
      <c r="B770" s="2">
        <v>46173</v>
      </c>
      <c r="C770" s="1" t="s">
        <v>1347</v>
      </c>
      <c r="D770" s="1" t="s">
        <v>47</v>
      </c>
      <c r="E770" s="1" t="s">
        <v>50</v>
      </c>
      <c r="F770" s="1" t="s">
        <v>28</v>
      </c>
      <c r="G770" s="3">
        <v>0.58680555555555558</v>
      </c>
      <c r="H770" s="3">
        <v>0.59027777777777779</v>
      </c>
      <c r="I770" s="1">
        <v>5</v>
      </c>
      <c r="J770" s="1">
        <v>15</v>
      </c>
      <c r="K770" s="1" t="s">
        <v>18</v>
      </c>
      <c r="L770" s="1" t="s">
        <v>19</v>
      </c>
      <c r="M770" s="1">
        <v>2134</v>
      </c>
    </row>
    <row r="771" spans="1:13" x14ac:dyDescent="0.35">
      <c r="A771" s="1" t="s">
        <v>1346</v>
      </c>
      <c r="B771" s="2">
        <v>46173</v>
      </c>
      <c r="C771" s="1" t="s">
        <v>1347</v>
      </c>
      <c r="D771" s="1" t="s">
        <v>47</v>
      </c>
      <c r="E771" s="1" t="s">
        <v>50</v>
      </c>
      <c r="F771" s="1" t="s">
        <v>28</v>
      </c>
      <c r="G771" s="3">
        <v>0.58680555555555558</v>
      </c>
      <c r="H771" s="3">
        <v>0.59027777777777779</v>
      </c>
      <c r="I771" s="1">
        <v>5</v>
      </c>
      <c r="J771" s="1">
        <v>15</v>
      </c>
      <c r="K771" s="1" t="s">
        <v>18</v>
      </c>
      <c r="L771" s="1" t="s">
        <v>19</v>
      </c>
      <c r="M771" s="1">
        <v>2134</v>
      </c>
    </row>
    <row r="772" spans="1:13" x14ac:dyDescent="0.35">
      <c r="A772" s="1" t="s">
        <v>1348</v>
      </c>
      <c r="B772" s="2">
        <v>46174</v>
      </c>
      <c r="C772" s="1" t="s">
        <v>1349</v>
      </c>
      <c r="D772" s="1" t="s">
        <v>27</v>
      </c>
      <c r="E772" s="1" t="s">
        <v>940</v>
      </c>
      <c r="F772" s="1" t="s">
        <v>24</v>
      </c>
      <c r="G772" s="3">
        <v>0.84722222222222221</v>
      </c>
      <c r="H772" s="3">
        <v>0.875</v>
      </c>
      <c r="I772" s="1">
        <v>40</v>
      </c>
      <c r="J772" s="1"/>
      <c r="K772" s="1" t="s">
        <v>129</v>
      </c>
      <c r="L772" s="1" t="s">
        <v>19</v>
      </c>
      <c r="M772" s="1">
        <v>1053</v>
      </c>
    </row>
    <row r="773" spans="1:13" x14ac:dyDescent="0.35">
      <c r="A773" s="1" t="s">
        <v>1350</v>
      </c>
      <c r="B773" s="2">
        <v>46174</v>
      </c>
      <c r="C773" s="1" t="s">
        <v>1351</v>
      </c>
      <c r="D773" s="1" t="s">
        <v>386</v>
      </c>
      <c r="E773" s="1" t="s">
        <v>22</v>
      </c>
      <c r="F773" s="1" t="s">
        <v>24</v>
      </c>
      <c r="G773" s="3">
        <v>0.88194444444444442</v>
      </c>
      <c r="H773" s="3">
        <v>0.88958333333333328</v>
      </c>
      <c r="I773" s="1">
        <v>11</v>
      </c>
      <c r="J773" s="1">
        <v>20</v>
      </c>
      <c r="K773" s="1"/>
      <c r="L773" s="1" t="s">
        <v>19</v>
      </c>
      <c r="M773" s="1">
        <v>2580</v>
      </c>
    </row>
    <row r="774" spans="1:13" x14ac:dyDescent="0.35">
      <c r="A774" s="1" t="s">
        <v>1352</v>
      </c>
      <c r="B774" s="2">
        <v>46175</v>
      </c>
      <c r="C774" s="1" t="s">
        <v>1274</v>
      </c>
      <c r="D774" s="1" t="s">
        <v>22</v>
      </c>
      <c r="E774" s="1" t="s">
        <v>16</v>
      </c>
      <c r="F774" s="1" t="s">
        <v>24</v>
      </c>
      <c r="G774" s="3">
        <v>0.55208333333333337</v>
      </c>
      <c r="H774" s="3">
        <v>0.55555555555555558</v>
      </c>
      <c r="I774" s="1">
        <v>5</v>
      </c>
      <c r="J774" s="1">
        <v>13</v>
      </c>
      <c r="K774" s="1" t="s">
        <v>18</v>
      </c>
      <c r="L774" s="1" t="s">
        <v>19</v>
      </c>
      <c r="M774" s="1">
        <v>738</v>
      </c>
    </row>
    <row r="775" spans="1:13" x14ac:dyDescent="0.35">
      <c r="A775" s="1" t="s">
        <v>1353</v>
      </c>
      <c r="B775" s="2">
        <v>46175</v>
      </c>
      <c r="C775" s="1" t="s">
        <v>230</v>
      </c>
      <c r="D775" s="1" t="s">
        <v>23</v>
      </c>
      <c r="E775" s="1" t="s">
        <v>16</v>
      </c>
      <c r="F775" s="1" t="s">
        <v>24</v>
      </c>
      <c r="G775" s="3">
        <v>0.63888888888888884</v>
      </c>
      <c r="H775" s="3">
        <v>0.63680555555555551</v>
      </c>
      <c r="I775" s="1">
        <v>-3</v>
      </c>
      <c r="J775" s="1">
        <v>-6</v>
      </c>
      <c r="K775" s="1" t="s">
        <v>18</v>
      </c>
      <c r="L775" s="1" t="s">
        <v>19</v>
      </c>
      <c r="M775" s="1">
        <v>886</v>
      </c>
    </row>
    <row r="776" spans="1:13" x14ac:dyDescent="0.35">
      <c r="A776" s="1" t="s">
        <v>1354</v>
      </c>
      <c r="B776" s="2">
        <v>46175</v>
      </c>
      <c r="C776" s="1" t="s">
        <v>1355</v>
      </c>
      <c r="D776" s="1" t="s">
        <v>226</v>
      </c>
      <c r="E776" s="1" t="s">
        <v>27</v>
      </c>
      <c r="F776" s="1" t="s">
        <v>28</v>
      </c>
      <c r="G776" s="3">
        <v>0.72222222222222221</v>
      </c>
      <c r="H776" s="3">
        <v>0.72083333333333333</v>
      </c>
      <c r="I776" s="1">
        <v>-2</v>
      </c>
      <c r="J776" s="1">
        <v>3</v>
      </c>
      <c r="K776" s="1"/>
      <c r="L776" s="1" t="s">
        <v>19</v>
      </c>
      <c r="M776" s="1">
        <v>641</v>
      </c>
    </row>
    <row r="777" spans="1:13" x14ac:dyDescent="0.35">
      <c r="A777" s="1" t="s">
        <v>1356</v>
      </c>
      <c r="B777" s="2">
        <v>46175</v>
      </c>
      <c r="C777" s="1" t="s">
        <v>1357</v>
      </c>
      <c r="D777" s="1" t="s">
        <v>16</v>
      </c>
      <c r="E777" s="1" t="s">
        <v>50</v>
      </c>
      <c r="F777" s="1" t="s">
        <v>28</v>
      </c>
      <c r="G777" s="3">
        <v>0.79166666666666663</v>
      </c>
      <c r="H777" s="3">
        <v>0.80347222222222225</v>
      </c>
      <c r="I777" s="1">
        <v>17</v>
      </c>
      <c r="J777" s="1">
        <v>13</v>
      </c>
      <c r="K777" s="1" t="s">
        <v>617</v>
      </c>
      <c r="L777" s="1" t="s">
        <v>19</v>
      </c>
      <c r="M777" s="1">
        <v>606</v>
      </c>
    </row>
    <row r="778" spans="1:13" x14ac:dyDescent="0.35">
      <c r="A778" s="1" t="s">
        <v>1358</v>
      </c>
      <c r="B778" s="2">
        <v>46176</v>
      </c>
      <c r="C778" s="1" t="s">
        <v>1359</v>
      </c>
      <c r="D778" s="1" t="s">
        <v>78</v>
      </c>
      <c r="E778" s="1" t="s">
        <v>50</v>
      </c>
      <c r="F778" s="1" t="s">
        <v>17</v>
      </c>
      <c r="G778" s="3">
        <v>0.80208333333333337</v>
      </c>
      <c r="H778" s="3">
        <v>0.80833333333333335</v>
      </c>
      <c r="I778" s="1">
        <v>9</v>
      </c>
      <c r="J778" s="1">
        <v>12</v>
      </c>
      <c r="K778" s="1"/>
      <c r="L778" s="1" t="s">
        <v>19</v>
      </c>
      <c r="M778" s="1">
        <v>1584</v>
      </c>
    </row>
    <row r="779" spans="1:13" x14ac:dyDescent="0.35">
      <c r="A779" s="1" t="s">
        <v>1360</v>
      </c>
      <c r="B779" s="2">
        <v>46176</v>
      </c>
      <c r="C779" s="1" t="s">
        <v>1361</v>
      </c>
      <c r="D779" s="1" t="s">
        <v>78</v>
      </c>
      <c r="E779" s="1" t="s">
        <v>50</v>
      </c>
      <c r="F779" s="1" t="s">
        <v>24</v>
      </c>
      <c r="G779" s="3">
        <v>0.86458333333333337</v>
      </c>
      <c r="H779" s="3">
        <v>0.88958333333333328</v>
      </c>
      <c r="I779" s="1">
        <v>36</v>
      </c>
      <c r="J779" s="1">
        <v>44</v>
      </c>
      <c r="K779" s="1" t="s">
        <v>174</v>
      </c>
      <c r="L779" s="1" t="s">
        <v>19</v>
      </c>
      <c r="M779" s="1">
        <v>1584</v>
      </c>
    </row>
    <row r="780" spans="1:13" x14ac:dyDescent="0.35">
      <c r="A780" s="1" t="s">
        <v>1362</v>
      </c>
      <c r="B780" s="2">
        <v>46177</v>
      </c>
      <c r="C780" s="1" t="s">
        <v>458</v>
      </c>
      <c r="D780" s="1" t="s">
        <v>37</v>
      </c>
      <c r="E780" s="1" t="s">
        <v>16</v>
      </c>
      <c r="F780" s="1" t="s">
        <v>17</v>
      </c>
      <c r="G780" s="3">
        <v>0.35416666666666669</v>
      </c>
      <c r="H780" s="3">
        <v>0.34930555555555548</v>
      </c>
      <c r="I780" s="1">
        <v>-7</v>
      </c>
      <c r="J780" s="1">
        <v>1</v>
      </c>
      <c r="K780" s="1" t="s">
        <v>18</v>
      </c>
      <c r="L780" s="1" t="s">
        <v>19</v>
      </c>
      <c r="M780" s="1">
        <v>1717</v>
      </c>
    </row>
    <row r="781" spans="1:13" x14ac:dyDescent="0.35">
      <c r="A781" s="1" t="s">
        <v>1363</v>
      </c>
      <c r="B781" s="2">
        <v>46177</v>
      </c>
      <c r="C781" s="1" t="s">
        <v>1003</v>
      </c>
      <c r="D781" s="1" t="s">
        <v>50</v>
      </c>
      <c r="E781" s="1" t="s">
        <v>16</v>
      </c>
      <c r="F781" s="1" t="s">
        <v>24</v>
      </c>
      <c r="G781" s="3">
        <v>0.55902777777777779</v>
      </c>
      <c r="H781" s="3">
        <v>0.58402777777777781</v>
      </c>
      <c r="I781" s="1">
        <v>36</v>
      </c>
      <c r="J781" s="1">
        <v>36</v>
      </c>
      <c r="K781" s="1" t="s">
        <v>54</v>
      </c>
      <c r="L781" s="1" t="s">
        <v>19</v>
      </c>
      <c r="M781" s="1">
        <v>606</v>
      </c>
    </row>
    <row r="782" spans="1:13" x14ac:dyDescent="0.35">
      <c r="A782" s="1" t="s">
        <v>1364</v>
      </c>
      <c r="B782" s="2">
        <v>46177</v>
      </c>
      <c r="C782" s="1" t="s">
        <v>292</v>
      </c>
      <c r="D782" s="1" t="s">
        <v>123</v>
      </c>
      <c r="E782" s="1" t="s">
        <v>47</v>
      </c>
      <c r="F782" s="1" t="s">
        <v>24</v>
      </c>
      <c r="G782" s="3">
        <v>0.71180555555555558</v>
      </c>
      <c r="H782" s="3">
        <v>0.70833333333333337</v>
      </c>
      <c r="I782" s="1">
        <v>-5</v>
      </c>
      <c r="J782" s="1">
        <v>-3</v>
      </c>
      <c r="K782" s="1" t="s">
        <v>18</v>
      </c>
      <c r="L782" s="1" t="s">
        <v>19</v>
      </c>
      <c r="M782" s="1">
        <v>2134</v>
      </c>
    </row>
    <row r="783" spans="1:13" x14ac:dyDescent="0.35">
      <c r="A783" s="1" t="s">
        <v>1365</v>
      </c>
      <c r="B783" s="2">
        <v>46177</v>
      </c>
      <c r="C783" s="1" t="s">
        <v>1366</v>
      </c>
      <c r="D783" s="1" t="s">
        <v>37</v>
      </c>
      <c r="E783" s="1" t="s">
        <v>78</v>
      </c>
      <c r="F783" s="1" t="s">
        <v>24</v>
      </c>
      <c r="G783" s="3">
        <v>0.71180555555555558</v>
      </c>
      <c r="H783" s="3">
        <v>0.7104166666666667</v>
      </c>
      <c r="I783" s="1">
        <v>-2</v>
      </c>
      <c r="J783" s="1">
        <v>-2</v>
      </c>
      <c r="K783" s="1"/>
      <c r="L783" s="1" t="s">
        <v>19</v>
      </c>
      <c r="M783" s="1">
        <v>1108</v>
      </c>
    </row>
    <row r="784" spans="1:13" x14ac:dyDescent="0.35">
      <c r="A784" s="1" t="s">
        <v>1367</v>
      </c>
      <c r="B784" s="2">
        <v>46177</v>
      </c>
      <c r="C784" s="1" t="s">
        <v>663</v>
      </c>
      <c r="D784" s="1" t="s">
        <v>413</v>
      </c>
      <c r="E784" s="1" t="s">
        <v>202</v>
      </c>
      <c r="F784" s="1" t="s">
        <v>38</v>
      </c>
      <c r="G784" s="3">
        <v>0.72916666666666663</v>
      </c>
      <c r="H784" s="3">
        <v>0.72916666666666663</v>
      </c>
      <c r="I784" s="1">
        <v>0</v>
      </c>
      <c r="J784" s="1">
        <v>5</v>
      </c>
      <c r="K784" s="1" t="s">
        <v>18</v>
      </c>
      <c r="L784" s="1" t="s">
        <v>19</v>
      </c>
      <c r="M784" s="1">
        <v>2338</v>
      </c>
    </row>
    <row r="785" spans="1:13" x14ac:dyDescent="0.35">
      <c r="A785" s="1" t="s">
        <v>1368</v>
      </c>
      <c r="B785" s="2">
        <v>46178</v>
      </c>
      <c r="C785" s="1" t="s">
        <v>1369</v>
      </c>
      <c r="D785" s="1" t="s">
        <v>41</v>
      </c>
      <c r="E785" s="1" t="s">
        <v>31</v>
      </c>
      <c r="F785" s="1" t="s">
        <v>17</v>
      </c>
      <c r="G785" s="3">
        <v>0.3263888888888889</v>
      </c>
      <c r="H785" s="3">
        <v>0.32361111111111113</v>
      </c>
      <c r="I785" s="1">
        <v>-4</v>
      </c>
      <c r="J785" s="1">
        <v>-13</v>
      </c>
      <c r="K785" s="1" t="s">
        <v>18</v>
      </c>
      <c r="L785" s="1" t="s">
        <v>19</v>
      </c>
      <c r="M785" s="1">
        <v>2171</v>
      </c>
    </row>
    <row r="786" spans="1:13" x14ac:dyDescent="0.35">
      <c r="A786" s="1" t="s">
        <v>1370</v>
      </c>
      <c r="B786" s="2">
        <v>46178</v>
      </c>
      <c r="C786" s="1" t="s">
        <v>1371</v>
      </c>
      <c r="D786" s="1" t="s">
        <v>1372</v>
      </c>
      <c r="E786" s="1" t="s">
        <v>44</v>
      </c>
      <c r="F786" s="1" t="s">
        <v>28</v>
      </c>
      <c r="G786" s="3">
        <v>0.40625</v>
      </c>
      <c r="H786" s="3">
        <v>0.40833333333333333</v>
      </c>
      <c r="I786" s="1">
        <v>3</v>
      </c>
      <c r="J786" s="1">
        <v>-5</v>
      </c>
      <c r="K786" s="1" t="s">
        <v>18</v>
      </c>
      <c r="L786" s="1" t="s">
        <v>19</v>
      </c>
      <c r="M786" s="1">
        <v>1260</v>
      </c>
    </row>
    <row r="787" spans="1:13" x14ac:dyDescent="0.35">
      <c r="A787" s="1" t="s">
        <v>1373</v>
      </c>
      <c r="B787" s="2">
        <v>46178</v>
      </c>
      <c r="C787" s="1" t="s">
        <v>1374</v>
      </c>
      <c r="D787" s="1" t="s">
        <v>15</v>
      </c>
      <c r="E787" s="1" t="s">
        <v>50</v>
      </c>
      <c r="F787" s="1" t="s">
        <v>28</v>
      </c>
      <c r="G787" s="3">
        <v>0.69791666666666663</v>
      </c>
      <c r="H787" s="3">
        <v>0.70208333333333328</v>
      </c>
      <c r="I787" s="1">
        <v>6</v>
      </c>
      <c r="J787" s="1">
        <v>7</v>
      </c>
      <c r="K787" s="1" t="s">
        <v>18</v>
      </c>
      <c r="L787" s="1" t="s">
        <v>19</v>
      </c>
      <c r="M787" s="1">
        <v>1942</v>
      </c>
    </row>
    <row r="788" spans="1:13" x14ac:dyDescent="0.35">
      <c r="A788" s="1" t="s">
        <v>1373</v>
      </c>
      <c r="B788" s="2">
        <v>46178</v>
      </c>
      <c r="C788" s="1" t="s">
        <v>1374</v>
      </c>
      <c r="D788" s="1" t="s">
        <v>15</v>
      </c>
      <c r="E788" s="1" t="s">
        <v>50</v>
      </c>
      <c r="F788" s="1" t="s">
        <v>28</v>
      </c>
      <c r="G788" s="3">
        <v>0.69791666666666663</v>
      </c>
      <c r="H788" s="3">
        <v>0.70208333333333328</v>
      </c>
      <c r="I788" s="1">
        <v>6</v>
      </c>
      <c r="J788" s="1">
        <v>7</v>
      </c>
      <c r="K788" s="1" t="s">
        <v>18</v>
      </c>
      <c r="L788" s="1" t="s">
        <v>19</v>
      </c>
      <c r="M788" s="1">
        <v>1942</v>
      </c>
    </row>
    <row r="789" spans="1:13" x14ac:dyDescent="0.35">
      <c r="A789" s="1" t="s">
        <v>1375</v>
      </c>
      <c r="B789" s="2">
        <v>46179</v>
      </c>
      <c r="C789" s="1" t="s">
        <v>1376</v>
      </c>
      <c r="D789" s="1" t="s">
        <v>71</v>
      </c>
      <c r="E789" s="1" t="s">
        <v>27</v>
      </c>
      <c r="F789" s="1" t="s">
        <v>24</v>
      </c>
      <c r="G789" s="3">
        <v>0.34027777777777779</v>
      </c>
      <c r="H789" s="3">
        <v>0.34097222222222218</v>
      </c>
      <c r="I789" s="1">
        <v>1</v>
      </c>
      <c r="J789" s="1">
        <v>-5</v>
      </c>
      <c r="K789" s="1"/>
      <c r="L789" s="1" t="s">
        <v>19</v>
      </c>
      <c r="M789" s="1">
        <v>802</v>
      </c>
    </row>
    <row r="790" spans="1:13" x14ac:dyDescent="0.35">
      <c r="A790" s="1" t="s">
        <v>1377</v>
      </c>
      <c r="B790" s="2">
        <v>46179</v>
      </c>
      <c r="C790" s="1" t="s">
        <v>945</v>
      </c>
      <c r="D790" s="1" t="s">
        <v>16</v>
      </c>
      <c r="E790" s="1" t="s">
        <v>47</v>
      </c>
      <c r="F790" s="1" t="s">
        <v>28</v>
      </c>
      <c r="G790" s="3">
        <v>0.63541666666666663</v>
      </c>
      <c r="H790" s="3">
        <v>0.63680555555555551</v>
      </c>
      <c r="I790" s="1">
        <v>2</v>
      </c>
      <c r="J790" s="1">
        <v>10</v>
      </c>
      <c r="K790" s="1" t="s">
        <v>18</v>
      </c>
      <c r="L790" s="1" t="s">
        <v>19</v>
      </c>
      <c r="M790" s="1">
        <v>1842</v>
      </c>
    </row>
    <row r="791" spans="1:13" x14ac:dyDescent="0.35">
      <c r="A791" s="1" t="s">
        <v>1378</v>
      </c>
      <c r="B791" s="2">
        <v>46179</v>
      </c>
      <c r="C791" s="1" t="s">
        <v>271</v>
      </c>
      <c r="D791" s="1" t="s">
        <v>15</v>
      </c>
      <c r="E791" s="1" t="s">
        <v>22</v>
      </c>
      <c r="F791" s="1" t="s">
        <v>17</v>
      </c>
      <c r="G791" s="3">
        <v>0.77430555555555558</v>
      </c>
      <c r="H791" s="3">
        <v>0.77986111111111112</v>
      </c>
      <c r="I791" s="1">
        <v>8</v>
      </c>
      <c r="J791" s="1">
        <v>15</v>
      </c>
      <c r="K791" s="1" t="s">
        <v>18</v>
      </c>
      <c r="L791" s="1" t="s">
        <v>19</v>
      </c>
      <c r="M791" s="1">
        <v>2470</v>
      </c>
    </row>
    <row r="792" spans="1:13" x14ac:dyDescent="0.35">
      <c r="A792" s="1" t="s">
        <v>1379</v>
      </c>
      <c r="B792" s="2">
        <v>46180</v>
      </c>
      <c r="C792" s="1" t="s">
        <v>1380</v>
      </c>
      <c r="D792" s="1" t="s">
        <v>50</v>
      </c>
      <c r="E792" s="1" t="s">
        <v>1295</v>
      </c>
      <c r="F792" s="1" t="s">
        <v>24</v>
      </c>
      <c r="G792" s="3">
        <v>0.40277777777777779</v>
      </c>
      <c r="H792" s="3">
        <v>0.41805555555555562</v>
      </c>
      <c r="I792" s="1">
        <v>22</v>
      </c>
      <c r="J792" s="1">
        <v>19</v>
      </c>
      <c r="K792" s="1" t="s">
        <v>60</v>
      </c>
      <c r="L792" s="1" t="s">
        <v>19</v>
      </c>
      <c r="M792" s="1">
        <v>2134</v>
      </c>
    </row>
    <row r="793" spans="1:13" x14ac:dyDescent="0.35">
      <c r="A793" s="1" t="s">
        <v>1381</v>
      </c>
      <c r="B793" s="2">
        <v>46180</v>
      </c>
      <c r="C793" s="1" t="s">
        <v>1014</v>
      </c>
      <c r="D793" s="1" t="s">
        <v>22</v>
      </c>
      <c r="E793" s="1" t="s">
        <v>31</v>
      </c>
      <c r="F793" s="1" t="s">
        <v>24</v>
      </c>
      <c r="G793" s="3">
        <v>0.58333333333333337</v>
      </c>
      <c r="H793" s="3">
        <v>0.58333333333333337</v>
      </c>
      <c r="I793" s="1">
        <v>0</v>
      </c>
      <c r="J793" s="1">
        <v>10</v>
      </c>
      <c r="K793" s="1" t="s">
        <v>18</v>
      </c>
      <c r="L793" s="1" t="s">
        <v>19</v>
      </c>
      <c r="M793" s="1">
        <v>2243</v>
      </c>
    </row>
    <row r="794" spans="1:13" x14ac:dyDescent="0.35">
      <c r="A794" s="1" t="s">
        <v>1382</v>
      </c>
      <c r="B794" s="2">
        <v>46180</v>
      </c>
      <c r="C794" s="1" t="s">
        <v>245</v>
      </c>
      <c r="D794" s="1" t="s">
        <v>37</v>
      </c>
      <c r="E794" s="1" t="s">
        <v>44</v>
      </c>
      <c r="F794" s="1" t="s">
        <v>17</v>
      </c>
      <c r="G794" s="3">
        <v>0.79861111111111116</v>
      </c>
      <c r="H794" s="3">
        <v>0.81944444444444442</v>
      </c>
      <c r="I794" s="1">
        <v>30</v>
      </c>
      <c r="J794" s="1">
        <v>25</v>
      </c>
      <c r="K794" s="1" t="s">
        <v>54</v>
      </c>
      <c r="L794" s="1" t="s">
        <v>19</v>
      </c>
      <c r="M794" s="1">
        <v>2489</v>
      </c>
    </row>
    <row r="795" spans="1:13" x14ac:dyDescent="0.35">
      <c r="A795" s="1" t="s">
        <v>1383</v>
      </c>
      <c r="B795" s="2">
        <v>46181</v>
      </c>
      <c r="C795" s="1" t="s">
        <v>463</v>
      </c>
      <c r="D795" s="1" t="s">
        <v>78</v>
      </c>
      <c r="E795" s="1" t="s">
        <v>16</v>
      </c>
      <c r="F795" s="1" t="s">
        <v>17</v>
      </c>
      <c r="G795" s="3">
        <v>0.36805555555555558</v>
      </c>
      <c r="H795" s="3">
        <v>0.37291666666666667</v>
      </c>
      <c r="I795" s="1">
        <v>7</v>
      </c>
      <c r="J795" s="1">
        <v>13</v>
      </c>
      <c r="K795" s="1" t="s">
        <v>18</v>
      </c>
      <c r="L795" s="1" t="s">
        <v>19</v>
      </c>
      <c r="M795" s="1">
        <v>1438</v>
      </c>
    </row>
    <row r="796" spans="1:13" x14ac:dyDescent="0.35">
      <c r="A796" s="1" t="s">
        <v>1384</v>
      </c>
      <c r="B796" s="2">
        <v>46181</v>
      </c>
      <c r="C796" s="1" t="s">
        <v>686</v>
      </c>
      <c r="D796" s="1" t="s">
        <v>22</v>
      </c>
      <c r="E796" s="1" t="s">
        <v>50</v>
      </c>
      <c r="F796" s="1" t="s">
        <v>24</v>
      </c>
      <c r="G796" s="3">
        <v>0.71875</v>
      </c>
      <c r="H796" s="3">
        <v>0.71805555555555556</v>
      </c>
      <c r="I796" s="1">
        <v>-1</v>
      </c>
      <c r="J796" s="1">
        <v>-11</v>
      </c>
      <c r="K796" s="1" t="s">
        <v>18</v>
      </c>
      <c r="L796" s="1" t="s">
        <v>19</v>
      </c>
      <c r="M796" s="1">
        <v>759</v>
      </c>
    </row>
    <row r="797" spans="1:13" x14ac:dyDescent="0.35">
      <c r="A797" s="1" t="s">
        <v>1385</v>
      </c>
      <c r="B797" s="2">
        <v>46182</v>
      </c>
      <c r="C797" s="1" t="s">
        <v>1386</v>
      </c>
      <c r="D797" s="1" t="s">
        <v>47</v>
      </c>
      <c r="E797" s="1" t="s">
        <v>44</v>
      </c>
      <c r="F797" s="1" t="s">
        <v>38</v>
      </c>
      <c r="G797" s="3">
        <v>0.71180555555555558</v>
      </c>
      <c r="H797" s="3">
        <v>0.71388888888888891</v>
      </c>
      <c r="I797" s="1">
        <v>3</v>
      </c>
      <c r="J797" s="1">
        <v>-5</v>
      </c>
      <c r="K797" s="1" t="s">
        <v>18</v>
      </c>
      <c r="L797" s="1" t="s">
        <v>19</v>
      </c>
      <c r="M797" s="1">
        <v>2698</v>
      </c>
    </row>
    <row r="798" spans="1:13" x14ac:dyDescent="0.35">
      <c r="A798" s="1" t="s">
        <v>1387</v>
      </c>
      <c r="B798" s="2">
        <v>46182</v>
      </c>
      <c r="C798" s="1" t="s">
        <v>239</v>
      </c>
      <c r="D798" s="1" t="s">
        <v>123</v>
      </c>
      <c r="E798" s="1" t="s">
        <v>22</v>
      </c>
      <c r="F798" s="1" t="s">
        <v>24</v>
      </c>
      <c r="G798" s="3">
        <v>0.76736111111111116</v>
      </c>
      <c r="H798" s="3">
        <v>0.80694444444444446</v>
      </c>
      <c r="I798" s="1">
        <v>57</v>
      </c>
      <c r="J798" s="1">
        <v>61</v>
      </c>
      <c r="K798" s="1" t="s">
        <v>174</v>
      </c>
      <c r="L798" s="1" t="s">
        <v>19</v>
      </c>
      <c r="M798" s="1">
        <v>759</v>
      </c>
    </row>
    <row r="799" spans="1:13" x14ac:dyDescent="0.35">
      <c r="A799" s="1" t="s">
        <v>1388</v>
      </c>
      <c r="B799" s="2">
        <v>46183</v>
      </c>
      <c r="C799" s="1" t="s">
        <v>292</v>
      </c>
      <c r="D799" s="1" t="s">
        <v>31</v>
      </c>
      <c r="E799" s="1" t="s">
        <v>50</v>
      </c>
      <c r="F799" s="1" t="s">
        <v>17</v>
      </c>
      <c r="G799" s="3">
        <v>0.24652777777777779</v>
      </c>
      <c r="H799" s="3">
        <v>0.2416666666666667</v>
      </c>
      <c r="I799" s="1">
        <v>1440</v>
      </c>
      <c r="J799" s="1">
        <v>-12</v>
      </c>
      <c r="K799" s="1"/>
      <c r="L799" s="1" t="s">
        <v>19</v>
      </c>
      <c r="M799" s="1">
        <v>1743</v>
      </c>
    </row>
    <row r="800" spans="1:13" x14ac:dyDescent="0.35">
      <c r="A800" s="1" t="s">
        <v>1389</v>
      </c>
      <c r="B800" s="2">
        <v>46183</v>
      </c>
      <c r="C800" s="1" t="s">
        <v>1058</v>
      </c>
      <c r="D800" s="1" t="s">
        <v>71</v>
      </c>
      <c r="E800" s="1" t="s">
        <v>22</v>
      </c>
      <c r="F800" s="1" t="s">
        <v>28</v>
      </c>
      <c r="G800" s="3">
        <v>0.73611111111111116</v>
      </c>
      <c r="H800" s="3">
        <v>0.76388888888888884</v>
      </c>
      <c r="I800" s="1">
        <v>40</v>
      </c>
      <c r="J800" s="1">
        <v>27</v>
      </c>
      <c r="K800" s="1" t="s">
        <v>617</v>
      </c>
      <c r="L800" s="1" t="s">
        <v>19</v>
      </c>
      <c r="M800" s="1">
        <v>738</v>
      </c>
    </row>
    <row r="801" spans="1:13" x14ac:dyDescent="0.35">
      <c r="A801" s="1" t="s">
        <v>1390</v>
      </c>
      <c r="B801" s="2">
        <v>46183</v>
      </c>
      <c r="C801" s="1" t="s">
        <v>452</v>
      </c>
      <c r="D801" s="1" t="s">
        <v>22</v>
      </c>
      <c r="E801" s="1" t="s">
        <v>41</v>
      </c>
      <c r="F801" s="1" t="s">
        <v>17</v>
      </c>
      <c r="G801" s="3">
        <v>0.82638888888888884</v>
      </c>
      <c r="H801" s="3">
        <v>0.87847222222222221</v>
      </c>
      <c r="I801" s="1">
        <v>75</v>
      </c>
      <c r="J801" s="1">
        <v>62</v>
      </c>
      <c r="K801" s="1" t="s">
        <v>276</v>
      </c>
      <c r="L801" s="1" t="s">
        <v>19</v>
      </c>
      <c r="M801" s="1">
        <v>1092</v>
      </c>
    </row>
    <row r="802" spans="1:13" x14ac:dyDescent="0.35">
      <c r="A802" s="1" t="s">
        <v>1391</v>
      </c>
      <c r="B802" s="2">
        <v>46184</v>
      </c>
      <c r="C802" s="1" t="s">
        <v>975</v>
      </c>
      <c r="D802" s="1" t="s">
        <v>22</v>
      </c>
      <c r="E802" s="1" t="s">
        <v>47</v>
      </c>
      <c r="F802" s="1" t="s">
        <v>17</v>
      </c>
      <c r="G802" s="3">
        <v>0.71875</v>
      </c>
      <c r="H802" s="3">
        <v>0.75</v>
      </c>
      <c r="I802" s="1">
        <v>45</v>
      </c>
      <c r="J802" s="1">
        <v>47</v>
      </c>
      <c r="K802" s="1" t="s">
        <v>54</v>
      </c>
      <c r="L802" s="1" t="s">
        <v>19</v>
      </c>
      <c r="M802" s="1">
        <v>2580</v>
      </c>
    </row>
    <row r="803" spans="1:13" x14ac:dyDescent="0.35">
      <c r="A803" s="1" t="s">
        <v>1392</v>
      </c>
      <c r="B803" s="2">
        <v>46185</v>
      </c>
      <c r="C803" s="1" t="s">
        <v>935</v>
      </c>
      <c r="D803" s="1" t="s">
        <v>37</v>
      </c>
      <c r="E803" s="1" t="s">
        <v>23</v>
      </c>
      <c r="F803" s="1" t="s">
        <v>17</v>
      </c>
      <c r="G803" s="3">
        <v>0.56597222222222221</v>
      </c>
      <c r="H803" s="3">
        <v>0.56805555555555554</v>
      </c>
      <c r="I803" s="1">
        <v>3</v>
      </c>
      <c r="J803" s="1">
        <v>11</v>
      </c>
      <c r="K803" s="1" t="s">
        <v>18</v>
      </c>
      <c r="L803" s="1" t="s">
        <v>19</v>
      </c>
      <c r="M803" s="1">
        <v>1023</v>
      </c>
    </row>
    <row r="804" spans="1:13" x14ac:dyDescent="0.35">
      <c r="A804" s="1" t="s">
        <v>1393</v>
      </c>
      <c r="B804" s="2">
        <v>46185</v>
      </c>
      <c r="C804" s="1" t="s">
        <v>598</v>
      </c>
      <c r="D804" s="1" t="s">
        <v>37</v>
      </c>
      <c r="E804" s="1" t="s">
        <v>16</v>
      </c>
      <c r="F804" s="1" t="s">
        <v>17</v>
      </c>
      <c r="G804" s="3">
        <v>0.85069444444444442</v>
      </c>
      <c r="H804" s="3">
        <v>0.85277777777777775</v>
      </c>
      <c r="I804" s="1">
        <v>3</v>
      </c>
      <c r="J804" s="1">
        <v>12</v>
      </c>
      <c r="K804" s="1"/>
      <c r="L804" s="1" t="s">
        <v>19</v>
      </c>
      <c r="M804" s="1">
        <v>1717</v>
      </c>
    </row>
    <row r="805" spans="1:13" x14ac:dyDescent="0.35">
      <c r="A805" s="1" t="s">
        <v>1394</v>
      </c>
      <c r="B805" s="2">
        <v>46186</v>
      </c>
      <c r="C805" s="1" t="s">
        <v>1395</v>
      </c>
      <c r="D805" s="1" t="s">
        <v>47</v>
      </c>
      <c r="E805" s="1" t="s">
        <v>78</v>
      </c>
      <c r="F805" s="1" t="s">
        <v>17</v>
      </c>
      <c r="G805" s="3">
        <v>0.53472222222222221</v>
      </c>
      <c r="H805" s="3">
        <v>0.54305555555555551</v>
      </c>
      <c r="I805" s="1">
        <v>12</v>
      </c>
      <c r="J805" s="1">
        <v>18</v>
      </c>
      <c r="K805" s="1" t="s">
        <v>18</v>
      </c>
      <c r="L805" s="1" t="s">
        <v>19</v>
      </c>
      <c r="M805" s="1">
        <v>651</v>
      </c>
    </row>
    <row r="806" spans="1:13" x14ac:dyDescent="0.35">
      <c r="A806" s="1" t="s">
        <v>1396</v>
      </c>
      <c r="B806" s="2">
        <v>46187</v>
      </c>
      <c r="C806" s="1" t="s">
        <v>843</v>
      </c>
      <c r="D806" s="1" t="s">
        <v>23</v>
      </c>
      <c r="E806" s="1" t="s">
        <v>31</v>
      </c>
      <c r="F806" s="1" t="s">
        <v>17</v>
      </c>
      <c r="G806" s="3">
        <v>0.33333333333333331</v>
      </c>
      <c r="H806" s="3">
        <v>0.33124999999999999</v>
      </c>
      <c r="I806" s="1">
        <v>-3</v>
      </c>
      <c r="J806" s="1">
        <v>4</v>
      </c>
      <c r="K806" s="1"/>
      <c r="L806" s="1" t="s">
        <v>19</v>
      </c>
      <c r="M806" s="1">
        <v>627</v>
      </c>
    </row>
    <row r="807" spans="1:13" x14ac:dyDescent="0.35">
      <c r="A807" s="1" t="s">
        <v>1397</v>
      </c>
      <c r="B807" s="2">
        <v>46187</v>
      </c>
      <c r="C807" s="1" t="s">
        <v>587</v>
      </c>
      <c r="D807" s="1" t="s">
        <v>16</v>
      </c>
      <c r="E807" s="1" t="s">
        <v>50</v>
      </c>
      <c r="F807" s="1" t="s">
        <v>24</v>
      </c>
      <c r="G807" s="3">
        <v>0.34027777777777779</v>
      </c>
      <c r="H807" s="3">
        <v>0.34444444444444439</v>
      </c>
      <c r="I807" s="1">
        <v>6</v>
      </c>
      <c r="J807" s="1">
        <v>-6</v>
      </c>
      <c r="K807" s="1" t="s">
        <v>18</v>
      </c>
      <c r="L807" s="1" t="s">
        <v>19</v>
      </c>
      <c r="M807" s="1">
        <v>606</v>
      </c>
    </row>
    <row r="808" spans="1:13" x14ac:dyDescent="0.35">
      <c r="A808" s="1" t="s">
        <v>1398</v>
      </c>
      <c r="B808" s="2">
        <v>46187</v>
      </c>
      <c r="C808" s="1" t="s">
        <v>288</v>
      </c>
      <c r="D808" s="1" t="s">
        <v>23</v>
      </c>
      <c r="E808" s="1" t="s">
        <v>22</v>
      </c>
      <c r="F808" s="1" t="s">
        <v>38</v>
      </c>
      <c r="G808" s="3">
        <v>0.34722222222222221</v>
      </c>
      <c r="H808" s="3">
        <v>0.35416666666666669</v>
      </c>
      <c r="I808" s="1">
        <v>10</v>
      </c>
      <c r="J808" s="1">
        <v>11</v>
      </c>
      <c r="K808" s="1" t="s">
        <v>18</v>
      </c>
      <c r="L808" s="1" t="s">
        <v>19</v>
      </c>
      <c r="M808" s="1">
        <v>1622</v>
      </c>
    </row>
    <row r="809" spans="1:13" x14ac:dyDescent="0.35">
      <c r="A809" s="1" t="s">
        <v>1399</v>
      </c>
      <c r="B809" s="2">
        <v>46187</v>
      </c>
      <c r="C809" s="1" t="s">
        <v>1400</v>
      </c>
      <c r="D809" s="1" t="s">
        <v>50</v>
      </c>
      <c r="E809" s="1" t="s">
        <v>23</v>
      </c>
      <c r="F809" s="1" t="s">
        <v>28</v>
      </c>
      <c r="G809" s="3">
        <v>0.52430555555555558</v>
      </c>
      <c r="H809" s="3">
        <v>0.54236111111111107</v>
      </c>
      <c r="I809" s="1">
        <v>26</v>
      </c>
      <c r="J809" s="1">
        <v>12</v>
      </c>
      <c r="K809" s="1" t="s">
        <v>319</v>
      </c>
      <c r="L809" s="1" t="s">
        <v>19</v>
      </c>
      <c r="M809" s="1">
        <v>1197</v>
      </c>
    </row>
    <row r="810" spans="1:13" x14ac:dyDescent="0.35">
      <c r="A810" s="1" t="s">
        <v>1401</v>
      </c>
      <c r="B810" s="2">
        <v>46187</v>
      </c>
      <c r="C810" s="1" t="s">
        <v>1402</v>
      </c>
      <c r="D810" s="1" t="s">
        <v>22</v>
      </c>
      <c r="E810" s="1" t="s">
        <v>16</v>
      </c>
      <c r="F810" s="1" t="s">
        <v>17</v>
      </c>
      <c r="G810" s="3">
        <v>0.62152777777777779</v>
      </c>
      <c r="H810" s="3">
        <v>0.62430555555555556</v>
      </c>
      <c r="I810" s="1">
        <v>4</v>
      </c>
      <c r="J810" s="1">
        <v>7</v>
      </c>
      <c r="K810" s="1" t="s">
        <v>18</v>
      </c>
      <c r="L810" s="1" t="s">
        <v>19</v>
      </c>
      <c r="M810" s="1">
        <v>738</v>
      </c>
    </row>
    <row r="811" spans="1:13" x14ac:dyDescent="0.35">
      <c r="A811" s="1" t="s">
        <v>1403</v>
      </c>
      <c r="B811" s="2">
        <v>46187</v>
      </c>
      <c r="C811" s="1" t="s">
        <v>220</v>
      </c>
      <c r="D811" s="1" t="s">
        <v>27</v>
      </c>
      <c r="E811" s="1" t="s">
        <v>41</v>
      </c>
      <c r="F811" s="1" t="s">
        <v>28</v>
      </c>
      <c r="G811" s="3">
        <v>0.69444444444444442</v>
      </c>
      <c r="H811" s="3">
        <v>0.70763888888888893</v>
      </c>
      <c r="I811" s="1">
        <v>19</v>
      </c>
      <c r="J811" s="1">
        <v>4</v>
      </c>
      <c r="K811" s="1" t="s">
        <v>54</v>
      </c>
      <c r="L811" s="1" t="s">
        <v>19</v>
      </c>
      <c r="M811" s="1">
        <v>1120</v>
      </c>
    </row>
    <row r="812" spans="1:13" x14ac:dyDescent="0.35">
      <c r="A812" s="1" t="s">
        <v>1403</v>
      </c>
      <c r="B812" s="2">
        <v>46187</v>
      </c>
      <c r="C812" s="1" t="s">
        <v>220</v>
      </c>
      <c r="D812" s="1" t="s">
        <v>27</v>
      </c>
      <c r="E812" s="1" t="s">
        <v>41</v>
      </c>
      <c r="F812" s="1" t="s">
        <v>28</v>
      </c>
      <c r="G812" s="3">
        <v>0.69444444444444442</v>
      </c>
      <c r="H812" s="3">
        <v>0.70763888888888893</v>
      </c>
      <c r="I812" s="1">
        <v>19</v>
      </c>
      <c r="J812" s="1">
        <v>4</v>
      </c>
      <c r="K812" s="1" t="s">
        <v>54</v>
      </c>
      <c r="L812" s="1" t="s">
        <v>19</v>
      </c>
      <c r="M812" s="1">
        <v>1120</v>
      </c>
    </row>
    <row r="813" spans="1:13" x14ac:dyDescent="0.35">
      <c r="A813" s="1" t="s">
        <v>1404</v>
      </c>
      <c r="B813" s="2">
        <v>46187</v>
      </c>
      <c r="C813" s="1" t="s">
        <v>1341</v>
      </c>
      <c r="D813" s="1" t="s">
        <v>37</v>
      </c>
      <c r="E813" s="1" t="s">
        <v>23</v>
      </c>
      <c r="F813" s="1" t="s">
        <v>28</v>
      </c>
      <c r="G813" s="3">
        <v>0.71180555555555558</v>
      </c>
      <c r="H813" s="3">
        <v>0.71944444444444444</v>
      </c>
      <c r="I813" s="1">
        <v>11</v>
      </c>
      <c r="J813" s="1">
        <v>13</v>
      </c>
      <c r="K813" s="1" t="s">
        <v>18</v>
      </c>
      <c r="L813" s="1" t="s">
        <v>19</v>
      </c>
      <c r="M813" s="1">
        <v>1023</v>
      </c>
    </row>
    <row r="814" spans="1:13" x14ac:dyDescent="0.35">
      <c r="A814" s="1" t="s">
        <v>1405</v>
      </c>
      <c r="B814" s="2">
        <v>46187</v>
      </c>
      <c r="C814" s="1" t="s">
        <v>721</v>
      </c>
      <c r="D814" s="1" t="s">
        <v>15</v>
      </c>
      <c r="E814" s="1" t="s">
        <v>23</v>
      </c>
      <c r="F814" s="1" t="s">
        <v>28</v>
      </c>
      <c r="G814" s="3">
        <v>0.74652777777777779</v>
      </c>
      <c r="H814" s="1"/>
      <c r="I814" s="1"/>
      <c r="J814" s="1"/>
      <c r="K814" s="1" t="s">
        <v>149</v>
      </c>
      <c r="L814" s="1" t="s">
        <v>254</v>
      </c>
      <c r="M814" s="1">
        <v>861</v>
      </c>
    </row>
    <row r="815" spans="1:13" x14ac:dyDescent="0.35">
      <c r="A815" s="1" t="s">
        <v>1406</v>
      </c>
      <c r="B815" s="2">
        <v>46187</v>
      </c>
      <c r="C815" s="1" t="s">
        <v>417</v>
      </c>
      <c r="D815" s="1" t="s">
        <v>16</v>
      </c>
      <c r="E815" s="1" t="s">
        <v>23</v>
      </c>
      <c r="F815" s="1" t="s">
        <v>17</v>
      </c>
      <c r="G815" s="3">
        <v>0.81597222222222221</v>
      </c>
      <c r="H815" s="3">
        <v>0.81041666666666667</v>
      </c>
      <c r="I815" s="1">
        <v>-8</v>
      </c>
      <c r="J815" s="1">
        <v>-1</v>
      </c>
      <c r="K815" s="1" t="s">
        <v>18</v>
      </c>
      <c r="L815" s="1" t="s">
        <v>19</v>
      </c>
      <c r="M815" s="1">
        <v>886</v>
      </c>
    </row>
    <row r="816" spans="1:13" x14ac:dyDescent="0.35">
      <c r="A816" s="1" t="s">
        <v>1407</v>
      </c>
      <c r="B816" s="2">
        <v>46188</v>
      </c>
      <c r="C816" s="1" t="s">
        <v>539</v>
      </c>
      <c r="D816" s="1" t="s">
        <v>27</v>
      </c>
      <c r="E816" s="1" t="s">
        <v>31</v>
      </c>
      <c r="F816" s="1" t="s">
        <v>38</v>
      </c>
      <c r="G816" s="3">
        <v>0.58333333333333337</v>
      </c>
      <c r="H816" s="3">
        <v>0.57986111111111116</v>
      </c>
      <c r="I816" s="1">
        <v>-5</v>
      </c>
      <c r="J816" s="1">
        <v>-7</v>
      </c>
      <c r="K816" s="1" t="s">
        <v>18</v>
      </c>
      <c r="L816" s="1" t="s">
        <v>19</v>
      </c>
      <c r="M816" s="1">
        <v>1053</v>
      </c>
    </row>
    <row r="817" spans="1:13" x14ac:dyDescent="0.35">
      <c r="A817" s="1" t="s">
        <v>1408</v>
      </c>
      <c r="B817" s="2">
        <v>46189</v>
      </c>
      <c r="C817" s="1" t="s">
        <v>512</v>
      </c>
      <c r="D817" s="1" t="s">
        <v>123</v>
      </c>
      <c r="E817" s="1" t="s">
        <v>41</v>
      </c>
      <c r="F817" s="1" t="s">
        <v>38</v>
      </c>
      <c r="G817" s="3">
        <v>0.78472222222222221</v>
      </c>
      <c r="H817" s="3">
        <v>0.79166666666666663</v>
      </c>
      <c r="I817" s="1">
        <v>10</v>
      </c>
      <c r="J817" s="1">
        <v>18</v>
      </c>
      <c r="K817" s="1" t="s">
        <v>18</v>
      </c>
      <c r="L817" s="1" t="s">
        <v>19</v>
      </c>
      <c r="M817" s="1">
        <v>596</v>
      </c>
    </row>
    <row r="818" spans="1:13" x14ac:dyDescent="0.35">
      <c r="A818" s="1" t="s">
        <v>1409</v>
      </c>
      <c r="B818" s="2">
        <v>46190</v>
      </c>
      <c r="C818" s="1" t="s">
        <v>1410</v>
      </c>
      <c r="D818" s="1" t="s">
        <v>41</v>
      </c>
      <c r="E818" s="1" t="s">
        <v>15</v>
      </c>
      <c r="F818" s="1" t="s">
        <v>24</v>
      </c>
      <c r="G818" s="3">
        <v>0.54513888888888884</v>
      </c>
      <c r="H818" s="3">
        <v>0.54374999999999996</v>
      </c>
      <c r="I818" s="1">
        <v>-2</v>
      </c>
      <c r="J818" s="1">
        <v>-5</v>
      </c>
      <c r="K818" s="1" t="s">
        <v>18</v>
      </c>
      <c r="L818" s="1" t="s">
        <v>19</v>
      </c>
      <c r="M818" s="1">
        <v>2338</v>
      </c>
    </row>
    <row r="819" spans="1:13" x14ac:dyDescent="0.35">
      <c r="A819" s="1" t="s">
        <v>1411</v>
      </c>
      <c r="B819" s="2">
        <v>46190</v>
      </c>
      <c r="C819" s="1" t="s">
        <v>1024</v>
      </c>
      <c r="D819" s="1" t="s">
        <v>50</v>
      </c>
      <c r="E819" s="1" t="s">
        <v>15</v>
      </c>
      <c r="F819" s="1" t="s">
        <v>17</v>
      </c>
      <c r="G819" s="3">
        <v>0.61111111111111116</v>
      </c>
      <c r="H819" s="3">
        <v>0.61250000000000004</v>
      </c>
      <c r="I819" s="1">
        <v>2</v>
      </c>
      <c r="J819" s="1">
        <v>2</v>
      </c>
      <c r="K819" s="1"/>
      <c r="L819" s="1" t="s">
        <v>19</v>
      </c>
      <c r="M819" s="1">
        <v>1942</v>
      </c>
    </row>
    <row r="820" spans="1:13" x14ac:dyDescent="0.35">
      <c r="A820" s="1" t="s">
        <v>1412</v>
      </c>
      <c r="B820" s="2">
        <v>46190</v>
      </c>
      <c r="C820" s="1" t="s">
        <v>157</v>
      </c>
      <c r="D820" s="1" t="s">
        <v>50</v>
      </c>
      <c r="E820" s="1" t="s">
        <v>23</v>
      </c>
      <c r="F820" s="1" t="s">
        <v>28</v>
      </c>
      <c r="G820" s="3">
        <v>0.69444444444444442</v>
      </c>
      <c r="H820" s="3">
        <v>0.72499999999999998</v>
      </c>
      <c r="I820" s="1">
        <v>44</v>
      </c>
      <c r="J820" s="1">
        <v>52</v>
      </c>
      <c r="K820" s="1" t="s">
        <v>129</v>
      </c>
      <c r="L820" s="1" t="s">
        <v>19</v>
      </c>
      <c r="M820" s="1">
        <v>1197</v>
      </c>
    </row>
    <row r="821" spans="1:13" x14ac:dyDescent="0.35">
      <c r="A821" s="1" t="s">
        <v>1413</v>
      </c>
      <c r="B821" s="2">
        <v>46191</v>
      </c>
      <c r="C821" s="1" t="s">
        <v>1193</v>
      </c>
      <c r="D821" s="1" t="s">
        <v>16</v>
      </c>
      <c r="E821" s="1" t="s">
        <v>31</v>
      </c>
      <c r="F821" s="1" t="s">
        <v>17</v>
      </c>
      <c r="G821" s="3">
        <v>0.30555555555555558</v>
      </c>
      <c r="H821" s="3">
        <v>0.30972222222222218</v>
      </c>
      <c r="I821" s="1">
        <v>6</v>
      </c>
      <c r="J821" s="1">
        <v>3</v>
      </c>
      <c r="K821" s="1" t="s">
        <v>18</v>
      </c>
      <c r="L821" s="1" t="s">
        <v>19</v>
      </c>
      <c r="M821" s="1">
        <v>1511</v>
      </c>
    </row>
    <row r="822" spans="1:13" x14ac:dyDescent="0.35">
      <c r="A822" s="1" t="s">
        <v>1414</v>
      </c>
      <c r="B822" s="2">
        <v>46191</v>
      </c>
      <c r="C822" s="1" t="s">
        <v>465</v>
      </c>
      <c r="D822" s="1" t="s">
        <v>16</v>
      </c>
      <c r="E822" s="1" t="s">
        <v>50</v>
      </c>
      <c r="F822" s="1" t="s">
        <v>28</v>
      </c>
      <c r="G822" s="3">
        <v>0.41319444444444442</v>
      </c>
      <c r="H822" s="3">
        <v>0.41736111111111113</v>
      </c>
      <c r="I822" s="1">
        <v>6</v>
      </c>
      <c r="J822" s="1">
        <v>16</v>
      </c>
      <c r="K822" s="1" t="s">
        <v>18</v>
      </c>
      <c r="L822" s="1" t="s">
        <v>19</v>
      </c>
      <c r="M822" s="1">
        <v>606</v>
      </c>
    </row>
    <row r="823" spans="1:13" x14ac:dyDescent="0.35">
      <c r="A823" s="1" t="s">
        <v>1415</v>
      </c>
      <c r="B823" s="2">
        <v>46191</v>
      </c>
      <c r="C823" s="1" t="s">
        <v>594</v>
      </c>
      <c r="D823" s="1" t="s">
        <v>15</v>
      </c>
      <c r="E823" s="1" t="s">
        <v>31</v>
      </c>
      <c r="F823" s="1" t="s">
        <v>38</v>
      </c>
      <c r="G823" s="3">
        <v>0.65625</v>
      </c>
      <c r="H823" s="3">
        <v>0.70763888888888893</v>
      </c>
      <c r="I823" s="1">
        <v>74</v>
      </c>
      <c r="J823" s="1">
        <v>73</v>
      </c>
      <c r="K823" s="1" t="s">
        <v>98</v>
      </c>
      <c r="L823" s="1" t="s">
        <v>19</v>
      </c>
      <c r="M823" s="1">
        <v>236</v>
      </c>
    </row>
    <row r="824" spans="1:13" x14ac:dyDescent="0.35">
      <c r="A824" s="1" t="s">
        <v>1416</v>
      </c>
      <c r="B824" s="2">
        <v>46192</v>
      </c>
      <c r="C824" s="1" t="s">
        <v>232</v>
      </c>
      <c r="D824" s="1" t="s">
        <v>16</v>
      </c>
      <c r="E824" s="1" t="s">
        <v>27</v>
      </c>
      <c r="F824" s="1" t="s">
        <v>24</v>
      </c>
      <c r="G824" s="3">
        <v>0.39930555555555558</v>
      </c>
      <c r="H824" s="3">
        <v>0.39791666666666659</v>
      </c>
      <c r="I824" s="1">
        <v>-2</v>
      </c>
      <c r="J824" s="1"/>
      <c r="K824" s="1" t="s">
        <v>18</v>
      </c>
      <c r="L824" s="1" t="s">
        <v>19</v>
      </c>
      <c r="M824" s="1">
        <v>802</v>
      </c>
    </row>
    <row r="825" spans="1:13" x14ac:dyDescent="0.35">
      <c r="A825" s="1" t="s">
        <v>1417</v>
      </c>
      <c r="B825" s="2">
        <v>46192</v>
      </c>
      <c r="C825" s="1" t="s">
        <v>324</v>
      </c>
      <c r="D825" s="1" t="s">
        <v>16</v>
      </c>
      <c r="E825" s="1" t="s">
        <v>50</v>
      </c>
      <c r="F825" s="1" t="s">
        <v>17</v>
      </c>
      <c r="G825" s="3">
        <v>0.45833333333333331</v>
      </c>
      <c r="H825" s="3">
        <v>0.46458333333333329</v>
      </c>
      <c r="I825" s="1">
        <v>9</v>
      </c>
      <c r="J825" s="1">
        <v>13</v>
      </c>
      <c r="K825" s="1" t="s">
        <v>18</v>
      </c>
      <c r="L825" s="1" t="s">
        <v>19</v>
      </c>
      <c r="M825" s="1">
        <v>606</v>
      </c>
    </row>
    <row r="826" spans="1:13" x14ac:dyDescent="0.35">
      <c r="A826" s="1" t="s">
        <v>1418</v>
      </c>
      <c r="B826" s="2">
        <v>46192</v>
      </c>
      <c r="C826" s="1" t="s">
        <v>1095</v>
      </c>
      <c r="D826" s="1" t="s">
        <v>44</v>
      </c>
      <c r="E826" s="1" t="s">
        <v>78</v>
      </c>
      <c r="F826" s="1" t="s">
        <v>17</v>
      </c>
      <c r="G826" s="3">
        <v>0.55208333333333337</v>
      </c>
      <c r="H826" s="3">
        <v>0.59375</v>
      </c>
      <c r="I826" s="1">
        <v>60</v>
      </c>
      <c r="J826" s="1">
        <v>60</v>
      </c>
      <c r="K826" s="1" t="s">
        <v>60</v>
      </c>
      <c r="L826" s="1" t="s">
        <v>19</v>
      </c>
      <c r="M826" s="1">
        <v>2295</v>
      </c>
    </row>
    <row r="827" spans="1:13" x14ac:dyDescent="0.35">
      <c r="A827" s="1" t="s">
        <v>1419</v>
      </c>
      <c r="B827" s="2">
        <v>46192</v>
      </c>
      <c r="C827" s="1" t="s">
        <v>1420</v>
      </c>
      <c r="D827" s="1" t="s">
        <v>50</v>
      </c>
      <c r="E827" s="1" t="s">
        <v>16</v>
      </c>
      <c r="F827" s="1" t="s">
        <v>28</v>
      </c>
      <c r="G827" s="3">
        <v>0.61111111111111116</v>
      </c>
      <c r="H827" s="3">
        <v>0.61111111111111116</v>
      </c>
      <c r="I827" s="1">
        <v>0</v>
      </c>
      <c r="J827" s="1">
        <v>-8</v>
      </c>
      <c r="K827" s="1" t="s">
        <v>18</v>
      </c>
      <c r="L827" s="1" t="s">
        <v>19</v>
      </c>
      <c r="M827" s="1">
        <v>606</v>
      </c>
    </row>
    <row r="828" spans="1:13" x14ac:dyDescent="0.35">
      <c r="A828" s="1" t="s">
        <v>1419</v>
      </c>
      <c r="B828" s="2">
        <v>46192</v>
      </c>
      <c r="C828" s="1" t="s">
        <v>1420</v>
      </c>
      <c r="D828" s="1" t="s">
        <v>50</v>
      </c>
      <c r="E828" s="1" t="s">
        <v>16</v>
      </c>
      <c r="F828" s="1" t="s">
        <v>28</v>
      </c>
      <c r="G828" s="3">
        <v>0.61111111111111116</v>
      </c>
      <c r="H828" s="3">
        <v>0.61111111111111116</v>
      </c>
      <c r="I828" s="1">
        <v>0</v>
      </c>
      <c r="J828" s="1">
        <v>-8</v>
      </c>
      <c r="K828" s="1" t="s">
        <v>18</v>
      </c>
      <c r="L828" s="1" t="s">
        <v>19</v>
      </c>
      <c r="M828" s="1">
        <v>606</v>
      </c>
    </row>
    <row r="829" spans="1:13" x14ac:dyDescent="0.35">
      <c r="A829" s="1" t="s">
        <v>1421</v>
      </c>
      <c r="B829" s="2">
        <v>46192</v>
      </c>
      <c r="C829" s="1" t="s">
        <v>1402</v>
      </c>
      <c r="D829" s="1" t="s">
        <v>32</v>
      </c>
      <c r="E829" s="1" t="s">
        <v>23</v>
      </c>
      <c r="F829" s="1" t="s">
        <v>17</v>
      </c>
      <c r="G829" s="3">
        <v>0.75694444444444442</v>
      </c>
      <c r="H829" s="3">
        <v>0.79791666666666672</v>
      </c>
      <c r="I829" s="1">
        <v>59</v>
      </c>
      <c r="J829" s="1">
        <v>54</v>
      </c>
      <c r="K829" s="1" t="s">
        <v>477</v>
      </c>
      <c r="L829" s="1" t="s">
        <v>19</v>
      </c>
      <c r="M829" s="1">
        <v>1622</v>
      </c>
    </row>
    <row r="830" spans="1:13" x14ac:dyDescent="0.35">
      <c r="A830" s="1" t="s">
        <v>1422</v>
      </c>
      <c r="B830" s="2">
        <v>46192</v>
      </c>
      <c r="C830" s="1" t="s">
        <v>458</v>
      </c>
      <c r="D830" s="1" t="s">
        <v>16</v>
      </c>
      <c r="E830" s="1" t="s">
        <v>41</v>
      </c>
      <c r="F830" s="1" t="s">
        <v>17</v>
      </c>
      <c r="G830" s="3">
        <v>0.89930555555555558</v>
      </c>
      <c r="H830" s="3">
        <v>0.93055555555555558</v>
      </c>
      <c r="I830" s="1">
        <v>45</v>
      </c>
      <c r="J830" s="1">
        <v>35</v>
      </c>
      <c r="K830" s="1" t="s">
        <v>263</v>
      </c>
      <c r="L830" s="1" t="s">
        <v>19</v>
      </c>
      <c r="M830" s="1">
        <v>1199</v>
      </c>
    </row>
    <row r="831" spans="1:13" x14ac:dyDescent="0.35">
      <c r="A831" s="1" t="s">
        <v>1423</v>
      </c>
      <c r="B831" s="2">
        <v>46194</v>
      </c>
      <c r="C831" s="1" t="s">
        <v>43</v>
      </c>
      <c r="D831" s="1" t="s">
        <v>47</v>
      </c>
      <c r="E831" s="1" t="s">
        <v>15</v>
      </c>
      <c r="F831" s="1" t="s">
        <v>38</v>
      </c>
      <c r="G831" s="3">
        <v>0.75694444444444442</v>
      </c>
      <c r="H831" s="3">
        <v>0.76111111111111107</v>
      </c>
      <c r="I831" s="1">
        <v>6</v>
      </c>
      <c r="J831" s="1">
        <v>2</v>
      </c>
      <c r="K831" s="1" t="s">
        <v>18</v>
      </c>
      <c r="L831" s="1" t="s">
        <v>19</v>
      </c>
      <c r="M831" s="1">
        <v>338</v>
      </c>
    </row>
    <row r="832" spans="1:13" x14ac:dyDescent="0.35">
      <c r="A832" s="1" t="s">
        <v>1424</v>
      </c>
      <c r="B832" s="2">
        <v>46194</v>
      </c>
      <c r="C832" s="1" t="s">
        <v>1223</v>
      </c>
      <c r="D832" s="1" t="s">
        <v>15</v>
      </c>
      <c r="E832" s="1" t="s">
        <v>23</v>
      </c>
      <c r="F832" s="1" t="s">
        <v>24</v>
      </c>
      <c r="G832" s="3">
        <v>0.80902777777777779</v>
      </c>
      <c r="H832" s="3">
        <v>0.84166666666666667</v>
      </c>
      <c r="I832" s="1">
        <v>47</v>
      </c>
      <c r="J832" s="1">
        <v>54</v>
      </c>
      <c r="K832" s="1" t="s">
        <v>60</v>
      </c>
      <c r="L832" s="1" t="s">
        <v>19</v>
      </c>
      <c r="M832" s="1">
        <v>861</v>
      </c>
    </row>
    <row r="833" spans="1:13" x14ac:dyDescent="0.35">
      <c r="A833" s="1" t="s">
        <v>1425</v>
      </c>
      <c r="B833" s="2">
        <v>46195</v>
      </c>
      <c r="C833" s="1" t="s">
        <v>764</v>
      </c>
      <c r="D833" s="1" t="s">
        <v>50</v>
      </c>
      <c r="E833" s="1" t="s">
        <v>16</v>
      </c>
      <c r="F833" s="1" t="s">
        <v>24</v>
      </c>
      <c r="G833" s="3">
        <v>0.36458333333333331</v>
      </c>
      <c r="H833" s="3">
        <v>0.37152777777777779</v>
      </c>
      <c r="I833" s="1">
        <v>10</v>
      </c>
      <c r="J833" s="1">
        <v>12</v>
      </c>
      <c r="K833" s="1" t="s">
        <v>18</v>
      </c>
      <c r="L833" s="1" t="s">
        <v>19</v>
      </c>
      <c r="M833" s="1">
        <v>606</v>
      </c>
    </row>
    <row r="834" spans="1:13" x14ac:dyDescent="0.35">
      <c r="A834" s="1" t="s">
        <v>1426</v>
      </c>
      <c r="B834" s="2">
        <v>46195</v>
      </c>
      <c r="C834" s="1" t="s">
        <v>1427</v>
      </c>
      <c r="D834" s="1" t="s">
        <v>22</v>
      </c>
      <c r="E834" s="1" t="s">
        <v>16</v>
      </c>
      <c r="F834" s="1" t="s">
        <v>17</v>
      </c>
      <c r="G834" s="3">
        <v>0.78125</v>
      </c>
      <c r="H834" s="3">
        <v>0.80277777777777781</v>
      </c>
      <c r="I834" s="1">
        <v>31</v>
      </c>
      <c r="J834" s="1">
        <v>38</v>
      </c>
      <c r="K834" s="1" t="s">
        <v>54</v>
      </c>
      <c r="L834" s="1" t="s">
        <v>19</v>
      </c>
      <c r="M834" s="1">
        <v>738</v>
      </c>
    </row>
    <row r="835" spans="1:13" x14ac:dyDescent="0.35">
      <c r="A835" s="1" t="s">
        <v>1428</v>
      </c>
      <c r="B835" s="2">
        <v>46195</v>
      </c>
      <c r="C835" s="1" t="s">
        <v>543</v>
      </c>
      <c r="D835" s="1" t="s">
        <v>50</v>
      </c>
      <c r="E835" s="1" t="s">
        <v>22</v>
      </c>
      <c r="F835" s="1" t="s">
        <v>17</v>
      </c>
      <c r="G835" s="3">
        <v>0.79861111111111116</v>
      </c>
      <c r="H835" s="3">
        <v>0.82777777777777772</v>
      </c>
      <c r="I835" s="1">
        <v>42</v>
      </c>
      <c r="J835" s="1">
        <v>40</v>
      </c>
      <c r="K835" s="1" t="s">
        <v>54</v>
      </c>
      <c r="L835" s="1" t="s">
        <v>19</v>
      </c>
      <c r="M835" s="1">
        <v>759</v>
      </c>
    </row>
    <row r="836" spans="1:13" x14ac:dyDescent="0.35">
      <c r="A836" s="1" t="s">
        <v>1429</v>
      </c>
      <c r="B836" s="2">
        <v>46195</v>
      </c>
      <c r="C836" s="1" t="s">
        <v>367</v>
      </c>
      <c r="D836" s="1" t="s">
        <v>16</v>
      </c>
      <c r="E836" s="1" t="s">
        <v>41</v>
      </c>
      <c r="F836" s="1" t="s">
        <v>38</v>
      </c>
      <c r="G836" s="3">
        <v>0.82638888888888884</v>
      </c>
      <c r="H836" s="3">
        <v>0.82916666666666672</v>
      </c>
      <c r="I836" s="1">
        <v>-600</v>
      </c>
      <c r="J836" s="1">
        <v>-2</v>
      </c>
      <c r="K836" s="1" t="s">
        <v>18</v>
      </c>
      <c r="L836" s="1" t="s">
        <v>19</v>
      </c>
      <c r="M836" s="1">
        <v>1199</v>
      </c>
    </row>
    <row r="837" spans="1:13" x14ac:dyDescent="0.35">
      <c r="A837" s="1" t="s">
        <v>1430</v>
      </c>
      <c r="B837" s="2">
        <v>46196</v>
      </c>
      <c r="C837" s="1" t="s">
        <v>859</v>
      </c>
      <c r="D837" s="1" t="s">
        <v>27</v>
      </c>
      <c r="E837" s="1" t="s">
        <v>37</v>
      </c>
      <c r="F837" s="1" t="s">
        <v>17</v>
      </c>
      <c r="G837" s="3">
        <v>0.40277777777777779</v>
      </c>
      <c r="H837" s="3">
        <v>0.39861111111111108</v>
      </c>
      <c r="I837" s="1">
        <v>-6</v>
      </c>
      <c r="J837" s="1">
        <v>-14</v>
      </c>
      <c r="K837" s="1" t="s">
        <v>18</v>
      </c>
      <c r="L837" s="1" t="s">
        <v>19</v>
      </c>
      <c r="M837" s="1">
        <v>1658</v>
      </c>
    </row>
    <row r="838" spans="1:13" x14ac:dyDescent="0.35">
      <c r="A838" s="1" t="s">
        <v>1431</v>
      </c>
      <c r="B838" s="2">
        <v>46196</v>
      </c>
      <c r="C838" s="1" t="s">
        <v>1019</v>
      </c>
      <c r="D838" s="1" t="s">
        <v>41</v>
      </c>
      <c r="E838" s="1" t="s">
        <v>22</v>
      </c>
      <c r="F838" s="1" t="s">
        <v>38</v>
      </c>
      <c r="G838" s="3">
        <v>0.71875</v>
      </c>
      <c r="H838" s="3">
        <v>0.78402777777777777</v>
      </c>
      <c r="I838" s="1">
        <v>94</v>
      </c>
      <c r="J838" s="1">
        <v>98</v>
      </c>
      <c r="K838" s="1" t="s">
        <v>263</v>
      </c>
      <c r="L838" s="1" t="s">
        <v>19</v>
      </c>
      <c r="M838" s="1">
        <v>1092</v>
      </c>
    </row>
    <row r="839" spans="1:13" x14ac:dyDescent="0.35">
      <c r="A839" s="1" t="s">
        <v>1432</v>
      </c>
      <c r="B839" s="2">
        <v>46196</v>
      </c>
      <c r="C839" s="1" t="s">
        <v>1272</v>
      </c>
      <c r="D839" s="1" t="s">
        <v>27</v>
      </c>
      <c r="E839" s="1" t="s">
        <v>44</v>
      </c>
      <c r="F839" s="1" t="s">
        <v>17</v>
      </c>
      <c r="G839" s="3">
        <v>0.72569444444444442</v>
      </c>
      <c r="H839" s="3">
        <v>0.72638888888888886</v>
      </c>
      <c r="I839" s="1">
        <v>1</v>
      </c>
      <c r="J839" s="1">
        <v>-2</v>
      </c>
      <c r="K839" s="1" t="s">
        <v>18</v>
      </c>
      <c r="L839" s="1" t="s">
        <v>19</v>
      </c>
      <c r="M839" s="1">
        <v>1559</v>
      </c>
    </row>
    <row r="840" spans="1:13" x14ac:dyDescent="0.35">
      <c r="A840" s="1" t="s">
        <v>1433</v>
      </c>
      <c r="B840" s="2">
        <v>46197</v>
      </c>
      <c r="C840" s="1" t="s">
        <v>1434</v>
      </c>
      <c r="D840" s="1" t="s">
        <v>47</v>
      </c>
      <c r="E840" s="1" t="s">
        <v>15</v>
      </c>
      <c r="F840" s="1" t="s">
        <v>17</v>
      </c>
      <c r="G840" s="3">
        <v>0.52083333333333337</v>
      </c>
      <c r="H840" s="3">
        <v>0.52222222222222225</v>
      </c>
      <c r="I840" s="1">
        <v>2</v>
      </c>
      <c r="J840" s="1">
        <v>-7</v>
      </c>
      <c r="K840" s="1" t="s">
        <v>18</v>
      </c>
      <c r="L840" s="1" t="s">
        <v>19</v>
      </c>
      <c r="M840" s="1">
        <v>338</v>
      </c>
    </row>
    <row r="841" spans="1:13" x14ac:dyDescent="0.35">
      <c r="A841" s="1" t="s">
        <v>1435</v>
      </c>
      <c r="B841" s="2">
        <v>46197</v>
      </c>
      <c r="C841" s="1" t="s">
        <v>1436</v>
      </c>
      <c r="D841" s="1" t="s">
        <v>940</v>
      </c>
      <c r="E841" s="1" t="s">
        <v>41</v>
      </c>
      <c r="F841" s="1" t="s">
        <v>28</v>
      </c>
      <c r="G841" s="3">
        <v>0.87152777777777779</v>
      </c>
      <c r="H841" s="3">
        <v>0.86736111111111114</v>
      </c>
      <c r="I841" s="1">
        <v>-6</v>
      </c>
      <c r="J841" s="1">
        <v>-3</v>
      </c>
      <c r="K841" s="1" t="s">
        <v>18</v>
      </c>
      <c r="L841" s="1" t="s">
        <v>19</v>
      </c>
      <c r="M841" s="1">
        <v>2171</v>
      </c>
    </row>
    <row r="842" spans="1:13" x14ac:dyDescent="0.35">
      <c r="A842" s="1" t="s">
        <v>1437</v>
      </c>
      <c r="B842" s="2">
        <v>46198</v>
      </c>
      <c r="C842" s="1" t="s">
        <v>26</v>
      </c>
      <c r="D842" s="1" t="s">
        <v>22</v>
      </c>
      <c r="E842" s="1" t="s">
        <v>16</v>
      </c>
      <c r="F842" s="1" t="s">
        <v>24</v>
      </c>
      <c r="G842" s="3">
        <v>0.54513888888888884</v>
      </c>
      <c r="H842" s="3">
        <v>0.5444444444444444</v>
      </c>
      <c r="I842" s="1">
        <v>-1</v>
      </c>
      <c r="J842" s="1">
        <v>-8</v>
      </c>
      <c r="K842" s="1" t="s">
        <v>18</v>
      </c>
      <c r="L842" s="1" t="s">
        <v>19</v>
      </c>
      <c r="M842" s="1">
        <v>738</v>
      </c>
    </row>
    <row r="843" spans="1:13" x14ac:dyDescent="0.35">
      <c r="A843" s="1" t="s">
        <v>1438</v>
      </c>
      <c r="B843" s="2">
        <v>46198</v>
      </c>
      <c r="C843" s="1" t="s">
        <v>1439</v>
      </c>
      <c r="D843" s="1" t="s">
        <v>27</v>
      </c>
      <c r="E843" s="1" t="s">
        <v>15</v>
      </c>
      <c r="F843" s="1" t="s">
        <v>28</v>
      </c>
      <c r="G843" s="3">
        <v>0.55555555555555558</v>
      </c>
      <c r="H843" s="3">
        <v>0.56041666666666667</v>
      </c>
      <c r="I843" s="1">
        <v>7</v>
      </c>
      <c r="J843" s="1">
        <v>12</v>
      </c>
      <c r="K843" s="1" t="s">
        <v>18</v>
      </c>
      <c r="L843" s="1" t="s">
        <v>19</v>
      </c>
      <c r="M843" s="1">
        <v>1232</v>
      </c>
    </row>
    <row r="844" spans="1:13" x14ac:dyDescent="0.35">
      <c r="A844" s="1" t="s">
        <v>1440</v>
      </c>
      <c r="B844" s="2">
        <v>46198</v>
      </c>
      <c r="C844" s="1" t="s">
        <v>1062</v>
      </c>
      <c r="D844" s="1" t="s">
        <v>23</v>
      </c>
      <c r="E844" s="1" t="s">
        <v>15</v>
      </c>
      <c r="F844" s="1" t="s">
        <v>17</v>
      </c>
      <c r="G844" s="3">
        <v>0.62152777777777779</v>
      </c>
      <c r="H844" s="3">
        <v>0.62083333333333335</v>
      </c>
      <c r="I844" s="1">
        <v>-1</v>
      </c>
      <c r="J844" s="1">
        <v>8</v>
      </c>
      <c r="K844" s="1"/>
      <c r="L844" s="1" t="s">
        <v>19</v>
      </c>
      <c r="M844" s="1">
        <v>861</v>
      </c>
    </row>
    <row r="845" spans="1:13" x14ac:dyDescent="0.35">
      <c r="A845" s="1" t="s">
        <v>1441</v>
      </c>
      <c r="B845" s="2">
        <v>46199</v>
      </c>
      <c r="C845" s="1" t="s">
        <v>1442</v>
      </c>
      <c r="D845" s="1" t="s">
        <v>22</v>
      </c>
      <c r="E845" s="1" t="s">
        <v>27</v>
      </c>
      <c r="F845" s="1" t="s">
        <v>28</v>
      </c>
      <c r="G845" s="3">
        <v>0.72916666666666663</v>
      </c>
      <c r="H845" s="3">
        <v>0.72569444444444442</v>
      </c>
      <c r="I845" s="1">
        <v>-5</v>
      </c>
      <c r="J845" s="1">
        <v>3</v>
      </c>
      <c r="K845" s="1" t="s">
        <v>18</v>
      </c>
      <c r="L845" s="1" t="s">
        <v>19</v>
      </c>
      <c r="M845" s="1">
        <v>1389</v>
      </c>
    </row>
    <row r="846" spans="1:13" x14ac:dyDescent="0.35">
      <c r="A846" s="1" t="s">
        <v>1443</v>
      </c>
      <c r="B846" s="2">
        <v>46200</v>
      </c>
      <c r="C846" s="1" t="s">
        <v>714</v>
      </c>
      <c r="D846" s="1" t="s">
        <v>41</v>
      </c>
      <c r="E846" s="1" t="s">
        <v>78</v>
      </c>
      <c r="F846" s="1" t="s">
        <v>17</v>
      </c>
      <c r="G846" s="3">
        <v>0.58680555555555558</v>
      </c>
      <c r="H846" s="3">
        <v>0.59236111111111112</v>
      </c>
      <c r="I846" s="1">
        <v>8</v>
      </c>
      <c r="J846" s="1">
        <v>-3</v>
      </c>
      <c r="K846" s="1" t="s">
        <v>18</v>
      </c>
      <c r="L846" s="1" t="s">
        <v>19</v>
      </c>
      <c r="M846" s="1">
        <v>1969</v>
      </c>
    </row>
    <row r="847" spans="1:13" x14ac:dyDescent="0.35">
      <c r="A847" s="1" t="s">
        <v>1444</v>
      </c>
      <c r="B847" s="2">
        <v>46200</v>
      </c>
      <c r="C847" s="1" t="s">
        <v>812</v>
      </c>
      <c r="D847" s="1" t="s">
        <v>16</v>
      </c>
      <c r="E847" s="1" t="s">
        <v>27</v>
      </c>
      <c r="F847" s="1" t="s">
        <v>24</v>
      </c>
      <c r="G847" s="3">
        <v>0.65625</v>
      </c>
      <c r="H847" s="3">
        <v>0.65763888888888888</v>
      </c>
      <c r="I847" s="1">
        <v>2</v>
      </c>
      <c r="J847" s="1">
        <v>-2</v>
      </c>
      <c r="K847" s="1" t="s">
        <v>18</v>
      </c>
      <c r="L847" s="1" t="s">
        <v>19</v>
      </c>
      <c r="M847" s="1">
        <v>802</v>
      </c>
    </row>
    <row r="848" spans="1:13" x14ac:dyDescent="0.35">
      <c r="A848" s="1" t="s">
        <v>1445</v>
      </c>
      <c r="B848" s="2">
        <v>46201</v>
      </c>
      <c r="C848" s="1" t="s">
        <v>1233</v>
      </c>
      <c r="D848" s="1" t="s">
        <v>16</v>
      </c>
      <c r="E848" s="1" t="s">
        <v>27</v>
      </c>
      <c r="F848" s="1" t="s">
        <v>24</v>
      </c>
      <c r="G848" s="3">
        <v>0.36458333333333331</v>
      </c>
      <c r="H848" s="3">
        <v>0.39097222222222222</v>
      </c>
      <c r="I848" s="1">
        <v>38</v>
      </c>
      <c r="J848" s="1">
        <v>23</v>
      </c>
      <c r="K848" s="1" t="s">
        <v>54</v>
      </c>
      <c r="L848" s="1" t="s">
        <v>19</v>
      </c>
      <c r="M848" s="1">
        <v>802</v>
      </c>
    </row>
    <row r="849" spans="1:13" x14ac:dyDescent="0.35">
      <c r="A849" s="1" t="s">
        <v>1446</v>
      </c>
      <c r="B849" s="2">
        <v>46202</v>
      </c>
      <c r="C849" s="1" t="s">
        <v>1447</v>
      </c>
      <c r="D849" s="1" t="s">
        <v>78</v>
      </c>
      <c r="E849" s="1" t="s">
        <v>22</v>
      </c>
      <c r="F849" s="1" t="s">
        <v>28</v>
      </c>
      <c r="G849" s="3">
        <v>0.49652777777777779</v>
      </c>
      <c r="H849" s="3">
        <v>0.49236111111111108</v>
      </c>
      <c r="I849" s="1">
        <v>-6</v>
      </c>
      <c r="J849" s="1">
        <v>-11</v>
      </c>
      <c r="K849" s="1" t="s">
        <v>18</v>
      </c>
      <c r="L849" s="1" t="s">
        <v>19</v>
      </c>
      <c r="M849" s="1">
        <v>2149</v>
      </c>
    </row>
    <row r="850" spans="1:13" x14ac:dyDescent="0.35">
      <c r="A850" s="1" t="s">
        <v>1448</v>
      </c>
      <c r="B850" s="2">
        <v>46202</v>
      </c>
      <c r="C850" s="1" t="s">
        <v>426</v>
      </c>
      <c r="D850" s="1" t="s">
        <v>23</v>
      </c>
      <c r="E850" s="1" t="s">
        <v>16</v>
      </c>
      <c r="F850" s="1" t="s">
        <v>17</v>
      </c>
      <c r="G850" s="3">
        <v>0.55902777777777779</v>
      </c>
      <c r="H850" s="3">
        <v>0.56041666666666667</v>
      </c>
      <c r="I850" s="1">
        <v>2</v>
      </c>
      <c r="J850" s="1">
        <v>10</v>
      </c>
      <c r="K850" s="1" t="s">
        <v>18</v>
      </c>
      <c r="L850" s="1" t="s">
        <v>19</v>
      </c>
      <c r="M850" s="1">
        <v>886</v>
      </c>
    </row>
    <row r="851" spans="1:13" x14ac:dyDescent="0.35">
      <c r="A851" s="1" t="s">
        <v>1449</v>
      </c>
      <c r="B851" s="2">
        <v>46203</v>
      </c>
      <c r="C851" s="1" t="s">
        <v>801</v>
      </c>
      <c r="D851" s="1" t="s">
        <v>27</v>
      </c>
      <c r="E851" s="1" t="s">
        <v>22</v>
      </c>
      <c r="F851" s="1" t="s">
        <v>28</v>
      </c>
      <c r="G851" s="3">
        <v>0.25347222222222221</v>
      </c>
      <c r="H851" s="3">
        <v>0.30833333333333329</v>
      </c>
      <c r="I851" s="1">
        <v>79</v>
      </c>
      <c r="J851" s="1">
        <v>83</v>
      </c>
      <c r="K851" s="1" t="s">
        <v>149</v>
      </c>
      <c r="L851" s="1" t="s">
        <v>19</v>
      </c>
      <c r="M851" s="1">
        <v>1389</v>
      </c>
    </row>
    <row r="852" spans="1:13" x14ac:dyDescent="0.35">
      <c r="A852" s="1" t="s">
        <v>1450</v>
      </c>
      <c r="B852" s="2">
        <v>46203</v>
      </c>
      <c r="C852" s="1" t="s">
        <v>1451</v>
      </c>
      <c r="D852" s="1" t="s">
        <v>37</v>
      </c>
      <c r="E852" s="1" t="s">
        <v>50</v>
      </c>
      <c r="F852" s="1" t="s">
        <v>17</v>
      </c>
      <c r="G852" s="3">
        <v>0.4861111111111111</v>
      </c>
      <c r="H852" s="3">
        <v>0.49236111111111108</v>
      </c>
      <c r="I852" s="1">
        <v>9</v>
      </c>
      <c r="J852" s="1">
        <v>12</v>
      </c>
      <c r="K852" s="1" t="s">
        <v>18</v>
      </c>
      <c r="L852" s="1" t="s">
        <v>19</v>
      </c>
      <c r="M852" s="1">
        <v>2178</v>
      </c>
    </row>
    <row r="853" spans="1:13" x14ac:dyDescent="0.35">
      <c r="A853" s="1" t="s">
        <v>1452</v>
      </c>
      <c r="B853" s="2">
        <v>46204</v>
      </c>
      <c r="C853" s="1" t="s">
        <v>519</v>
      </c>
      <c r="D853" s="1" t="s">
        <v>41</v>
      </c>
      <c r="E853" s="1" t="s">
        <v>27</v>
      </c>
      <c r="F853" s="1" t="s">
        <v>24</v>
      </c>
      <c r="G853" s="3">
        <v>0.33680555555555558</v>
      </c>
      <c r="H853" s="3">
        <v>0.34375</v>
      </c>
      <c r="I853" s="1">
        <v>10</v>
      </c>
      <c r="J853" s="1">
        <v>16</v>
      </c>
      <c r="K853" s="1" t="s">
        <v>18</v>
      </c>
      <c r="L853" s="1" t="s">
        <v>19</v>
      </c>
      <c r="M853" s="1">
        <v>1120</v>
      </c>
    </row>
    <row r="854" spans="1:13" x14ac:dyDescent="0.35">
      <c r="A854" s="1" t="s">
        <v>1453</v>
      </c>
      <c r="B854" s="2">
        <v>46204</v>
      </c>
      <c r="C854" s="1" t="s">
        <v>1454</v>
      </c>
      <c r="D854" s="1" t="s">
        <v>16</v>
      </c>
      <c r="E854" s="1" t="s">
        <v>50</v>
      </c>
      <c r="F854" s="1" t="s">
        <v>24</v>
      </c>
      <c r="G854" s="3">
        <v>0.40972222222222221</v>
      </c>
      <c r="H854" s="3">
        <v>0.41666666666666669</v>
      </c>
      <c r="I854" s="1">
        <v>10</v>
      </c>
      <c r="J854" s="1">
        <v>4</v>
      </c>
      <c r="K854" s="1" t="s">
        <v>18</v>
      </c>
      <c r="L854" s="1" t="s">
        <v>19</v>
      </c>
      <c r="M854" s="1">
        <v>606</v>
      </c>
    </row>
    <row r="855" spans="1:13" x14ac:dyDescent="0.35">
      <c r="A855" s="1" t="s">
        <v>1455</v>
      </c>
      <c r="B855" s="2">
        <v>46204</v>
      </c>
      <c r="C855" s="1" t="s">
        <v>1447</v>
      </c>
      <c r="D855" s="1" t="s">
        <v>47</v>
      </c>
      <c r="E855" s="1" t="s">
        <v>50</v>
      </c>
      <c r="F855" s="1" t="s">
        <v>24</v>
      </c>
      <c r="G855" s="3">
        <v>0.5</v>
      </c>
      <c r="H855" s="3">
        <v>0.49861111111111112</v>
      </c>
      <c r="I855" s="1">
        <v>-2</v>
      </c>
      <c r="J855" s="1">
        <v>1</v>
      </c>
      <c r="K855" s="1" t="s">
        <v>18</v>
      </c>
      <c r="L855" s="1" t="s">
        <v>19</v>
      </c>
      <c r="M855" s="1">
        <v>2134</v>
      </c>
    </row>
    <row r="856" spans="1:13" x14ac:dyDescent="0.35">
      <c r="A856" s="1" t="s">
        <v>1456</v>
      </c>
      <c r="B856" s="2">
        <v>46204</v>
      </c>
      <c r="C856" s="1" t="s">
        <v>1457</v>
      </c>
      <c r="D856" s="1" t="s">
        <v>16</v>
      </c>
      <c r="E856" s="1" t="s">
        <v>50</v>
      </c>
      <c r="F856" s="1" t="s">
        <v>24</v>
      </c>
      <c r="G856" s="3">
        <v>0.63194444444444442</v>
      </c>
      <c r="H856" s="3">
        <v>0.63472222222222219</v>
      </c>
      <c r="I856" s="1">
        <v>4</v>
      </c>
      <c r="J856" s="1">
        <v>-1</v>
      </c>
      <c r="K856" s="1" t="s">
        <v>18</v>
      </c>
      <c r="L856" s="1" t="s">
        <v>19</v>
      </c>
      <c r="M856" s="1">
        <v>606</v>
      </c>
    </row>
    <row r="857" spans="1:13" x14ac:dyDescent="0.35">
      <c r="A857" s="1" t="s">
        <v>1458</v>
      </c>
      <c r="B857" s="2">
        <v>46204</v>
      </c>
      <c r="C857" s="1" t="s">
        <v>1010</v>
      </c>
      <c r="D857" s="1" t="s">
        <v>37</v>
      </c>
      <c r="E857" s="1" t="s">
        <v>23</v>
      </c>
      <c r="F857" s="1" t="s">
        <v>24</v>
      </c>
      <c r="G857" s="3">
        <v>0.77777777777777779</v>
      </c>
      <c r="H857" s="3">
        <v>0.79236111111111107</v>
      </c>
      <c r="I857" s="1">
        <v>21</v>
      </c>
      <c r="J857" s="1">
        <v>13</v>
      </c>
      <c r="K857" s="1" t="s">
        <v>263</v>
      </c>
      <c r="L857" s="1" t="s">
        <v>19</v>
      </c>
      <c r="M857" s="1">
        <v>1023</v>
      </c>
    </row>
    <row r="858" spans="1:13" x14ac:dyDescent="0.35">
      <c r="A858" s="1" t="s">
        <v>1459</v>
      </c>
      <c r="B858" s="2">
        <v>46204</v>
      </c>
      <c r="C858" s="1" t="s">
        <v>1460</v>
      </c>
      <c r="D858" s="1" t="s">
        <v>78</v>
      </c>
      <c r="E858" s="1" t="s">
        <v>16</v>
      </c>
      <c r="F858" s="1" t="s">
        <v>17</v>
      </c>
      <c r="G858" s="3">
        <v>0.80555555555555558</v>
      </c>
      <c r="H858" s="3">
        <v>0.80833333333333335</v>
      </c>
      <c r="I858" s="1">
        <v>4</v>
      </c>
      <c r="J858" s="1">
        <v>9</v>
      </c>
      <c r="K858" s="1" t="s">
        <v>18</v>
      </c>
      <c r="L858" s="1" t="s">
        <v>19</v>
      </c>
      <c r="M858" s="1">
        <v>1438</v>
      </c>
    </row>
    <row r="859" spans="1:13" x14ac:dyDescent="0.35">
      <c r="A859" s="1" t="s">
        <v>1461</v>
      </c>
      <c r="B859" s="2">
        <v>46205</v>
      </c>
      <c r="C859" s="1" t="s">
        <v>1462</v>
      </c>
      <c r="D859" s="1" t="s">
        <v>44</v>
      </c>
      <c r="E859" s="1" t="s">
        <v>22</v>
      </c>
      <c r="F859" s="1" t="s">
        <v>24</v>
      </c>
      <c r="G859" s="3">
        <v>0.74305555555555558</v>
      </c>
      <c r="H859" s="3">
        <v>0.74791666666666667</v>
      </c>
      <c r="I859" s="1">
        <v>7</v>
      </c>
      <c r="J859" s="1">
        <v>-3</v>
      </c>
      <c r="K859" s="1"/>
      <c r="L859" s="1" t="s">
        <v>19</v>
      </c>
      <c r="M859" s="1">
        <v>186</v>
      </c>
    </row>
    <row r="860" spans="1:13" x14ac:dyDescent="0.35">
      <c r="A860" s="1" t="s">
        <v>1463</v>
      </c>
      <c r="B860" s="2">
        <v>46205</v>
      </c>
      <c r="C860" s="1" t="s">
        <v>889</v>
      </c>
      <c r="D860" s="1" t="s">
        <v>37</v>
      </c>
      <c r="E860" s="1" t="s">
        <v>27</v>
      </c>
      <c r="F860" s="1" t="s">
        <v>17</v>
      </c>
      <c r="G860" s="3">
        <v>0.78819444444444442</v>
      </c>
      <c r="H860" s="3">
        <v>0.78680555555555554</v>
      </c>
      <c r="I860" s="1">
        <v>-2</v>
      </c>
      <c r="J860" s="1">
        <v>-1</v>
      </c>
      <c r="K860" s="1" t="s">
        <v>18</v>
      </c>
      <c r="L860" s="1" t="s">
        <v>19</v>
      </c>
      <c r="M860" s="1">
        <v>1658</v>
      </c>
    </row>
    <row r="861" spans="1:13" x14ac:dyDescent="0.35">
      <c r="A861" s="1" t="s">
        <v>1464</v>
      </c>
      <c r="B861" s="2">
        <v>46206</v>
      </c>
      <c r="C861" s="1" t="s">
        <v>1123</v>
      </c>
      <c r="D861" s="1" t="s">
        <v>27</v>
      </c>
      <c r="E861" s="1" t="s">
        <v>44</v>
      </c>
      <c r="F861" s="1" t="s">
        <v>24</v>
      </c>
      <c r="G861" s="3">
        <v>0.3125</v>
      </c>
      <c r="H861" s="3">
        <v>0.35</v>
      </c>
      <c r="I861" s="1">
        <v>54</v>
      </c>
      <c r="J861" s="1">
        <v>50</v>
      </c>
      <c r="K861" s="1" t="s">
        <v>60</v>
      </c>
      <c r="L861" s="1" t="s">
        <v>19</v>
      </c>
      <c r="M861" s="1">
        <v>1559</v>
      </c>
    </row>
    <row r="862" spans="1:13" x14ac:dyDescent="0.35">
      <c r="A862" s="1" t="s">
        <v>1465</v>
      </c>
      <c r="B862" s="2">
        <v>46206</v>
      </c>
      <c r="C862" s="1" t="s">
        <v>905</v>
      </c>
      <c r="D862" s="1" t="s">
        <v>50</v>
      </c>
      <c r="E862" s="1" t="s">
        <v>695</v>
      </c>
      <c r="F862" s="1" t="s">
        <v>17</v>
      </c>
      <c r="G862" s="3">
        <v>0.93055555555555558</v>
      </c>
      <c r="H862" s="3">
        <v>0.93263888888888891</v>
      </c>
      <c r="I862" s="1">
        <v>3</v>
      </c>
      <c r="J862" s="1">
        <v>1</v>
      </c>
      <c r="K862" s="1"/>
      <c r="L862" s="1" t="s">
        <v>19</v>
      </c>
      <c r="M862" s="1">
        <v>2178</v>
      </c>
    </row>
    <row r="863" spans="1:13" x14ac:dyDescent="0.35">
      <c r="A863" s="1" t="s">
        <v>1466</v>
      </c>
      <c r="B863" s="2">
        <v>46207</v>
      </c>
      <c r="C863" s="1" t="s">
        <v>290</v>
      </c>
      <c r="D863" s="1" t="s">
        <v>27</v>
      </c>
      <c r="E863" s="1" t="s">
        <v>16</v>
      </c>
      <c r="F863" s="1" t="s">
        <v>28</v>
      </c>
      <c r="G863" s="3">
        <v>0.2638888888888889</v>
      </c>
      <c r="H863" s="3">
        <v>0.26458333333333328</v>
      </c>
      <c r="I863" s="1">
        <v>1</v>
      </c>
      <c r="J863" s="1">
        <v>6</v>
      </c>
      <c r="K863" s="1" t="s">
        <v>18</v>
      </c>
      <c r="L863" s="1" t="s">
        <v>19</v>
      </c>
      <c r="M863" s="1">
        <v>802</v>
      </c>
    </row>
    <row r="864" spans="1:13" x14ac:dyDescent="0.35">
      <c r="A864" s="1" t="s">
        <v>1467</v>
      </c>
      <c r="B864" s="2">
        <v>46207</v>
      </c>
      <c r="C864" s="1" t="s">
        <v>1468</v>
      </c>
      <c r="D864" s="1" t="s">
        <v>78</v>
      </c>
      <c r="E864" s="1" t="s">
        <v>22</v>
      </c>
      <c r="F864" s="1" t="s">
        <v>28</v>
      </c>
      <c r="G864" s="3">
        <v>0.46527777777777779</v>
      </c>
      <c r="H864" s="3">
        <v>0.47222222222222221</v>
      </c>
      <c r="I864" s="1">
        <v>10</v>
      </c>
      <c r="J864" s="1">
        <v>3</v>
      </c>
      <c r="K864" s="1"/>
      <c r="L864" s="1" t="s">
        <v>19</v>
      </c>
      <c r="M864" s="1">
        <v>2149</v>
      </c>
    </row>
    <row r="865" spans="1:13" x14ac:dyDescent="0.35">
      <c r="A865" s="1" t="s">
        <v>1469</v>
      </c>
      <c r="B865" s="2">
        <v>46207</v>
      </c>
      <c r="C865" s="1" t="s">
        <v>1098</v>
      </c>
      <c r="D865" s="1" t="s">
        <v>50</v>
      </c>
      <c r="E865" s="1" t="s">
        <v>78</v>
      </c>
      <c r="F865" s="1" t="s">
        <v>17</v>
      </c>
      <c r="G865" s="3">
        <v>0.46875</v>
      </c>
      <c r="H865" s="1"/>
      <c r="I865" s="1">
        <v>-3</v>
      </c>
      <c r="J865" s="1">
        <v>0</v>
      </c>
      <c r="K865" s="1" t="s">
        <v>18</v>
      </c>
      <c r="L865" s="1" t="s">
        <v>19</v>
      </c>
      <c r="M865" s="1">
        <v>1584</v>
      </c>
    </row>
    <row r="866" spans="1:13" x14ac:dyDescent="0.35">
      <c r="A866" s="1" t="s">
        <v>1470</v>
      </c>
      <c r="B866" s="2">
        <v>46207</v>
      </c>
      <c r="C866" s="1" t="s">
        <v>465</v>
      </c>
      <c r="D866" s="1" t="s">
        <v>50</v>
      </c>
      <c r="E866" s="1" t="s">
        <v>47</v>
      </c>
      <c r="F866" s="1" t="s">
        <v>24</v>
      </c>
      <c r="G866" s="3">
        <v>0.69444444444444442</v>
      </c>
      <c r="H866" s="3">
        <v>0.72013888888888888</v>
      </c>
      <c r="I866" s="1">
        <v>37</v>
      </c>
      <c r="J866" s="1">
        <v>38</v>
      </c>
      <c r="K866" s="1" t="s">
        <v>129</v>
      </c>
      <c r="L866" s="1" t="s">
        <v>19</v>
      </c>
      <c r="M866" s="1">
        <v>2134</v>
      </c>
    </row>
    <row r="867" spans="1:13" x14ac:dyDescent="0.35">
      <c r="A867" s="1" t="s">
        <v>1471</v>
      </c>
      <c r="B867" s="2">
        <v>46208</v>
      </c>
      <c r="C867" s="1" t="s">
        <v>176</v>
      </c>
      <c r="D867" s="1" t="s">
        <v>37</v>
      </c>
      <c r="E867" s="1" t="s">
        <v>16</v>
      </c>
      <c r="F867" s="1" t="s">
        <v>24</v>
      </c>
      <c r="G867" s="3">
        <v>0.35416666666666669</v>
      </c>
      <c r="H867" s="3">
        <v>0.39930555555555558</v>
      </c>
      <c r="I867" s="1">
        <v>65</v>
      </c>
      <c r="J867" s="1">
        <v>61</v>
      </c>
      <c r="K867" s="1" t="s">
        <v>54</v>
      </c>
      <c r="L867" s="1" t="s">
        <v>19</v>
      </c>
      <c r="M867" s="1">
        <v>1717</v>
      </c>
    </row>
    <row r="868" spans="1:13" x14ac:dyDescent="0.35">
      <c r="A868" s="1" t="s">
        <v>1472</v>
      </c>
      <c r="B868" s="2">
        <v>46208</v>
      </c>
      <c r="C868" s="1" t="s">
        <v>866</v>
      </c>
      <c r="D868" s="1" t="s">
        <v>16</v>
      </c>
      <c r="E868" s="1" t="s">
        <v>44</v>
      </c>
      <c r="F868" s="1" t="s">
        <v>24</v>
      </c>
      <c r="G868" s="3">
        <v>0.60763888888888884</v>
      </c>
      <c r="H868" s="3">
        <v>0.68125000000000002</v>
      </c>
      <c r="I868" s="1">
        <v>106</v>
      </c>
      <c r="J868" s="1">
        <v>106</v>
      </c>
      <c r="K868" s="1" t="s">
        <v>60</v>
      </c>
      <c r="L868" s="1" t="s">
        <v>19</v>
      </c>
      <c r="M868" s="1">
        <v>864</v>
      </c>
    </row>
    <row r="869" spans="1:13" x14ac:dyDescent="0.35">
      <c r="A869" s="1" t="s">
        <v>1473</v>
      </c>
      <c r="B869" s="2">
        <v>46208</v>
      </c>
      <c r="C869" s="1" t="s">
        <v>804</v>
      </c>
      <c r="D869" s="1" t="s">
        <v>41</v>
      </c>
      <c r="E869" s="1" t="s">
        <v>16</v>
      </c>
      <c r="F869" s="1" t="s">
        <v>24</v>
      </c>
      <c r="G869" s="3">
        <v>0.66319444444444442</v>
      </c>
      <c r="H869" s="3">
        <v>0.66874999999999996</v>
      </c>
      <c r="I869" s="1">
        <v>8</v>
      </c>
      <c r="J869" s="1">
        <v>-4</v>
      </c>
      <c r="K869" s="1" t="s">
        <v>18</v>
      </c>
      <c r="L869" s="1" t="s">
        <v>19</v>
      </c>
      <c r="M869" s="1">
        <v>1199</v>
      </c>
    </row>
    <row r="870" spans="1:13" x14ac:dyDescent="0.35">
      <c r="A870" s="1" t="s">
        <v>1474</v>
      </c>
      <c r="B870" s="2">
        <v>46208</v>
      </c>
      <c r="C870" s="1" t="s">
        <v>1386</v>
      </c>
      <c r="D870" s="1" t="s">
        <v>22</v>
      </c>
      <c r="E870" s="1" t="s">
        <v>555</v>
      </c>
      <c r="F870" s="1" t="s">
        <v>17</v>
      </c>
      <c r="G870" s="3">
        <v>0.66666666666666663</v>
      </c>
      <c r="H870" s="3">
        <v>0.67083333333333328</v>
      </c>
      <c r="I870" s="1">
        <v>6</v>
      </c>
      <c r="J870" s="1">
        <v>-3</v>
      </c>
      <c r="K870" s="1" t="s">
        <v>18</v>
      </c>
      <c r="L870" s="1" t="s">
        <v>19</v>
      </c>
      <c r="M870" s="1">
        <v>738</v>
      </c>
    </row>
    <row r="871" spans="1:13" x14ac:dyDescent="0.35">
      <c r="A871" s="1" t="s">
        <v>1475</v>
      </c>
      <c r="B871" s="2">
        <v>46208</v>
      </c>
      <c r="C871" s="1" t="s">
        <v>182</v>
      </c>
      <c r="D871" s="1" t="s">
        <v>123</v>
      </c>
      <c r="E871" s="1" t="s">
        <v>78</v>
      </c>
      <c r="F871" s="1" t="s">
        <v>24</v>
      </c>
      <c r="G871" s="3">
        <v>0.92708333333333337</v>
      </c>
      <c r="H871" s="1"/>
      <c r="I871" s="1">
        <v>4</v>
      </c>
      <c r="J871" s="1">
        <v>7</v>
      </c>
      <c r="K871" s="1"/>
      <c r="L871" s="1" t="s">
        <v>19</v>
      </c>
      <c r="M871" s="1">
        <v>1584</v>
      </c>
    </row>
    <row r="872" spans="1:13" x14ac:dyDescent="0.35">
      <c r="A872" s="1" t="s">
        <v>1476</v>
      </c>
      <c r="B872" s="2">
        <v>46209</v>
      </c>
      <c r="C872" s="1" t="s">
        <v>1477</v>
      </c>
      <c r="D872" s="1" t="s">
        <v>27</v>
      </c>
      <c r="E872" s="1" t="s">
        <v>15</v>
      </c>
      <c r="F872" s="1" t="s">
        <v>17</v>
      </c>
      <c r="G872" s="3">
        <v>0.41666666666666669</v>
      </c>
      <c r="H872" s="3">
        <v>0.41388888888888892</v>
      </c>
      <c r="I872" s="1">
        <v>-4</v>
      </c>
      <c r="J872" s="1">
        <v>-7</v>
      </c>
      <c r="K872" s="1" t="s">
        <v>18</v>
      </c>
      <c r="L872" s="1" t="s">
        <v>19</v>
      </c>
      <c r="M872" s="1">
        <v>1232</v>
      </c>
    </row>
    <row r="873" spans="1:13" x14ac:dyDescent="0.35">
      <c r="A873" s="1" t="s">
        <v>1478</v>
      </c>
      <c r="B873" s="2">
        <v>46210</v>
      </c>
      <c r="C873" s="1" t="s">
        <v>444</v>
      </c>
      <c r="D873" s="1" t="s">
        <v>37</v>
      </c>
      <c r="E873" s="1" t="s">
        <v>22</v>
      </c>
      <c r="F873" s="1" t="s">
        <v>28</v>
      </c>
      <c r="G873" s="3">
        <v>0.25694444444444442</v>
      </c>
      <c r="H873" s="3">
        <v>0.26250000000000001</v>
      </c>
      <c r="I873" s="1">
        <v>8</v>
      </c>
      <c r="J873" s="1">
        <v>-4</v>
      </c>
      <c r="K873" s="1"/>
      <c r="L873" s="1" t="s">
        <v>19</v>
      </c>
      <c r="M873" s="1">
        <v>2415</v>
      </c>
    </row>
    <row r="874" spans="1:13" x14ac:dyDescent="0.35">
      <c r="A874" s="1" t="s">
        <v>1479</v>
      </c>
      <c r="B874" s="2">
        <v>46210</v>
      </c>
      <c r="C874" s="1" t="s">
        <v>877</v>
      </c>
      <c r="D874" s="1" t="s">
        <v>27</v>
      </c>
      <c r="E874" s="1" t="s">
        <v>23</v>
      </c>
      <c r="F874" s="1" t="s">
        <v>38</v>
      </c>
      <c r="G874" s="3">
        <v>0.26041666666666669</v>
      </c>
      <c r="H874" s="3">
        <v>0.26041666666666669</v>
      </c>
      <c r="I874" s="1">
        <v>0</v>
      </c>
      <c r="J874" s="1">
        <v>8</v>
      </c>
      <c r="K874" s="1" t="s">
        <v>18</v>
      </c>
      <c r="L874" s="1" t="s">
        <v>19</v>
      </c>
      <c r="M874" s="1">
        <v>641</v>
      </c>
    </row>
    <row r="875" spans="1:13" x14ac:dyDescent="0.35">
      <c r="A875" s="1" t="s">
        <v>1480</v>
      </c>
      <c r="B875" s="2">
        <v>46210</v>
      </c>
      <c r="C875" s="1" t="s">
        <v>1481</v>
      </c>
      <c r="D875" s="1" t="s">
        <v>16</v>
      </c>
      <c r="E875" s="1" t="s">
        <v>22</v>
      </c>
      <c r="F875" s="1" t="s">
        <v>38</v>
      </c>
      <c r="G875" s="3">
        <v>0.30208333333333331</v>
      </c>
      <c r="H875" s="3">
        <v>0.33611111111111108</v>
      </c>
      <c r="I875" s="1">
        <v>49</v>
      </c>
      <c r="J875" s="1">
        <v>41</v>
      </c>
      <c r="K875" s="1" t="s">
        <v>54</v>
      </c>
      <c r="L875" s="1" t="s">
        <v>19</v>
      </c>
      <c r="M875" s="1">
        <v>738</v>
      </c>
    </row>
    <row r="876" spans="1:13" x14ac:dyDescent="0.35">
      <c r="A876" s="1" t="s">
        <v>1482</v>
      </c>
      <c r="B876" s="2">
        <v>46210</v>
      </c>
      <c r="C876" s="1" t="s">
        <v>1483</v>
      </c>
      <c r="D876" s="1" t="s">
        <v>41</v>
      </c>
      <c r="E876" s="1" t="s">
        <v>50</v>
      </c>
      <c r="F876" s="1" t="s">
        <v>17</v>
      </c>
      <c r="G876" s="3">
        <v>0.34027777777777779</v>
      </c>
      <c r="H876" s="3">
        <v>0.33680555555555558</v>
      </c>
      <c r="I876" s="1">
        <v>-5</v>
      </c>
      <c r="J876" s="1">
        <v>3</v>
      </c>
      <c r="K876" s="1" t="s">
        <v>18</v>
      </c>
      <c r="L876" s="1" t="s">
        <v>19</v>
      </c>
      <c r="M876" s="1">
        <v>596</v>
      </c>
    </row>
    <row r="877" spans="1:13" x14ac:dyDescent="0.35">
      <c r="A877" s="1" t="s">
        <v>1484</v>
      </c>
      <c r="B877" s="2">
        <v>46210</v>
      </c>
      <c r="C877" s="1" t="s">
        <v>1110</v>
      </c>
      <c r="D877" s="1" t="s">
        <v>51</v>
      </c>
      <c r="E877" s="1" t="s">
        <v>50</v>
      </c>
      <c r="F877" s="1" t="s">
        <v>28</v>
      </c>
      <c r="G877" s="3">
        <v>0.3576388888888889</v>
      </c>
      <c r="H877" s="3">
        <v>0.3576388888888889</v>
      </c>
      <c r="I877" s="1">
        <v>0</v>
      </c>
      <c r="J877" s="1">
        <v>7</v>
      </c>
      <c r="K877" s="1" t="s">
        <v>18</v>
      </c>
      <c r="L877" s="1" t="s">
        <v>19</v>
      </c>
      <c r="M877" s="1">
        <v>730</v>
      </c>
    </row>
    <row r="878" spans="1:13" x14ac:dyDescent="0.35">
      <c r="A878" s="1" t="s">
        <v>1485</v>
      </c>
      <c r="B878" s="2">
        <v>46210</v>
      </c>
      <c r="C878" s="1" t="s">
        <v>1142</v>
      </c>
      <c r="D878" s="1" t="s">
        <v>50</v>
      </c>
      <c r="E878" s="1" t="s">
        <v>16</v>
      </c>
      <c r="F878" s="1" t="s">
        <v>24</v>
      </c>
      <c r="G878" s="3">
        <v>0.3576388888888889</v>
      </c>
      <c r="H878" s="3">
        <v>0.39652777777777781</v>
      </c>
      <c r="I878" s="1">
        <v>56</v>
      </c>
      <c r="J878" s="1">
        <v>42</v>
      </c>
      <c r="K878" s="1" t="s">
        <v>60</v>
      </c>
      <c r="L878" s="1" t="s">
        <v>19</v>
      </c>
      <c r="M878" s="1">
        <v>606</v>
      </c>
    </row>
    <row r="879" spans="1:13" x14ac:dyDescent="0.35">
      <c r="A879" s="1" t="s">
        <v>1486</v>
      </c>
      <c r="B879" s="2">
        <v>46210</v>
      </c>
      <c r="C879" s="1" t="s">
        <v>1487</v>
      </c>
      <c r="D879" s="1" t="s">
        <v>27</v>
      </c>
      <c r="E879" s="1" t="s">
        <v>31</v>
      </c>
      <c r="F879" s="1" t="s">
        <v>24</v>
      </c>
      <c r="G879" s="3">
        <v>0.65972222222222221</v>
      </c>
      <c r="H879" s="3">
        <v>0.7055555555555556</v>
      </c>
      <c r="I879" s="1">
        <v>66</v>
      </c>
      <c r="J879" s="1">
        <v>67</v>
      </c>
      <c r="K879" s="1" t="s">
        <v>303</v>
      </c>
      <c r="L879" s="1" t="s">
        <v>19</v>
      </c>
      <c r="M879" s="1">
        <v>1053</v>
      </c>
    </row>
    <row r="880" spans="1:13" x14ac:dyDescent="0.35">
      <c r="A880" s="1" t="s">
        <v>1488</v>
      </c>
      <c r="B880" s="2">
        <v>46210</v>
      </c>
      <c r="C880" s="1" t="s">
        <v>1489</v>
      </c>
      <c r="D880" s="1" t="s">
        <v>16</v>
      </c>
      <c r="E880" s="1" t="s">
        <v>22</v>
      </c>
      <c r="F880" s="1" t="s">
        <v>24</v>
      </c>
      <c r="G880" s="3">
        <v>0.78472222222222221</v>
      </c>
      <c r="H880" s="3">
        <v>0.78055555555555556</v>
      </c>
      <c r="I880" s="1">
        <v>-6</v>
      </c>
      <c r="J880" s="1">
        <v>-8</v>
      </c>
      <c r="K880" s="1" t="s">
        <v>18</v>
      </c>
      <c r="L880" s="1" t="s">
        <v>19</v>
      </c>
      <c r="M880" s="1">
        <v>738</v>
      </c>
    </row>
    <row r="881" spans="1:13" x14ac:dyDescent="0.35">
      <c r="A881" s="1" t="s">
        <v>1490</v>
      </c>
      <c r="B881" s="2">
        <v>46211</v>
      </c>
      <c r="C881" s="1" t="s">
        <v>804</v>
      </c>
      <c r="D881" s="1" t="s">
        <v>37</v>
      </c>
      <c r="E881" s="1" t="s">
        <v>44</v>
      </c>
      <c r="F881" s="1" t="s">
        <v>24</v>
      </c>
      <c r="G881" s="3">
        <v>0.40277777777777779</v>
      </c>
      <c r="H881" s="3">
        <v>0.40902777777777782</v>
      </c>
      <c r="I881" s="1">
        <v>9</v>
      </c>
      <c r="J881" s="1">
        <v>1</v>
      </c>
      <c r="K881" s="1"/>
      <c r="L881" s="1" t="s">
        <v>19</v>
      </c>
      <c r="M881" s="1">
        <v>2489</v>
      </c>
    </row>
    <row r="882" spans="1:13" x14ac:dyDescent="0.35">
      <c r="A882" s="1" t="s">
        <v>1491</v>
      </c>
      <c r="B882" s="2">
        <v>46211</v>
      </c>
      <c r="C882" s="1" t="s">
        <v>512</v>
      </c>
      <c r="D882" s="1" t="s">
        <v>16</v>
      </c>
      <c r="E882" s="1" t="s">
        <v>50</v>
      </c>
      <c r="F882" s="1" t="s">
        <v>17</v>
      </c>
      <c r="G882" s="3">
        <v>0.40277777777777779</v>
      </c>
      <c r="H882" s="3">
        <v>0.39861111111111108</v>
      </c>
      <c r="I882" s="1">
        <v>-6</v>
      </c>
      <c r="J882" s="1">
        <v>-12</v>
      </c>
      <c r="K882" s="1"/>
      <c r="L882" s="1" t="s">
        <v>19</v>
      </c>
      <c r="M882" s="1">
        <v>606</v>
      </c>
    </row>
    <row r="883" spans="1:13" x14ac:dyDescent="0.35">
      <c r="A883" s="1" t="s">
        <v>1492</v>
      </c>
      <c r="B883" s="2">
        <v>46211</v>
      </c>
      <c r="C883" s="1" t="s">
        <v>1131</v>
      </c>
      <c r="D883" s="1" t="s">
        <v>59</v>
      </c>
      <c r="E883" s="1" t="s">
        <v>31</v>
      </c>
      <c r="F883" s="1" t="s">
        <v>17</v>
      </c>
      <c r="G883" s="3">
        <v>0.72569444444444442</v>
      </c>
      <c r="H883" s="3">
        <v>0.81736111111111109</v>
      </c>
      <c r="I883" s="1">
        <v>132</v>
      </c>
      <c r="J883" s="1">
        <v>134</v>
      </c>
      <c r="K883" s="1" t="s">
        <v>149</v>
      </c>
      <c r="L883" s="1" t="s">
        <v>19</v>
      </c>
      <c r="M883" s="1">
        <v>1743</v>
      </c>
    </row>
    <row r="884" spans="1:13" x14ac:dyDescent="0.35">
      <c r="A884" s="1" t="s">
        <v>1493</v>
      </c>
      <c r="B884" s="2">
        <v>46211</v>
      </c>
      <c r="C884" s="1" t="s">
        <v>605</v>
      </c>
      <c r="D884" s="1" t="s">
        <v>22</v>
      </c>
      <c r="E884" s="1" t="s">
        <v>50</v>
      </c>
      <c r="F884" s="1" t="s">
        <v>24</v>
      </c>
      <c r="G884" s="3">
        <v>0.74305555555555558</v>
      </c>
      <c r="H884" s="3">
        <v>0.73888888888888893</v>
      </c>
      <c r="I884" s="1">
        <v>-6</v>
      </c>
      <c r="J884" s="1">
        <v>-8</v>
      </c>
      <c r="K884" s="1" t="s">
        <v>18</v>
      </c>
      <c r="L884" s="1" t="s">
        <v>19</v>
      </c>
      <c r="M884" s="1">
        <v>759</v>
      </c>
    </row>
    <row r="885" spans="1:13" x14ac:dyDescent="0.35">
      <c r="A885" s="1" t="s">
        <v>1494</v>
      </c>
      <c r="B885" s="2">
        <v>46211</v>
      </c>
      <c r="C885" s="1" t="s">
        <v>841</v>
      </c>
      <c r="D885" s="1" t="s">
        <v>50</v>
      </c>
      <c r="E885" s="1" t="s">
        <v>37</v>
      </c>
      <c r="F885" s="1" t="s">
        <v>24</v>
      </c>
      <c r="G885" s="3">
        <v>0.80208333333333337</v>
      </c>
      <c r="H885" s="3">
        <v>0.81388888888888888</v>
      </c>
      <c r="I885" s="1">
        <v>17</v>
      </c>
      <c r="J885" s="1">
        <v>17</v>
      </c>
      <c r="K885" s="1" t="s">
        <v>54</v>
      </c>
      <c r="L885" s="1" t="s">
        <v>19</v>
      </c>
      <c r="M885" s="1">
        <v>2178</v>
      </c>
    </row>
    <row r="886" spans="1:13" x14ac:dyDescent="0.35">
      <c r="A886" s="1" t="s">
        <v>1495</v>
      </c>
      <c r="B886" s="2">
        <v>46212</v>
      </c>
      <c r="C886" s="1" t="s">
        <v>677</v>
      </c>
      <c r="D886" s="1" t="s">
        <v>50</v>
      </c>
      <c r="E886" s="1" t="s">
        <v>23</v>
      </c>
      <c r="F886" s="1" t="s">
        <v>17</v>
      </c>
      <c r="G886" s="3">
        <v>0.57638888888888884</v>
      </c>
      <c r="H886" s="3">
        <v>0.57222222222222219</v>
      </c>
      <c r="I886" s="1">
        <v>-6</v>
      </c>
      <c r="J886" s="1">
        <v>-15</v>
      </c>
      <c r="K886" s="1" t="s">
        <v>18</v>
      </c>
      <c r="L886" s="1" t="s">
        <v>19</v>
      </c>
      <c r="M886" s="1">
        <v>1197</v>
      </c>
    </row>
    <row r="887" spans="1:13" x14ac:dyDescent="0.35">
      <c r="A887" s="1" t="s">
        <v>1496</v>
      </c>
      <c r="B887" s="2">
        <v>46212</v>
      </c>
      <c r="C887" s="1" t="s">
        <v>422</v>
      </c>
      <c r="D887" s="1" t="s">
        <v>695</v>
      </c>
      <c r="E887" s="1" t="s">
        <v>23</v>
      </c>
      <c r="F887" s="1" t="s">
        <v>24</v>
      </c>
      <c r="G887" s="3">
        <v>0.61805555555555558</v>
      </c>
      <c r="H887" s="3">
        <v>0.61319444444444449</v>
      </c>
      <c r="I887" s="1">
        <v>-7</v>
      </c>
      <c r="J887" s="1">
        <v>-6</v>
      </c>
      <c r="K887" s="1" t="s">
        <v>18</v>
      </c>
      <c r="L887" s="1" t="s">
        <v>19</v>
      </c>
      <c r="M887" s="1">
        <v>1023</v>
      </c>
    </row>
    <row r="888" spans="1:13" x14ac:dyDescent="0.35">
      <c r="A888" s="1" t="s">
        <v>1497</v>
      </c>
      <c r="B888" s="2">
        <v>46212</v>
      </c>
      <c r="C888" s="1" t="s">
        <v>1498</v>
      </c>
      <c r="D888" s="1" t="s">
        <v>50</v>
      </c>
      <c r="E888" s="1" t="s">
        <v>15</v>
      </c>
      <c r="F888" s="1" t="s">
        <v>17</v>
      </c>
      <c r="G888" s="3">
        <v>0.65625</v>
      </c>
      <c r="H888" s="3">
        <v>0.65763888888888888</v>
      </c>
      <c r="I888" s="1">
        <v>2</v>
      </c>
      <c r="J888" s="1">
        <v>3</v>
      </c>
      <c r="K888" s="1"/>
      <c r="L888" s="1" t="s">
        <v>19</v>
      </c>
      <c r="M888" s="1">
        <v>1942</v>
      </c>
    </row>
    <row r="889" spans="1:13" x14ac:dyDescent="0.35">
      <c r="A889" s="1" t="s">
        <v>1499</v>
      </c>
      <c r="B889" s="2">
        <v>46213</v>
      </c>
      <c r="C889" s="1" t="s">
        <v>273</v>
      </c>
      <c r="D889" s="1" t="s">
        <v>37</v>
      </c>
      <c r="E889" s="1" t="s">
        <v>31</v>
      </c>
      <c r="F889" s="1" t="s">
        <v>28</v>
      </c>
      <c r="G889" s="3">
        <v>0.65972222222222221</v>
      </c>
      <c r="H889" s="3">
        <v>0.68958333333333333</v>
      </c>
      <c r="I889" s="1">
        <v>43</v>
      </c>
      <c r="J889" s="1">
        <v>40</v>
      </c>
      <c r="K889" s="1" t="s">
        <v>129</v>
      </c>
      <c r="L889" s="1" t="s">
        <v>19</v>
      </c>
      <c r="M889" s="1">
        <v>867</v>
      </c>
    </row>
    <row r="890" spans="1:13" x14ac:dyDescent="0.35">
      <c r="A890" s="1" t="s">
        <v>1500</v>
      </c>
      <c r="B890" s="2">
        <v>46214</v>
      </c>
      <c r="C890" s="1" t="s">
        <v>49</v>
      </c>
      <c r="D890" s="1" t="s">
        <v>23</v>
      </c>
      <c r="E890" s="1" t="s">
        <v>78</v>
      </c>
      <c r="F890" s="1" t="s">
        <v>17</v>
      </c>
      <c r="G890" s="3">
        <v>0.52083333333333337</v>
      </c>
      <c r="H890" s="3">
        <v>0.52083333333333337</v>
      </c>
      <c r="I890" s="1">
        <v>0</v>
      </c>
      <c r="J890" s="1">
        <v>1</v>
      </c>
      <c r="K890" s="1" t="s">
        <v>18</v>
      </c>
      <c r="L890" s="1" t="s">
        <v>19</v>
      </c>
      <c r="M890" s="1">
        <v>602</v>
      </c>
    </row>
    <row r="891" spans="1:13" x14ac:dyDescent="0.35">
      <c r="A891" s="1" t="s">
        <v>1501</v>
      </c>
      <c r="B891" s="2">
        <v>46215</v>
      </c>
      <c r="C891" s="1" t="s">
        <v>1207</v>
      </c>
      <c r="D891" s="1" t="s">
        <v>78</v>
      </c>
      <c r="E891" s="1" t="s">
        <v>16</v>
      </c>
      <c r="F891" s="1" t="s">
        <v>38</v>
      </c>
      <c r="G891" s="3">
        <v>0.38541666666666669</v>
      </c>
      <c r="H891" s="3">
        <v>0.40069444444444452</v>
      </c>
      <c r="I891" s="1">
        <v>22</v>
      </c>
      <c r="J891" s="1">
        <v>7</v>
      </c>
      <c r="K891" s="1" t="s">
        <v>54</v>
      </c>
      <c r="L891" s="1" t="s">
        <v>19</v>
      </c>
      <c r="M891" s="1">
        <v>1438</v>
      </c>
    </row>
    <row r="892" spans="1:13" x14ac:dyDescent="0.35">
      <c r="A892" s="1" t="s">
        <v>1502</v>
      </c>
      <c r="B892" s="2">
        <v>46215</v>
      </c>
      <c r="C892" s="1" t="s">
        <v>1503</v>
      </c>
      <c r="D892" s="1" t="s">
        <v>22</v>
      </c>
      <c r="E892" s="1" t="s">
        <v>41</v>
      </c>
      <c r="F892" s="1" t="s">
        <v>28</v>
      </c>
      <c r="G892" s="3">
        <v>0.46875</v>
      </c>
      <c r="H892" s="3">
        <v>0.48472222222222222</v>
      </c>
      <c r="I892" s="1">
        <v>23</v>
      </c>
      <c r="J892" s="1">
        <v>9</v>
      </c>
      <c r="K892" s="1" t="s">
        <v>1020</v>
      </c>
      <c r="L892" s="1" t="s">
        <v>19</v>
      </c>
      <c r="M892" s="1">
        <v>1092</v>
      </c>
    </row>
    <row r="893" spans="1:13" x14ac:dyDescent="0.35">
      <c r="A893" s="1" t="s">
        <v>1504</v>
      </c>
      <c r="B893" s="2">
        <v>46215</v>
      </c>
      <c r="C893" s="1" t="s">
        <v>740</v>
      </c>
      <c r="D893" s="1" t="s">
        <v>16</v>
      </c>
      <c r="E893" s="1" t="s">
        <v>44</v>
      </c>
      <c r="F893" s="1" t="s">
        <v>28</v>
      </c>
      <c r="G893" s="3">
        <v>0.65625</v>
      </c>
      <c r="H893" s="3">
        <v>0.65208333333333335</v>
      </c>
      <c r="I893" s="1">
        <v>-6</v>
      </c>
      <c r="J893" s="1">
        <v>-6</v>
      </c>
      <c r="K893" s="1" t="s">
        <v>18</v>
      </c>
      <c r="L893" s="1" t="s">
        <v>19</v>
      </c>
      <c r="M893" s="1">
        <v>864</v>
      </c>
    </row>
    <row r="894" spans="1:13" x14ac:dyDescent="0.35">
      <c r="A894" s="1" t="s">
        <v>1505</v>
      </c>
      <c r="B894" s="2">
        <v>46217</v>
      </c>
      <c r="C894" s="1" t="s">
        <v>587</v>
      </c>
      <c r="D894" s="1" t="s">
        <v>23</v>
      </c>
      <c r="E894" s="1" t="s">
        <v>47</v>
      </c>
      <c r="F894" s="1" t="s">
        <v>17</v>
      </c>
      <c r="G894" s="3">
        <v>0.27777777777777779</v>
      </c>
      <c r="H894" s="3">
        <v>0.27986111111111112</v>
      </c>
      <c r="I894" s="1">
        <v>3</v>
      </c>
      <c r="J894" s="1">
        <v>-7</v>
      </c>
      <c r="K894" s="1" t="s">
        <v>18</v>
      </c>
      <c r="L894" s="1" t="s">
        <v>19</v>
      </c>
      <c r="M894" s="1">
        <v>965</v>
      </c>
    </row>
    <row r="895" spans="1:13" x14ac:dyDescent="0.35">
      <c r="A895" s="1" t="s">
        <v>1506</v>
      </c>
      <c r="B895" s="2">
        <v>46217</v>
      </c>
      <c r="C895" s="1" t="s">
        <v>1487</v>
      </c>
      <c r="D895" s="1" t="s">
        <v>555</v>
      </c>
      <c r="E895" s="1" t="s">
        <v>41</v>
      </c>
      <c r="F895" s="1" t="s">
        <v>17</v>
      </c>
      <c r="G895" s="3">
        <v>0.3263888888888889</v>
      </c>
      <c r="H895" s="3">
        <v>0.34236111111111112</v>
      </c>
      <c r="I895" s="1">
        <v>23</v>
      </c>
      <c r="J895" s="1">
        <v>26</v>
      </c>
      <c r="K895" s="1" t="s">
        <v>129</v>
      </c>
      <c r="L895" s="1" t="s">
        <v>19</v>
      </c>
      <c r="M895" s="1">
        <v>1199</v>
      </c>
    </row>
    <row r="896" spans="1:13" x14ac:dyDescent="0.35">
      <c r="A896" s="1" t="s">
        <v>1507</v>
      </c>
      <c r="B896" s="2">
        <v>46217</v>
      </c>
      <c r="C896" s="1" t="s">
        <v>262</v>
      </c>
      <c r="D896" s="1" t="s">
        <v>41</v>
      </c>
      <c r="E896" s="1" t="s">
        <v>78</v>
      </c>
      <c r="F896" s="1" t="s">
        <v>24</v>
      </c>
      <c r="G896" s="3">
        <v>0.61458333333333337</v>
      </c>
      <c r="H896" s="3">
        <v>0.61388888888888893</v>
      </c>
      <c r="I896" s="1">
        <v>-1</v>
      </c>
      <c r="J896" s="1">
        <v>6</v>
      </c>
      <c r="K896" s="1" t="s">
        <v>18</v>
      </c>
      <c r="L896" s="1" t="s">
        <v>19</v>
      </c>
      <c r="M896" s="1">
        <v>1969</v>
      </c>
    </row>
    <row r="897" spans="1:13" x14ac:dyDescent="0.35">
      <c r="A897" s="1" t="s">
        <v>1508</v>
      </c>
      <c r="B897" s="2">
        <v>46217</v>
      </c>
      <c r="C897" s="1" t="s">
        <v>607</v>
      </c>
      <c r="D897" s="1" t="s">
        <v>44</v>
      </c>
      <c r="E897" s="1" t="s">
        <v>16</v>
      </c>
      <c r="F897" s="1" t="s">
        <v>17</v>
      </c>
      <c r="G897" s="3">
        <v>0.74652777777777779</v>
      </c>
      <c r="H897" s="3">
        <v>0.76041666666666663</v>
      </c>
      <c r="I897" s="1">
        <v>20</v>
      </c>
      <c r="J897" s="1">
        <v>20</v>
      </c>
      <c r="K897" s="1" t="s">
        <v>98</v>
      </c>
      <c r="L897" s="1" t="s">
        <v>19</v>
      </c>
      <c r="M897" s="1">
        <v>864</v>
      </c>
    </row>
    <row r="898" spans="1:13" x14ac:dyDescent="0.35">
      <c r="A898" s="1" t="s">
        <v>1509</v>
      </c>
      <c r="B898" s="2">
        <v>46218</v>
      </c>
      <c r="C898" s="1" t="s">
        <v>483</v>
      </c>
      <c r="D898" s="1" t="s">
        <v>15</v>
      </c>
      <c r="E898" s="1" t="s">
        <v>555</v>
      </c>
      <c r="F898" s="1" t="s">
        <v>17</v>
      </c>
      <c r="G898" s="3">
        <v>0.65972222222222221</v>
      </c>
      <c r="H898" s="3">
        <v>0.6645833333333333</v>
      </c>
      <c r="I898" s="1">
        <v>7</v>
      </c>
      <c r="J898" s="1">
        <v>17</v>
      </c>
      <c r="K898" s="1" t="s">
        <v>18</v>
      </c>
      <c r="L898" s="1" t="s">
        <v>19</v>
      </c>
      <c r="M898" s="1">
        <v>1742</v>
      </c>
    </row>
    <row r="899" spans="1:13" x14ac:dyDescent="0.35">
      <c r="A899" s="1" t="s">
        <v>1510</v>
      </c>
      <c r="B899" s="2">
        <v>46219</v>
      </c>
      <c r="C899" s="1" t="s">
        <v>487</v>
      </c>
      <c r="D899" s="1" t="s">
        <v>15</v>
      </c>
      <c r="E899" s="1" t="s">
        <v>50</v>
      </c>
      <c r="F899" s="1" t="s">
        <v>17</v>
      </c>
      <c r="G899" s="3">
        <v>0.40277777777777779</v>
      </c>
      <c r="H899" s="3">
        <v>0.42777777777777781</v>
      </c>
      <c r="I899" s="1">
        <v>36</v>
      </c>
      <c r="J899" s="1">
        <v>41</v>
      </c>
      <c r="K899" s="1" t="s">
        <v>303</v>
      </c>
      <c r="L899" s="1" t="s">
        <v>19</v>
      </c>
      <c r="M899" s="1">
        <v>1942</v>
      </c>
    </row>
    <row r="900" spans="1:13" x14ac:dyDescent="0.35">
      <c r="A900" s="1" t="s">
        <v>1511</v>
      </c>
      <c r="B900" s="2">
        <v>46219</v>
      </c>
      <c r="C900" s="1" t="s">
        <v>1483</v>
      </c>
      <c r="D900" s="1" t="s">
        <v>44</v>
      </c>
      <c r="E900" s="1" t="s">
        <v>23</v>
      </c>
      <c r="F900" s="1" t="s">
        <v>38</v>
      </c>
      <c r="G900" s="3">
        <v>0.59722222222222221</v>
      </c>
      <c r="H900" s="3">
        <v>0.60486111111111107</v>
      </c>
      <c r="I900" s="1">
        <v>11</v>
      </c>
      <c r="J900" s="1">
        <v>5</v>
      </c>
      <c r="K900" s="1" t="s">
        <v>18</v>
      </c>
      <c r="L900" s="1" t="s">
        <v>19</v>
      </c>
      <c r="M900" s="1">
        <v>1749</v>
      </c>
    </row>
    <row r="901" spans="1:13" x14ac:dyDescent="0.35">
      <c r="A901" s="1" t="s">
        <v>1512</v>
      </c>
      <c r="B901" s="2">
        <v>46221</v>
      </c>
      <c r="C901" s="1" t="s">
        <v>835</v>
      </c>
      <c r="D901" s="1" t="s">
        <v>78</v>
      </c>
      <c r="E901" s="1" t="s">
        <v>27</v>
      </c>
      <c r="F901" s="1" t="s">
        <v>17</v>
      </c>
      <c r="G901" s="3">
        <v>0.78819444444444442</v>
      </c>
      <c r="H901" s="3">
        <v>0.79305555555555551</v>
      </c>
      <c r="I901" s="1">
        <v>7</v>
      </c>
      <c r="J901" s="1"/>
      <c r="K901" s="1" t="s">
        <v>18</v>
      </c>
      <c r="L901" s="1" t="s">
        <v>19</v>
      </c>
      <c r="M901" s="1">
        <v>866</v>
      </c>
    </row>
    <row r="902" spans="1:13" x14ac:dyDescent="0.35">
      <c r="A902" s="1" t="s">
        <v>1513</v>
      </c>
      <c r="B902" s="2">
        <v>46221</v>
      </c>
      <c r="C902" s="1" t="s">
        <v>417</v>
      </c>
      <c r="D902" s="1" t="s">
        <v>50</v>
      </c>
      <c r="E902" s="1" t="s">
        <v>47</v>
      </c>
      <c r="F902" s="1" t="s">
        <v>17</v>
      </c>
      <c r="G902" s="3">
        <v>0.79861111111111116</v>
      </c>
      <c r="H902" s="3">
        <v>0.87430555555555556</v>
      </c>
      <c r="I902" s="1">
        <v>109</v>
      </c>
      <c r="J902" s="1">
        <v>116</v>
      </c>
      <c r="K902" s="1" t="s">
        <v>129</v>
      </c>
      <c r="L902" s="1" t="s">
        <v>19</v>
      </c>
      <c r="M902" s="1">
        <v>2134</v>
      </c>
    </row>
    <row r="903" spans="1:13" x14ac:dyDescent="0.35">
      <c r="A903" s="1" t="s">
        <v>1514</v>
      </c>
      <c r="B903" s="2">
        <v>46223</v>
      </c>
      <c r="C903" s="1" t="s">
        <v>1195</v>
      </c>
      <c r="D903" s="1" t="s">
        <v>50</v>
      </c>
      <c r="E903" s="1" t="s">
        <v>1171</v>
      </c>
      <c r="F903" s="1" t="s">
        <v>28</v>
      </c>
      <c r="G903" s="3">
        <v>0.25</v>
      </c>
      <c r="H903" s="3">
        <v>0.24444444444444441</v>
      </c>
      <c r="I903" s="1">
        <v>-8</v>
      </c>
      <c r="J903" s="1">
        <v>-5</v>
      </c>
      <c r="K903" s="1" t="s">
        <v>18</v>
      </c>
      <c r="L903" s="1" t="s">
        <v>19</v>
      </c>
      <c r="M903" s="1">
        <v>1584</v>
      </c>
    </row>
    <row r="904" spans="1:13" x14ac:dyDescent="0.35">
      <c r="A904" s="1" t="s">
        <v>1515</v>
      </c>
      <c r="B904" s="2">
        <v>46223</v>
      </c>
      <c r="C904" s="1" t="s">
        <v>603</v>
      </c>
      <c r="D904" s="1" t="s">
        <v>44</v>
      </c>
      <c r="E904" s="1" t="s">
        <v>50</v>
      </c>
      <c r="F904" s="1" t="s">
        <v>24</v>
      </c>
      <c r="G904" s="3">
        <v>0.2638888888888889</v>
      </c>
      <c r="H904" s="3">
        <v>0.26597222222222222</v>
      </c>
      <c r="I904" s="1">
        <v>3</v>
      </c>
      <c r="J904" s="1">
        <v>-5</v>
      </c>
      <c r="K904" s="1" t="s">
        <v>18</v>
      </c>
      <c r="L904" s="1" t="s">
        <v>19</v>
      </c>
      <c r="M904" s="1">
        <v>945</v>
      </c>
    </row>
    <row r="905" spans="1:13" x14ac:dyDescent="0.35">
      <c r="A905" s="1" t="s">
        <v>1516</v>
      </c>
      <c r="B905" s="2">
        <v>46223</v>
      </c>
      <c r="C905" s="1" t="s">
        <v>1077</v>
      </c>
      <c r="D905" s="1" t="s">
        <v>16</v>
      </c>
      <c r="E905" s="1" t="s">
        <v>15</v>
      </c>
      <c r="F905" s="1" t="s">
        <v>38</v>
      </c>
      <c r="G905" s="3">
        <v>0.47569444444444442</v>
      </c>
      <c r="H905" s="3">
        <v>0.48333333333333328</v>
      </c>
      <c r="I905" s="1">
        <v>11</v>
      </c>
      <c r="J905" s="1">
        <v>11</v>
      </c>
      <c r="K905" s="1"/>
      <c r="L905" s="1" t="s">
        <v>19</v>
      </c>
      <c r="M905" s="1">
        <v>1742</v>
      </c>
    </row>
    <row r="906" spans="1:13" x14ac:dyDescent="0.35">
      <c r="A906" s="1" t="s">
        <v>1517</v>
      </c>
      <c r="B906" s="2">
        <v>46223</v>
      </c>
      <c r="C906" s="1" t="s">
        <v>1518</v>
      </c>
      <c r="D906" s="1" t="s">
        <v>16</v>
      </c>
      <c r="E906" s="1" t="s">
        <v>31</v>
      </c>
      <c r="F906" s="1" t="s">
        <v>17</v>
      </c>
      <c r="G906" s="3">
        <v>0.54513888888888884</v>
      </c>
      <c r="H906" s="3">
        <v>0.56805555555555554</v>
      </c>
      <c r="I906" s="1">
        <v>33</v>
      </c>
      <c r="J906" s="1">
        <v>31</v>
      </c>
      <c r="K906" s="1" t="s">
        <v>319</v>
      </c>
      <c r="L906" s="1" t="s">
        <v>19</v>
      </c>
      <c r="M906" s="1">
        <v>1511</v>
      </c>
    </row>
    <row r="907" spans="1:13" x14ac:dyDescent="0.35">
      <c r="A907" s="1" t="s">
        <v>1519</v>
      </c>
      <c r="B907" s="2">
        <v>46223</v>
      </c>
      <c r="C907" s="1" t="s">
        <v>789</v>
      </c>
      <c r="D907" s="1" t="s">
        <v>50</v>
      </c>
      <c r="E907" s="1" t="s">
        <v>23</v>
      </c>
      <c r="F907" s="1" t="s">
        <v>17</v>
      </c>
      <c r="G907" s="3">
        <v>0.69791666666666663</v>
      </c>
      <c r="H907" s="3">
        <v>0.7006944444444444</v>
      </c>
      <c r="I907" s="1">
        <v>4</v>
      </c>
      <c r="J907" s="1">
        <v>6</v>
      </c>
      <c r="K907" s="1" t="s">
        <v>18</v>
      </c>
      <c r="L907" s="1" t="s">
        <v>19</v>
      </c>
      <c r="M907" s="1">
        <v>1197</v>
      </c>
    </row>
    <row r="908" spans="1:13" x14ac:dyDescent="0.35">
      <c r="A908" s="1" t="s">
        <v>1520</v>
      </c>
      <c r="B908" s="2">
        <v>46224</v>
      </c>
      <c r="C908" s="1" t="s">
        <v>1521</v>
      </c>
      <c r="D908" s="1" t="s">
        <v>16</v>
      </c>
      <c r="E908" s="1" t="s">
        <v>15</v>
      </c>
      <c r="F908" s="1" t="s">
        <v>17</v>
      </c>
      <c r="G908" s="3">
        <v>0.69444444444444442</v>
      </c>
      <c r="H908" s="3">
        <v>0.69236111111111109</v>
      </c>
      <c r="I908" s="1">
        <v>-3</v>
      </c>
      <c r="J908" s="1">
        <v>7</v>
      </c>
      <c r="K908" s="1"/>
      <c r="L908" s="1" t="s">
        <v>19</v>
      </c>
      <c r="M908" s="1">
        <v>1742</v>
      </c>
    </row>
    <row r="909" spans="1:13" x14ac:dyDescent="0.35">
      <c r="A909" s="1" t="s">
        <v>1522</v>
      </c>
      <c r="B909" s="2">
        <v>46225</v>
      </c>
      <c r="C909" s="1" t="s">
        <v>654</v>
      </c>
      <c r="D909" s="1" t="s">
        <v>50</v>
      </c>
      <c r="E909" s="1" t="s">
        <v>15</v>
      </c>
      <c r="F909" s="1" t="s">
        <v>17</v>
      </c>
      <c r="G909" s="3">
        <v>0.24305555555555561</v>
      </c>
      <c r="H909" s="3">
        <v>0.24236111111111111</v>
      </c>
      <c r="I909" s="1">
        <v>-1</v>
      </c>
      <c r="J909" s="1">
        <v>1</v>
      </c>
      <c r="K909" s="1"/>
      <c r="L909" s="1" t="s">
        <v>19</v>
      </c>
      <c r="M909" s="1">
        <v>1942</v>
      </c>
    </row>
    <row r="910" spans="1:13" x14ac:dyDescent="0.35">
      <c r="A910" s="1" t="s">
        <v>1523</v>
      </c>
      <c r="B910" s="2">
        <v>46225</v>
      </c>
      <c r="C910" s="1" t="s">
        <v>1524</v>
      </c>
      <c r="D910" s="1" t="s">
        <v>22</v>
      </c>
      <c r="E910" s="1" t="s">
        <v>78</v>
      </c>
      <c r="F910" s="1" t="s">
        <v>28</v>
      </c>
      <c r="G910" s="3">
        <v>0.28819444444444442</v>
      </c>
      <c r="H910" s="3">
        <v>0.28472222222222221</v>
      </c>
      <c r="I910" s="1">
        <v>-5</v>
      </c>
      <c r="J910" s="1">
        <v>-13</v>
      </c>
      <c r="K910" s="1"/>
      <c r="L910" s="1" t="s">
        <v>19</v>
      </c>
      <c r="M910" s="1">
        <v>2149</v>
      </c>
    </row>
    <row r="911" spans="1:13" x14ac:dyDescent="0.35">
      <c r="A911" s="1" t="s">
        <v>1525</v>
      </c>
      <c r="B911" s="2">
        <v>46225</v>
      </c>
      <c r="C911" s="1" t="s">
        <v>1526</v>
      </c>
      <c r="D911" s="1" t="s">
        <v>15</v>
      </c>
      <c r="E911" s="1" t="s">
        <v>50</v>
      </c>
      <c r="F911" s="1" t="s">
        <v>38</v>
      </c>
      <c r="G911" s="3">
        <v>0.375</v>
      </c>
      <c r="H911" s="3">
        <v>0.45347222222222222</v>
      </c>
      <c r="I911" s="1">
        <v>113</v>
      </c>
      <c r="J911" s="1">
        <v>105</v>
      </c>
      <c r="K911" s="1" t="s">
        <v>617</v>
      </c>
      <c r="L911" s="1" t="s">
        <v>19</v>
      </c>
      <c r="M911" s="1">
        <v>1942</v>
      </c>
    </row>
    <row r="912" spans="1:13" x14ac:dyDescent="0.35">
      <c r="A912" s="1" t="s">
        <v>1527</v>
      </c>
      <c r="B912" s="2">
        <v>46225</v>
      </c>
      <c r="C912" s="1" t="s">
        <v>1503</v>
      </c>
      <c r="D912" s="1" t="s">
        <v>44</v>
      </c>
      <c r="E912" s="1" t="s">
        <v>50</v>
      </c>
      <c r="F912" s="1" t="s">
        <v>17</v>
      </c>
      <c r="G912" s="3">
        <v>0.47916666666666669</v>
      </c>
      <c r="H912" s="1"/>
      <c r="I912" s="1">
        <v>158</v>
      </c>
      <c r="J912" s="1">
        <v>149</v>
      </c>
      <c r="K912" s="1" t="s">
        <v>477</v>
      </c>
      <c r="L912" s="1" t="s">
        <v>19</v>
      </c>
      <c r="M912" s="1">
        <v>945</v>
      </c>
    </row>
    <row r="913" spans="1:13" x14ac:dyDescent="0.35">
      <c r="A913" s="1" t="s">
        <v>1528</v>
      </c>
      <c r="B913" s="2">
        <v>46225</v>
      </c>
      <c r="C913" s="1" t="s">
        <v>378</v>
      </c>
      <c r="D913" s="1" t="s">
        <v>50</v>
      </c>
      <c r="E913" s="1" t="s">
        <v>22</v>
      </c>
      <c r="F913" s="1" t="s">
        <v>38</v>
      </c>
      <c r="G913" s="3">
        <v>0.625</v>
      </c>
      <c r="H913" s="1"/>
      <c r="I913" s="1"/>
      <c r="J913" s="1"/>
      <c r="K913" s="1" t="s">
        <v>129</v>
      </c>
      <c r="L913" s="1" t="s">
        <v>254</v>
      </c>
      <c r="M913" s="1">
        <v>759</v>
      </c>
    </row>
    <row r="914" spans="1:13" x14ac:dyDescent="0.35">
      <c r="A914" s="1" t="s">
        <v>1529</v>
      </c>
      <c r="B914" s="2">
        <v>46227</v>
      </c>
      <c r="C914" s="1" t="s">
        <v>383</v>
      </c>
      <c r="D914" s="1" t="s">
        <v>50</v>
      </c>
      <c r="E914" s="1" t="s">
        <v>22</v>
      </c>
      <c r="F914" s="1" t="s">
        <v>24</v>
      </c>
      <c r="G914" s="3">
        <v>0.5625</v>
      </c>
      <c r="H914" s="3">
        <v>0.57361111111111107</v>
      </c>
      <c r="I914" s="1">
        <v>16</v>
      </c>
      <c r="J914" s="1">
        <v>20</v>
      </c>
      <c r="K914" s="1" t="s">
        <v>174</v>
      </c>
      <c r="L914" s="1" t="s">
        <v>19</v>
      </c>
      <c r="M914" s="1">
        <v>759</v>
      </c>
    </row>
    <row r="915" spans="1:13" x14ac:dyDescent="0.35">
      <c r="A915" s="1" t="s">
        <v>1530</v>
      </c>
      <c r="B915" s="2">
        <v>46227</v>
      </c>
      <c r="C915" s="1" t="s">
        <v>1531</v>
      </c>
      <c r="D915" s="1" t="s">
        <v>44</v>
      </c>
      <c r="E915" s="1" t="s">
        <v>16</v>
      </c>
      <c r="F915" s="1" t="s">
        <v>17</v>
      </c>
      <c r="G915" s="3">
        <v>0.67708333333333337</v>
      </c>
      <c r="H915" s="3">
        <v>0.67847222222222225</v>
      </c>
      <c r="I915" s="1">
        <v>2</v>
      </c>
      <c r="J915" s="1">
        <v>4</v>
      </c>
      <c r="K915" s="1" t="s">
        <v>18</v>
      </c>
      <c r="L915" s="1" t="s">
        <v>19</v>
      </c>
      <c r="M915" s="1">
        <v>864</v>
      </c>
    </row>
    <row r="916" spans="1:13" x14ac:dyDescent="0.35">
      <c r="A916" s="1" t="s">
        <v>1532</v>
      </c>
      <c r="B916" s="2">
        <v>46228</v>
      </c>
      <c r="C916" s="1" t="s">
        <v>100</v>
      </c>
      <c r="D916" s="1" t="s">
        <v>22</v>
      </c>
      <c r="E916" s="1" t="s">
        <v>41</v>
      </c>
      <c r="F916" s="1" t="s">
        <v>24</v>
      </c>
      <c r="G916" s="3">
        <v>0.2361111111111111</v>
      </c>
      <c r="H916" s="3">
        <v>0.25972222222222219</v>
      </c>
      <c r="I916" s="1">
        <v>34</v>
      </c>
      <c r="J916" s="1">
        <v>28</v>
      </c>
      <c r="K916" s="1" t="s">
        <v>617</v>
      </c>
      <c r="L916" s="1" t="s">
        <v>19</v>
      </c>
      <c r="M916" s="1">
        <v>1092</v>
      </c>
    </row>
    <row r="917" spans="1:13" x14ac:dyDescent="0.35">
      <c r="A917" s="1" t="s">
        <v>1533</v>
      </c>
      <c r="B917" s="2">
        <v>46228</v>
      </c>
      <c r="C917" s="1" t="s">
        <v>847</v>
      </c>
      <c r="D917" s="1" t="s">
        <v>50</v>
      </c>
      <c r="E917" s="1" t="s">
        <v>16</v>
      </c>
      <c r="F917" s="1" t="s">
        <v>17</v>
      </c>
      <c r="G917" s="3">
        <v>0.46875</v>
      </c>
      <c r="H917" s="3">
        <v>0.46666666666666667</v>
      </c>
      <c r="I917" s="1">
        <v>-3</v>
      </c>
      <c r="J917" s="1">
        <v>-4</v>
      </c>
      <c r="K917" s="1" t="s">
        <v>18</v>
      </c>
      <c r="L917" s="1" t="s">
        <v>19</v>
      </c>
      <c r="M917" s="1">
        <v>606</v>
      </c>
    </row>
    <row r="918" spans="1:13" x14ac:dyDescent="0.35">
      <c r="A918" s="1" t="s">
        <v>1534</v>
      </c>
      <c r="B918" s="2">
        <v>46228</v>
      </c>
      <c r="C918" s="1" t="s">
        <v>837</v>
      </c>
      <c r="D918" s="1" t="s">
        <v>78</v>
      </c>
      <c r="E918" s="1" t="s">
        <v>16</v>
      </c>
      <c r="F918" s="1" t="s">
        <v>38</v>
      </c>
      <c r="G918" s="3">
        <v>0.53125</v>
      </c>
      <c r="H918" s="3">
        <v>0.56805555555555554</v>
      </c>
      <c r="I918" s="1">
        <v>53</v>
      </c>
      <c r="J918" s="1">
        <v>38</v>
      </c>
      <c r="K918" s="1" t="s">
        <v>174</v>
      </c>
      <c r="L918" s="1" t="s">
        <v>19</v>
      </c>
      <c r="M918" s="1">
        <v>1438</v>
      </c>
    </row>
    <row r="919" spans="1:13" x14ac:dyDescent="0.35">
      <c r="A919" s="1" t="s">
        <v>1535</v>
      </c>
      <c r="B919" s="2">
        <v>46229</v>
      </c>
      <c r="C919" s="1" t="s">
        <v>1536</v>
      </c>
      <c r="D919" s="1" t="s">
        <v>16</v>
      </c>
      <c r="E919" s="1" t="s">
        <v>31</v>
      </c>
      <c r="F919" s="1" t="s">
        <v>24</v>
      </c>
      <c r="G919" s="3">
        <v>0.42708333333333331</v>
      </c>
      <c r="H919" s="3">
        <v>0.4465277777777778</v>
      </c>
      <c r="I919" s="1">
        <v>28</v>
      </c>
      <c r="J919" s="1"/>
      <c r="K919" s="1" t="s">
        <v>60</v>
      </c>
      <c r="L919" s="1" t="s">
        <v>19</v>
      </c>
      <c r="M919" s="1">
        <v>1511</v>
      </c>
    </row>
    <row r="920" spans="1:13" x14ac:dyDescent="0.35">
      <c r="A920" s="1" t="s">
        <v>1537</v>
      </c>
      <c r="B920" s="2">
        <v>46229</v>
      </c>
      <c r="C920" s="1" t="s">
        <v>942</v>
      </c>
      <c r="D920" s="1" t="s">
        <v>328</v>
      </c>
      <c r="E920" s="1" t="s">
        <v>27</v>
      </c>
      <c r="F920" s="1" t="s">
        <v>17</v>
      </c>
      <c r="G920" s="3">
        <v>0.70138888888888884</v>
      </c>
      <c r="H920" s="3">
        <v>0.70694444444444449</v>
      </c>
      <c r="I920" s="1">
        <v>8</v>
      </c>
      <c r="J920" s="1">
        <v>9</v>
      </c>
      <c r="K920" s="1" t="s">
        <v>18</v>
      </c>
      <c r="L920" s="1" t="s">
        <v>19</v>
      </c>
      <c r="M920" s="1">
        <v>1389</v>
      </c>
    </row>
    <row r="921" spans="1:13" x14ac:dyDescent="0.35">
      <c r="A921" s="1" t="s">
        <v>1538</v>
      </c>
      <c r="B921" s="2">
        <v>46229</v>
      </c>
      <c r="C921" s="1" t="s">
        <v>1105</v>
      </c>
      <c r="D921" s="1" t="s">
        <v>50</v>
      </c>
      <c r="E921" s="1" t="s">
        <v>31</v>
      </c>
      <c r="F921" s="1" t="s">
        <v>17</v>
      </c>
      <c r="G921" s="3">
        <v>0.77777777777777779</v>
      </c>
      <c r="H921" s="3">
        <v>0.77847222222222223</v>
      </c>
      <c r="I921" s="1">
        <v>1</v>
      </c>
      <c r="J921" s="1">
        <v>5</v>
      </c>
      <c r="K921" s="1" t="s">
        <v>18</v>
      </c>
      <c r="L921" s="1" t="s">
        <v>19</v>
      </c>
      <c r="M921" s="1">
        <v>1743</v>
      </c>
    </row>
    <row r="922" spans="1:13" x14ac:dyDescent="0.35">
      <c r="A922" s="1" t="s">
        <v>1539</v>
      </c>
      <c r="B922" s="2">
        <v>46230</v>
      </c>
      <c r="C922" s="1" t="s">
        <v>21</v>
      </c>
      <c r="D922" s="1" t="s">
        <v>123</v>
      </c>
      <c r="E922" s="1" t="s">
        <v>41</v>
      </c>
      <c r="F922" s="1" t="s">
        <v>24</v>
      </c>
      <c r="G922" s="3">
        <v>0.52083333333333337</v>
      </c>
      <c r="H922" s="3">
        <v>0.53194444444444444</v>
      </c>
      <c r="I922" s="1">
        <v>16</v>
      </c>
      <c r="J922" s="1">
        <v>8</v>
      </c>
      <c r="K922" s="1" t="s">
        <v>174</v>
      </c>
      <c r="L922" s="1" t="s">
        <v>19</v>
      </c>
      <c r="M922" s="1">
        <v>596</v>
      </c>
    </row>
    <row r="923" spans="1:13" x14ac:dyDescent="0.35">
      <c r="A923" s="1" t="s">
        <v>1540</v>
      </c>
      <c r="B923" s="2">
        <v>46230</v>
      </c>
      <c r="C923" s="1" t="s">
        <v>1343</v>
      </c>
      <c r="D923" s="1" t="s">
        <v>50</v>
      </c>
      <c r="E923" s="1" t="s">
        <v>27</v>
      </c>
      <c r="F923" s="1" t="s">
        <v>28</v>
      </c>
      <c r="G923" s="3">
        <v>0.53125</v>
      </c>
      <c r="H923" s="3">
        <v>0.52638888888888891</v>
      </c>
      <c r="I923" s="1">
        <v>-7</v>
      </c>
      <c r="J923" s="1"/>
      <c r="K923" s="1"/>
      <c r="L923" s="1" t="s">
        <v>19</v>
      </c>
      <c r="M923" s="1">
        <v>730</v>
      </c>
    </row>
    <row r="924" spans="1:13" x14ac:dyDescent="0.35">
      <c r="A924" s="1" t="s">
        <v>1541</v>
      </c>
      <c r="B924" s="2">
        <v>46230</v>
      </c>
      <c r="C924" s="1" t="s">
        <v>90</v>
      </c>
      <c r="D924" s="1" t="s">
        <v>27</v>
      </c>
      <c r="E924" s="1" t="s">
        <v>126</v>
      </c>
      <c r="F924" s="1" t="s">
        <v>17</v>
      </c>
      <c r="G924" s="3">
        <v>0.68402777777777779</v>
      </c>
      <c r="H924" s="3">
        <v>0.67986111111111114</v>
      </c>
      <c r="I924" s="1">
        <v>-600</v>
      </c>
      <c r="J924" s="1">
        <v>-14</v>
      </c>
      <c r="K924" s="1" t="s">
        <v>18</v>
      </c>
      <c r="L924" s="1" t="s">
        <v>19</v>
      </c>
      <c r="M924" s="1">
        <v>1053</v>
      </c>
    </row>
    <row r="925" spans="1:13" x14ac:dyDescent="0.35">
      <c r="A925" s="1" t="s">
        <v>1542</v>
      </c>
      <c r="B925" s="2">
        <v>46230</v>
      </c>
      <c r="C925" s="1" t="s">
        <v>1543</v>
      </c>
      <c r="D925" s="1" t="s">
        <v>50</v>
      </c>
      <c r="E925" s="1" t="s">
        <v>22</v>
      </c>
      <c r="F925" s="1" t="s">
        <v>28</v>
      </c>
      <c r="G925" s="3">
        <v>0.90972222222222221</v>
      </c>
      <c r="H925" s="3">
        <v>0.90486111111111112</v>
      </c>
      <c r="I925" s="1">
        <v>-7</v>
      </c>
      <c r="J925" s="1">
        <v>-3</v>
      </c>
      <c r="K925" s="1" t="s">
        <v>18</v>
      </c>
      <c r="L925" s="1" t="s">
        <v>19</v>
      </c>
      <c r="M925" s="1">
        <v>759</v>
      </c>
    </row>
    <row r="926" spans="1:13" x14ac:dyDescent="0.35">
      <c r="A926" s="1" t="s">
        <v>1544</v>
      </c>
      <c r="B926" s="2">
        <v>46231</v>
      </c>
      <c r="C926" s="1" t="s">
        <v>1545</v>
      </c>
      <c r="D926" s="1" t="s">
        <v>44</v>
      </c>
      <c r="E926" s="1" t="s">
        <v>41</v>
      </c>
      <c r="F926" s="1" t="s">
        <v>38</v>
      </c>
      <c r="G926" s="3">
        <v>0.28125</v>
      </c>
      <c r="H926" s="3">
        <v>0.28333333333333333</v>
      </c>
      <c r="I926" s="1">
        <v>3</v>
      </c>
      <c r="J926" s="1">
        <v>0</v>
      </c>
      <c r="K926" s="1" t="s">
        <v>18</v>
      </c>
      <c r="L926" s="1" t="s">
        <v>19</v>
      </c>
      <c r="M926" s="1">
        <v>1260</v>
      </c>
    </row>
    <row r="927" spans="1:13" x14ac:dyDescent="0.35">
      <c r="A927" s="1" t="s">
        <v>1546</v>
      </c>
      <c r="B927" s="2">
        <v>46231</v>
      </c>
      <c r="C927" s="1" t="s">
        <v>1547</v>
      </c>
      <c r="D927" s="1" t="s">
        <v>15</v>
      </c>
      <c r="E927" s="1" t="s">
        <v>23</v>
      </c>
      <c r="F927" s="1" t="s">
        <v>28</v>
      </c>
      <c r="G927" s="3">
        <v>0.34375</v>
      </c>
      <c r="H927" s="3">
        <v>0.35</v>
      </c>
      <c r="I927" s="1">
        <v>9</v>
      </c>
      <c r="J927" s="1">
        <v>-2</v>
      </c>
      <c r="K927" s="1" t="s">
        <v>18</v>
      </c>
      <c r="L927" s="1" t="s">
        <v>19</v>
      </c>
      <c r="M927" s="1">
        <v>861</v>
      </c>
    </row>
    <row r="928" spans="1:13" x14ac:dyDescent="0.35">
      <c r="A928" s="1" t="s">
        <v>1548</v>
      </c>
      <c r="B928" s="2">
        <v>46231</v>
      </c>
      <c r="C928" s="1" t="s">
        <v>66</v>
      </c>
      <c r="D928" s="1" t="s">
        <v>1549</v>
      </c>
      <c r="E928" s="1" t="s">
        <v>41</v>
      </c>
      <c r="F928" s="1" t="s">
        <v>38</v>
      </c>
      <c r="G928" s="3">
        <v>0.53819444444444442</v>
      </c>
      <c r="H928" s="3">
        <v>0.53611111111111109</v>
      </c>
      <c r="I928" s="1">
        <v>-3</v>
      </c>
      <c r="J928" s="1">
        <v>6</v>
      </c>
      <c r="K928" s="1"/>
      <c r="L928" s="1" t="s">
        <v>19</v>
      </c>
      <c r="M928" s="1">
        <v>1260</v>
      </c>
    </row>
    <row r="929" spans="1:13" x14ac:dyDescent="0.35">
      <c r="A929" s="1" t="s">
        <v>1550</v>
      </c>
      <c r="B929" s="2">
        <v>46231</v>
      </c>
      <c r="C929" s="1" t="s">
        <v>1551</v>
      </c>
      <c r="D929" s="1" t="s">
        <v>31</v>
      </c>
      <c r="E929" s="1" t="s">
        <v>15</v>
      </c>
      <c r="F929" s="1" t="s">
        <v>24</v>
      </c>
      <c r="G929" s="3">
        <v>0.85069444444444442</v>
      </c>
      <c r="H929" s="3">
        <v>0.85</v>
      </c>
      <c r="I929" s="1">
        <v>-1</v>
      </c>
      <c r="J929" s="1">
        <v>-11</v>
      </c>
      <c r="K929" s="1" t="s">
        <v>18</v>
      </c>
      <c r="L929" s="1" t="s">
        <v>19</v>
      </c>
      <c r="M929" s="1">
        <v>236</v>
      </c>
    </row>
    <row r="930" spans="1:13" x14ac:dyDescent="0.35">
      <c r="A930" s="1" t="s">
        <v>1552</v>
      </c>
      <c r="B930" s="2">
        <v>46231</v>
      </c>
      <c r="C930" s="1" t="s">
        <v>406</v>
      </c>
      <c r="D930" s="1" t="s">
        <v>23</v>
      </c>
      <c r="E930" s="1" t="s">
        <v>15</v>
      </c>
      <c r="F930" s="1" t="s">
        <v>17</v>
      </c>
      <c r="G930" s="3">
        <v>0.91319444444444442</v>
      </c>
      <c r="H930" s="3">
        <v>0.96458333333333335</v>
      </c>
      <c r="I930" s="1">
        <v>74</v>
      </c>
      <c r="J930" s="1">
        <v>72</v>
      </c>
      <c r="K930" s="1" t="s">
        <v>54</v>
      </c>
      <c r="L930" s="1" t="s">
        <v>19</v>
      </c>
      <c r="M930" s="1">
        <v>861</v>
      </c>
    </row>
    <row r="931" spans="1:13" x14ac:dyDescent="0.35">
      <c r="A931" s="1" t="s">
        <v>1553</v>
      </c>
      <c r="B931" s="2">
        <v>46232</v>
      </c>
      <c r="C931" s="1" t="s">
        <v>1554</v>
      </c>
      <c r="D931" s="1" t="s">
        <v>22</v>
      </c>
      <c r="E931" s="1" t="s">
        <v>15</v>
      </c>
      <c r="F931" s="1" t="s">
        <v>38</v>
      </c>
      <c r="G931" s="3">
        <v>0.71527777777777779</v>
      </c>
      <c r="H931" s="3">
        <v>0.71319444444444446</v>
      </c>
      <c r="I931" s="1">
        <v>-3</v>
      </c>
      <c r="J931" s="1">
        <v>-8</v>
      </c>
      <c r="K931" s="1" t="s">
        <v>18</v>
      </c>
      <c r="L931" s="1" t="s">
        <v>19</v>
      </c>
      <c r="M931" s="1">
        <v>2470</v>
      </c>
    </row>
    <row r="932" spans="1:13" x14ac:dyDescent="0.35">
      <c r="A932" s="1" t="s">
        <v>1555</v>
      </c>
      <c r="B932" s="2">
        <v>46232</v>
      </c>
      <c r="C932" s="1" t="s">
        <v>567</v>
      </c>
      <c r="D932" s="1" t="s">
        <v>41</v>
      </c>
      <c r="E932" s="1" t="s">
        <v>16</v>
      </c>
      <c r="F932" s="1" t="s">
        <v>28</v>
      </c>
      <c r="G932" s="3">
        <v>0.91319444444444442</v>
      </c>
      <c r="H932" s="3">
        <v>0.91180555555555554</v>
      </c>
      <c r="I932" s="1">
        <v>-2</v>
      </c>
      <c r="J932" s="1">
        <v>-6</v>
      </c>
      <c r="K932" s="1" t="s">
        <v>18</v>
      </c>
      <c r="L932" s="1" t="s">
        <v>19</v>
      </c>
      <c r="M932" s="1">
        <v>1199</v>
      </c>
    </row>
    <row r="933" spans="1:13" x14ac:dyDescent="0.35">
      <c r="A933" s="1" t="s">
        <v>1556</v>
      </c>
      <c r="B933" s="2">
        <v>46232</v>
      </c>
      <c r="C933" s="1" t="s">
        <v>1557</v>
      </c>
      <c r="D933" s="1" t="s">
        <v>32</v>
      </c>
      <c r="E933" s="1" t="s">
        <v>23</v>
      </c>
      <c r="F933" s="1" t="s">
        <v>28</v>
      </c>
      <c r="G933" s="3">
        <v>0.93402777777777779</v>
      </c>
      <c r="H933" s="3">
        <v>0.93680555555555556</v>
      </c>
      <c r="I933" s="1">
        <v>4</v>
      </c>
      <c r="J933" s="1">
        <v>-4</v>
      </c>
      <c r="K933" s="1" t="s">
        <v>18</v>
      </c>
      <c r="L933" s="1" t="s">
        <v>19</v>
      </c>
      <c r="M933" s="1">
        <v>1622</v>
      </c>
    </row>
    <row r="934" spans="1:13" x14ac:dyDescent="0.35">
      <c r="A934" s="1" t="s">
        <v>1558</v>
      </c>
      <c r="B934" s="2">
        <v>46233</v>
      </c>
      <c r="C934" s="1" t="s">
        <v>394</v>
      </c>
      <c r="D934" s="1" t="s">
        <v>41</v>
      </c>
      <c r="E934" s="1" t="s">
        <v>16</v>
      </c>
      <c r="F934" s="1" t="s">
        <v>17</v>
      </c>
      <c r="G934" s="3">
        <v>0.32291666666666669</v>
      </c>
      <c r="H934" s="3">
        <v>0.32500000000000001</v>
      </c>
      <c r="I934" s="1">
        <v>3</v>
      </c>
      <c r="J934" s="1">
        <v>-7</v>
      </c>
      <c r="K934" s="1" t="s">
        <v>18</v>
      </c>
      <c r="L934" s="1" t="s">
        <v>19</v>
      </c>
      <c r="M934" s="1">
        <v>1199</v>
      </c>
    </row>
    <row r="935" spans="1:13" x14ac:dyDescent="0.35">
      <c r="A935" s="1" t="s">
        <v>1559</v>
      </c>
      <c r="B935" s="2">
        <v>46233</v>
      </c>
      <c r="C935" s="1" t="s">
        <v>1560</v>
      </c>
      <c r="D935" s="1" t="s">
        <v>44</v>
      </c>
      <c r="E935" s="1" t="s">
        <v>41</v>
      </c>
      <c r="F935" s="1" t="s">
        <v>28</v>
      </c>
      <c r="G935" s="3">
        <v>0.67708333333333337</v>
      </c>
      <c r="H935" s="3">
        <v>0.69236111111111109</v>
      </c>
      <c r="I935" s="1">
        <v>22</v>
      </c>
      <c r="J935" s="1">
        <v>16</v>
      </c>
      <c r="K935" s="1" t="s">
        <v>174</v>
      </c>
      <c r="L935" s="1" t="s">
        <v>19</v>
      </c>
      <c r="M935" s="1">
        <v>1260</v>
      </c>
    </row>
    <row r="936" spans="1:13" x14ac:dyDescent="0.35">
      <c r="A936" s="1" t="s">
        <v>1561</v>
      </c>
      <c r="B936" s="2">
        <v>46234</v>
      </c>
      <c r="C936" s="1" t="s">
        <v>1562</v>
      </c>
      <c r="D936" s="1" t="s">
        <v>22</v>
      </c>
      <c r="E936" s="1" t="s">
        <v>16</v>
      </c>
      <c r="F936" s="1" t="s">
        <v>28</v>
      </c>
      <c r="G936" s="3">
        <v>0.27083333333333331</v>
      </c>
      <c r="H936" s="3">
        <v>0.2673611111111111</v>
      </c>
      <c r="I936" s="1">
        <v>-5</v>
      </c>
      <c r="J936" s="1">
        <v>-3</v>
      </c>
      <c r="K936" s="1" t="s">
        <v>18</v>
      </c>
      <c r="L936" s="1" t="s">
        <v>19</v>
      </c>
      <c r="M936" s="1">
        <v>738</v>
      </c>
    </row>
    <row r="937" spans="1:13" x14ac:dyDescent="0.35">
      <c r="A937" s="1" t="s">
        <v>1563</v>
      </c>
      <c r="B937" s="2">
        <v>46234</v>
      </c>
      <c r="C937" s="1" t="s">
        <v>316</v>
      </c>
      <c r="D937" s="1" t="s">
        <v>16</v>
      </c>
      <c r="E937" s="1" t="s">
        <v>44</v>
      </c>
      <c r="F937" s="1" t="s">
        <v>17</v>
      </c>
      <c r="G937" s="3">
        <v>0.69791666666666663</v>
      </c>
      <c r="H937" s="3">
        <v>0.75277777777777777</v>
      </c>
      <c r="I937" s="1">
        <v>79</v>
      </c>
      <c r="J937" s="1">
        <v>84</v>
      </c>
      <c r="K937" s="1" t="s">
        <v>174</v>
      </c>
      <c r="L937" s="1" t="s">
        <v>19</v>
      </c>
      <c r="M937" s="1">
        <v>864</v>
      </c>
    </row>
    <row r="938" spans="1:13" x14ac:dyDescent="0.35">
      <c r="A938" s="1" t="s">
        <v>1564</v>
      </c>
      <c r="B938" s="2">
        <v>46235</v>
      </c>
      <c r="C938" s="1" t="s">
        <v>682</v>
      </c>
      <c r="D938" s="1" t="s">
        <v>44</v>
      </c>
      <c r="E938" s="1" t="s">
        <v>27</v>
      </c>
      <c r="F938" s="1" t="s">
        <v>38</v>
      </c>
      <c r="G938" s="3">
        <v>0.5</v>
      </c>
      <c r="H938" s="3">
        <v>0.50208333333333333</v>
      </c>
      <c r="I938" s="1">
        <v>3</v>
      </c>
      <c r="J938" s="1">
        <v>8</v>
      </c>
      <c r="K938" s="1" t="s">
        <v>18</v>
      </c>
      <c r="L938" s="1" t="s">
        <v>19</v>
      </c>
      <c r="M938" s="1">
        <v>1559</v>
      </c>
    </row>
    <row r="939" spans="1:13" x14ac:dyDescent="0.35">
      <c r="A939" s="1" t="s">
        <v>1565</v>
      </c>
      <c r="B939" s="2">
        <v>46235</v>
      </c>
      <c r="C939" s="1" t="s">
        <v>512</v>
      </c>
      <c r="D939" s="1" t="s">
        <v>50</v>
      </c>
      <c r="E939" s="1" t="s">
        <v>16</v>
      </c>
      <c r="F939" s="1" t="s">
        <v>24</v>
      </c>
      <c r="G939" s="3">
        <v>0.64930555555555558</v>
      </c>
      <c r="H939" s="3">
        <v>0.65069444444444446</v>
      </c>
      <c r="I939" s="1">
        <v>2</v>
      </c>
      <c r="J939" s="1">
        <v>-2</v>
      </c>
      <c r="K939" s="1" t="s">
        <v>18</v>
      </c>
      <c r="L939" s="1" t="s">
        <v>19</v>
      </c>
      <c r="M939" s="1">
        <v>606</v>
      </c>
    </row>
    <row r="940" spans="1:13" x14ac:dyDescent="0.35">
      <c r="A940" s="1" t="s">
        <v>1566</v>
      </c>
      <c r="B940" s="2">
        <v>46235</v>
      </c>
      <c r="C940" s="1" t="s">
        <v>962</v>
      </c>
      <c r="D940" s="1" t="s">
        <v>50</v>
      </c>
      <c r="E940" s="1" t="s">
        <v>16</v>
      </c>
      <c r="F940" s="1" t="s">
        <v>24</v>
      </c>
      <c r="G940" s="3">
        <v>0.71527777777777779</v>
      </c>
      <c r="H940" s="3">
        <v>0.73472222222222228</v>
      </c>
      <c r="I940" s="1">
        <v>28</v>
      </c>
      <c r="J940" s="1">
        <v>34</v>
      </c>
      <c r="K940" s="1" t="s">
        <v>54</v>
      </c>
      <c r="L940" s="1" t="s">
        <v>19</v>
      </c>
      <c r="M940" s="1">
        <v>606</v>
      </c>
    </row>
    <row r="941" spans="1:13" x14ac:dyDescent="0.35">
      <c r="A941" s="1" t="s">
        <v>1567</v>
      </c>
      <c r="B941" s="2">
        <v>46235</v>
      </c>
      <c r="C941" s="1" t="s">
        <v>106</v>
      </c>
      <c r="D941" s="1" t="s">
        <v>47</v>
      </c>
      <c r="E941" s="1" t="s">
        <v>806</v>
      </c>
      <c r="F941" s="1" t="s">
        <v>24</v>
      </c>
      <c r="G941" s="3">
        <v>0.72569444444444442</v>
      </c>
      <c r="H941" s="3">
        <v>0.72430555555555554</v>
      </c>
      <c r="I941" s="1">
        <v>-2</v>
      </c>
      <c r="J941" s="1">
        <v>-10</v>
      </c>
      <c r="K941" s="1" t="s">
        <v>18</v>
      </c>
      <c r="L941" s="1" t="s">
        <v>19</v>
      </c>
      <c r="M941" s="1">
        <v>338</v>
      </c>
    </row>
    <row r="942" spans="1:13" x14ac:dyDescent="0.35">
      <c r="A942" s="1" t="s">
        <v>1568</v>
      </c>
      <c r="B942" s="2">
        <v>46236</v>
      </c>
      <c r="C942" s="1" t="s">
        <v>1569</v>
      </c>
      <c r="D942" s="1" t="s">
        <v>31</v>
      </c>
      <c r="E942" s="1" t="s">
        <v>50</v>
      </c>
      <c r="F942" s="1" t="s">
        <v>28</v>
      </c>
      <c r="G942" s="3">
        <v>0.4513888888888889</v>
      </c>
      <c r="H942" s="3">
        <v>0.44930555555555562</v>
      </c>
      <c r="I942" s="1">
        <v>-3</v>
      </c>
      <c r="J942" s="1">
        <v>-12</v>
      </c>
      <c r="K942" s="1" t="s">
        <v>18</v>
      </c>
      <c r="L942" s="1" t="s">
        <v>19</v>
      </c>
      <c r="M942" s="1">
        <v>1743</v>
      </c>
    </row>
    <row r="943" spans="1:13" x14ac:dyDescent="0.35">
      <c r="A943" s="1" t="s">
        <v>1570</v>
      </c>
      <c r="B943" s="2">
        <v>46236</v>
      </c>
      <c r="C943" s="1" t="s">
        <v>760</v>
      </c>
      <c r="D943" s="1" t="s">
        <v>78</v>
      </c>
      <c r="E943" s="1" t="s">
        <v>15</v>
      </c>
      <c r="F943" s="1" t="s">
        <v>24</v>
      </c>
      <c r="G943" s="3">
        <v>0.66319444444444442</v>
      </c>
      <c r="H943" s="3">
        <v>0.66319444444444442</v>
      </c>
      <c r="I943" s="1">
        <v>0</v>
      </c>
      <c r="J943" s="1">
        <v>8</v>
      </c>
      <c r="K943" s="1" t="s">
        <v>18</v>
      </c>
      <c r="L943" s="1" t="s">
        <v>19</v>
      </c>
      <c r="M943" s="1">
        <v>370</v>
      </c>
    </row>
    <row r="944" spans="1:13" x14ac:dyDescent="0.35">
      <c r="A944" s="1" t="s">
        <v>1571</v>
      </c>
      <c r="B944" s="2">
        <v>46236</v>
      </c>
      <c r="C944" s="1" t="s">
        <v>487</v>
      </c>
      <c r="D944" s="1" t="s">
        <v>31</v>
      </c>
      <c r="E944" s="1" t="s">
        <v>15</v>
      </c>
      <c r="F944" s="1" t="s">
        <v>38</v>
      </c>
      <c r="G944" s="3">
        <v>0.875</v>
      </c>
      <c r="H944" s="3">
        <v>0.87708333333333333</v>
      </c>
      <c r="I944" s="1">
        <v>3</v>
      </c>
      <c r="J944" s="1">
        <v>6</v>
      </c>
      <c r="K944" s="1"/>
      <c r="L944" s="1" t="s">
        <v>19</v>
      </c>
      <c r="M944" s="1">
        <v>236</v>
      </c>
    </row>
    <row r="945" spans="1:13" x14ac:dyDescent="0.35">
      <c r="A945" s="1" t="s">
        <v>1572</v>
      </c>
      <c r="B945" s="2">
        <v>46237</v>
      </c>
      <c r="C945" s="1" t="s">
        <v>778</v>
      </c>
      <c r="D945" s="1" t="s">
        <v>44</v>
      </c>
      <c r="E945" s="1" t="s">
        <v>50</v>
      </c>
      <c r="F945" s="1" t="s">
        <v>24</v>
      </c>
      <c r="G945" s="3">
        <v>0.55555555555555558</v>
      </c>
      <c r="H945" s="3">
        <v>0.56874999999999998</v>
      </c>
      <c r="I945" s="1">
        <v>19</v>
      </c>
      <c r="J945" s="1">
        <v>17</v>
      </c>
      <c r="K945" s="1" t="s">
        <v>60</v>
      </c>
      <c r="L945" s="1" t="s">
        <v>19</v>
      </c>
      <c r="M945" s="1">
        <v>945</v>
      </c>
    </row>
    <row r="946" spans="1:13" x14ac:dyDescent="0.35">
      <c r="A946" s="1" t="s">
        <v>1573</v>
      </c>
      <c r="B946" s="2">
        <v>46238</v>
      </c>
      <c r="C946" s="1" t="s">
        <v>1040</v>
      </c>
      <c r="D946" s="1" t="s">
        <v>16</v>
      </c>
      <c r="E946" s="1" t="s">
        <v>78</v>
      </c>
      <c r="F946" s="1" t="s">
        <v>24</v>
      </c>
      <c r="G946" s="3">
        <v>0.38194444444444442</v>
      </c>
      <c r="H946" s="3">
        <v>0.37847222222222221</v>
      </c>
      <c r="I946" s="1">
        <v>-5</v>
      </c>
      <c r="J946" s="1">
        <v>-11</v>
      </c>
      <c r="K946" s="1" t="s">
        <v>18</v>
      </c>
      <c r="L946" s="1" t="s">
        <v>19</v>
      </c>
      <c r="M946" s="1">
        <v>1438</v>
      </c>
    </row>
    <row r="947" spans="1:13" x14ac:dyDescent="0.35">
      <c r="A947" s="1" t="s">
        <v>1574</v>
      </c>
      <c r="B947" s="2">
        <v>46238</v>
      </c>
      <c r="C947" s="1" t="s">
        <v>1575</v>
      </c>
      <c r="D947" s="1" t="s">
        <v>15</v>
      </c>
      <c r="E947" s="1" t="s">
        <v>22</v>
      </c>
      <c r="F947" s="1" t="s">
        <v>28</v>
      </c>
      <c r="G947" s="3">
        <v>0.51388888888888884</v>
      </c>
      <c r="H947" s="3">
        <v>0.53472222222222221</v>
      </c>
      <c r="I947" s="1">
        <v>30</v>
      </c>
      <c r="J947" s="1">
        <v>37</v>
      </c>
      <c r="K947" s="1" t="s">
        <v>60</v>
      </c>
      <c r="L947" s="1" t="s">
        <v>19</v>
      </c>
      <c r="M947" s="1">
        <v>2470</v>
      </c>
    </row>
    <row r="948" spans="1:13" x14ac:dyDescent="0.35">
      <c r="A948" s="1" t="s">
        <v>1576</v>
      </c>
      <c r="B948" s="2">
        <v>46238</v>
      </c>
      <c r="C948" s="1" t="s">
        <v>716</v>
      </c>
      <c r="D948" s="1" t="s">
        <v>37</v>
      </c>
      <c r="E948" s="1" t="s">
        <v>16</v>
      </c>
      <c r="F948" s="1" t="s">
        <v>38</v>
      </c>
      <c r="G948" s="3">
        <v>0.65972222222222221</v>
      </c>
      <c r="H948" s="3">
        <v>0.66527777777777775</v>
      </c>
      <c r="I948" s="1">
        <v>8</v>
      </c>
      <c r="J948" s="1">
        <v>5</v>
      </c>
      <c r="K948" s="1"/>
      <c r="L948" s="1" t="s">
        <v>19</v>
      </c>
      <c r="M948" s="1">
        <v>1717</v>
      </c>
    </row>
    <row r="949" spans="1:13" x14ac:dyDescent="0.35">
      <c r="A949" s="1" t="s">
        <v>1577</v>
      </c>
      <c r="B949" s="2">
        <v>46238</v>
      </c>
      <c r="C949" s="1" t="s">
        <v>440</v>
      </c>
      <c r="D949" s="1" t="s">
        <v>50</v>
      </c>
      <c r="E949" s="1" t="s">
        <v>41</v>
      </c>
      <c r="F949" s="1" t="s">
        <v>38</v>
      </c>
      <c r="G949" s="3">
        <v>0.82291666666666663</v>
      </c>
      <c r="H949" s="3">
        <v>0.8256944444444444</v>
      </c>
      <c r="I949" s="1">
        <v>4</v>
      </c>
      <c r="J949" s="1">
        <v>3</v>
      </c>
      <c r="K949" s="1" t="s">
        <v>18</v>
      </c>
      <c r="L949" s="1" t="s">
        <v>19</v>
      </c>
      <c r="M949" s="1">
        <v>596</v>
      </c>
    </row>
    <row r="950" spans="1:13" x14ac:dyDescent="0.35">
      <c r="A950" s="1" t="s">
        <v>1578</v>
      </c>
      <c r="B950" s="2">
        <v>46240</v>
      </c>
      <c r="C950" s="1" t="s">
        <v>394</v>
      </c>
      <c r="D950" s="1" t="s">
        <v>27</v>
      </c>
      <c r="E950" s="1" t="s">
        <v>78</v>
      </c>
      <c r="F950" s="1" t="s">
        <v>17</v>
      </c>
      <c r="G950" s="3">
        <v>0.3923611111111111</v>
      </c>
      <c r="H950" s="3">
        <v>0.43194444444444452</v>
      </c>
      <c r="I950" s="1">
        <v>57</v>
      </c>
      <c r="J950" s="1">
        <v>45</v>
      </c>
      <c r="K950" s="1" t="s">
        <v>54</v>
      </c>
      <c r="L950" s="1" t="s">
        <v>19</v>
      </c>
      <c r="M950" s="1">
        <v>866</v>
      </c>
    </row>
    <row r="951" spans="1:13" x14ac:dyDescent="0.35">
      <c r="A951" s="1" t="s">
        <v>1579</v>
      </c>
      <c r="B951" s="2">
        <v>46240</v>
      </c>
      <c r="C951" s="1" t="s">
        <v>1580</v>
      </c>
      <c r="D951" s="1" t="s">
        <v>16</v>
      </c>
      <c r="E951" s="1" t="s">
        <v>22</v>
      </c>
      <c r="F951" s="1" t="s">
        <v>24</v>
      </c>
      <c r="G951" s="3">
        <v>0.92013888888888884</v>
      </c>
      <c r="H951" s="3">
        <v>0.92152777777777772</v>
      </c>
      <c r="I951" s="1">
        <v>2</v>
      </c>
      <c r="J951" s="1">
        <v>5</v>
      </c>
      <c r="K951" s="1"/>
      <c r="L951" s="1" t="s">
        <v>19</v>
      </c>
      <c r="M951" s="1">
        <v>738</v>
      </c>
    </row>
    <row r="952" spans="1:13" x14ac:dyDescent="0.35">
      <c r="A952" s="1" t="s">
        <v>1581</v>
      </c>
      <c r="B952" s="2">
        <v>46241</v>
      </c>
      <c r="C952" s="1" t="s">
        <v>1369</v>
      </c>
      <c r="D952" s="1" t="s">
        <v>23</v>
      </c>
      <c r="E952" s="1" t="s">
        <v>37</v>
      </c>
      <c r="F952" s="1" t="s">
        <v>17</v>
      </c>
      <c r="G952" s="3">
        <v>0.55902777777777779</v>
      </c>
      <c r="H952" s="3">
        <v>0.58680555555555558</v>
      </c>
      <c r="I952" s="1">
        <v>40</v>
      </c>
      <c r="J952" s="1">
        <v>29</v>
      </c>
      <c r="K952" s="1" t="s">
        <v>54</v>
      </c>
      <c r="L952" s="1" t="s">
        <v>19</v>
      </c>
      <c r="M952" s="1">
        <v>1023</v>
      </c>
    </row>
    <row r="953" spans="1:13" x14ac:dyDescent="0.35">
      <c r="A953" s="1" t="s">
        <v>1582</v>
      </c>
      <c r="B953" s="2">
        <v>46242</v>
      </c>
      <c r="C953" s="1" t="s">
        <v>1229</v>
      </c>
      <c r="D953" s="1" t="s">
        <v>50</v>
      </c>
      <c r="E953" s="1" t="s">
        <v>31</v>
      </c>
      <c r="F953" s="1" t="s">
        <v>28</v>
      </c>
      <c r="G953" s="3">
        <v>0.57986111111111116</v>
      </c>
      <c r="H953" s="3">
        <v>0.59305555555555556</v>
      </c>
      <c r="I953" s="1">
        <v>19</v>
      </c>
      <c r="J953" s="1">
        <v>13</v>
      </c>
      <c r="K953" s="1" t="s">
        <v>303</v>
      </c>
      <c r="L953" s="1" t="s">
        <v>19</v>
      </c>
      <c r="M953" s="1">
        <v>1743</v>
      </c>
    </row>
    <row r="954" spans="1:13" x14ac:dyDescent="0.35">
      <c r="A954" s="1" t="s">
        <v>1583</v>
      </c>
      <c r="B954" s="2">
        <v>46242</v>
      </c>
      <c r="C954" s="1" t="s">
        <v>1575</v>
      </c>
      <c r="D954" s="1" t="s">
        <v>23</v>
      </c>
      <c r="E954" s="1" t="s">
        <v>27</v>
      </c>
      <c r="F954" s="1" t="s">
        <v>17</v>
      </c>
      <c r="G954" s="3">
        <v>0.77083333333333337</v>
      </c>
      <c r="H954" s="3">
        <v>0.77847222222222223</v>
      </c>
      <c r="I954" s="1">
        <v>11</v>
      </c>
      <c r="J954" s="1">
        <v>9</v>
      </c>
      <c r="K954" s="1" t="s">
        <v>18</v>
      </c>
      <c r="L954" s="1" t="s">
        <v>19</v>
      </c>
      <c r="M954" s="1">
        <v>641</v>
      </c>
    </row>
    <row r="955" spans="1:13" x14ac:dyDescent="0.35">
      <c r="A955" s="1" t="s">
        <v>1584</v>
      </c>
      <c r="B955" s="2">
        <v>46243</v>
      </c>
      <c r="C955" s="1" t="s">
        <v>1585</v>
      </c>
      <c r="D955" s="1" t="s">
        <v>44</v>
      </c>
      <c r="E955" s="1" t="s">
        <v>50</v>
      </c>
      <c r="F955" s="1" t="s">
        <v>17</v>
      </c>
      <c r="G955" s="3">
        <v>0.27083333333333331</v>
      </c>
      <c r="H955" s="3">
        <v>0.26874999999999999</v>
      </c>
      <c r="I955" s="1">
        <v>-3</v>
      </c>
      <c r="J955" s="1">
        <v>-14</v>
      </c>
      <c r="K955" s="1" t="s">
        <v>18</v>
      </c>
      <c r="L955" s="1" t="s">
        <v>19</v>
      </c>
      <c r="M955" s="1">
        <v>945</v>
      </c>
    </row>
    <row r="956" spans="1:13" x14ac:dyDescent="0.35">
      <c r="A956" s="1" t="s">
        <v>1586</v>
      </c>
      <c r="B956" s="2">
        <v>46243</v>
      </c>
      <c r="C956" s="1" t="s">
        <v>1079</v>
      </c>
      <c r="D956" s="1" t="s">
        <v>123</v>
      </c>
      <c r="E956" s="1" t="s">
        <v>23</v>
      </c>
      <c r="F956" s="1" t="s">
        <v>28</v>
      </c>
      <c r="G956" s="3">
        <v>0.52083333333333337</v>
      </c>
      <c r="H956" s="3">
        <v>0.54583333333333328</v>
      </c>
      <c r="I956" s="1">
        <v>36</v>
      </c>
      <c r="J956" s="1">
        <v>35</v>
      </c>
      <c r="K956" s="1" t="s">
        <v>129</v>
      </c>
      <c r="L956" s="1" t="s">
        <v>19</v>
      </c>
      <c r="M956" s="1">
        <v>1197</v>
      </c>
    </row>
    <row r="957" spans="1:13" x14ac:dyDescent="0.35">
      <c r="A957" s="1" t="s">
        <v>1587</v>
      </c>
      <c r="B957" s="2">
        <v>46243</v>
      </c>
      <c r="C957" s="1" t="s">
        <v>616</v>
      </c>
      <c r="D957" s="1" t="s">
        <v>22</v>
      </c>
      <c r="E957" s="1" t="s">
        <v>1126</v>
      </c>
      <c r="F957" s="1" t="s">
        <v>38</v>
      </c>
      <c r="G957" s="3">
        <v>0.58333333333333337</v>
      </c>
      <c r="H957" s="1"/>
      <c r="I957" s="1">
        <v>-8</v>
      </c>
      <c r="J957" s="1">
        <v>-19</v>
      </c>
      <c r="K957" s="1"/>
      <c r="L957" s="1" t="s">
        <v>19</v>
      </c>
      <c r="M957" s="1">
        <v>2149</v>
      </c>
    </row>
    <row r="958" spans="1:13" x14ac:dyDescent="0.35">
      <c r="A958" s="1" t="s">
        <v>1588</v>
      </c>
      <c r="B958" s="2">
        <v>46243</v>
      </c>
      <c r="C958" s="1" t="s">
        <v>1589</v>
      </c>
      <c r="D958" s="1" t="s">
        <v>126</v>
      </c>
      <c r="E958" s="1" t="s">
        <v>50</v>
      </c>
      <c r="F958" s="1" t="s">
        <v>17</v>
      </c>
      <c r="G958" s="3">
        <v>0.69097222222222221</v>
      </c>
      <c r="H958" s="3">
        <v>0.69236111111111109</v>
      </c>
      <c r="I958" s="1">
        <v>2</v>
      </c>
      <c r="J958" s="1">
        <v>-3</v>
      </c>
      <c r="K958" s="1" t="s">
        <v>18</v>
      </c>
      <c r="L958" s="1" t="s">
        <v>19</v>
      </c>
      <c r="M958" s="1">
        <v>1743</v>
      </c>
    </row>
    <row r="959" spans="1:13" x14ac:dyDescent="0.35">
      <c r="A959" s="1" t="s">
        <v>1590</v>
      </c>
      <c r="B959" s="2">
        <v>46243</v>
      </c>
      <c r="C959" s="1" t="s">
        <v>1591</v>
      </c>
      <c r="D959" s="1" t="s">
        <v>50</v>
      </c>
      <c r="E959" s="1" t="s">
        <v>37</v>
      </c>
      <c r="F959" s="1" t="s">
        <v>17</v>
      </c>
      <c r="G959" s="3">
        <v>0.77430555555555558</v>
      </c>
      <c r="H959" s="3">
        <v>0.78749999999999998</v>
      </c>
      <c r="I959" s="1">
        <v>19</v>
      </c>
      <c r="J959" s="1">
        <v>16</v>
      </c>
      <c r="K959" s="1" t="s">
        <v>54</v>
      </c>
      <c r="L959" s="1" t="s">
        <v>19</v>
      </c>
      <c r="M959" s="1">
        <v>2178</v>
      </c>
    </row>
    <row r="960" spans="1:13" x14ac:dyDescent="0.35">
      <c r="A960" s="1" t="s">
        <v>1592</v>
      </c>
      <c r="B960" s="2">
        <v>46243</v>
      </c>
      <c r="C960" s="1" t="s">
        <v>1451</v>
      </c>
      <c r="D960" s="1" t="s">
        <v>16</v>
      </c>
      <c r="E960" s="1" t="s">
        <v>23</v>
      </c>
      <c r="F960" s="1" t="s">
        <v>24</v>
      </c>
      <c r="G960" s="3">
        <v>0.85763888888888884</v>
      </c>
      <c r="H960" s="3">
        <v>0.92083333333333328</v>
      </c>
      <c r="I960" s="1">
        <v>91</v>
      </c>
      <c r="J960" s="1">
        <v>89</v>
      </c>
      <c r="K960" s="1" t="s">
        <v>149</v>
      </c>
      <c r="L960" s="1" t="s">
        <v>19</v>
      </c>
      <c r="M960" s="1">
        <v>886</v>
      </c>
    </row>
    <row r="961" spans="1:13" x14ac:dyDescent="0.35">
      <c r="A961" s="1" t="s">
        <v>1593</v>
      </c>
      <c r="B961" s="2">
        <v>46244</v>
      </c>
      <c r="C961" s="1" t="s">
        <v>256</v>
      </c>
      <c r="D961" s="1" t="s">
        <v>78</v>
      </c>
      <c r="E961" s="1" t="s">
        <v>50</v>
      </c>
      <c r="F961" s="1" t="s">
        <v>17</v>
      </c>
      <c r="G961" s="3">
        <v>0.25694444444444442</v>
      </c>
      <c r="H961" s="3">
        <v>0.25347222222222221</v>
      </c>
      <c r="I961" s="1">
        <v>-5</v>
      </c>
      <c r="J961" s="1">
        <v>-10</v>
      </c>
      <c r="K961" s="1" t="s">
        <v>18</v>
      </c>
      <c r="L961" s="1" t="s">
        <v>19</v>
      </c>
      <c r="M961" s="1">
        <v>1584</v>
      </c>
    </row>
    <row r="962" spans="1:13" x14ac:dyDescent="0.35">
      <c r="A962" s="1" t="s">
        <v>1593</v>
      </c>
      <c r="B962" s="2">
        <v>46244</v>
      </c>
      <c r="C962" s="1" t="s">
        <v>256</v>
      </c>
      <c r="D962" s="1" t="s">
        <v>78</v>
      </c>
      <c r="E962" s="1" t="s">
        <v>50</v>
      </c>
      <c r="F962" s="1" t="s">
        <v>17</v>
      </c>
      <c r="G962" s="3">
        <v>0.25694444444444442</v>
      </c>
      <c r="H962" s="3">
        <v>0.25347222222222221</v>
      </c>
      <c r="I962" s="1">
        <v>-5</v>
      </c>
      <c r="J962" s="1">
        <v>-10</v>
      </c>
      <c r="K962" s="1" t="s">
        <v>18</v>
      </c>
      <c r="L962" s="1" t="s">
        <v>19</v>
      </c>
      <c r="M962" s="1">
        <v>1584</v>
      </c>
    </row>
    <row r="963" spans="1:13" x14ac:dyDescent="0.35">
      <c r="A963" s="1" t="s">
        <v>1594</v>
      </c>
      <c r="B963" s="2">
        <v>46245</v>
      </c>
      <c r="C963" s="1" t="s">
        <v>541</v>
      </c>
      <c r="D963" s="1" t="s">
        <v>37</v>
      </c>
      <c r="E963" s="1" t="s">
        <v>50</v>
      </c>
      <c r="F963" s="1" t="s">
        <v>24</v>
      </c>
      <c r="G963" s="3">
        <v>0.22569444444444439</v>
      </c>
      <c r="H963" s="3">
        <v>0.22847222222222219</v>
      </c>
      <c r="I963" s="1">
        <v>4</v>
      </c>
      <c r="J963" s="1">
        <v>11</v>
      </c>
      <c r="K963" s="1" t="s">
        <v>18</v>
      </c>
      <c r="L963" s="1" t="s">
        <v>19</v>
      </c>
      <c r="M963" s="1">
        <v>2178</v>
      </c>
    </row>
    <row r="964" spans="1:13" x14ac:dyDescent="0.35">
      <c r="A964" s="1" t="s">
        <v>1595</v>
      </c>
      <c r="B964" s="2">
        <v>46245</v>
      </c>
      <c r="C964" s="1" t="s">
        <v>1118</v>
      </c>
      <c r="D964" s="1" t="s">
        <v>16</v>
      </c>
      <c r="E964" s="1" t="s">
        <v>50</v>
      </c>
      <c r="F964" s="1" t="s">
        <v>28</v>
      </c>
      <c r="G964" s="3">
        <v>0.30208333333333331</v>
      </c>
      <c r="H964" s="3">
        <v>0.31041666666666667</v>
      </c>
      <c r="I964" s="1">
        <v>12</v>
      </c>
      <c r="J964" s="1">
        <v>2</v>
      </c>
      <c r="K964" s="1" t="s">
        <v>18</v>
      </c>
      <c r="L964" s="1" t="s">
        <v>19</v>
      </c>
      <c r="M964" s="1">
        <v>606</v>
      </c>
    </row>
    <row r="965" spans="1:13" x14ac:dyDescent="0.35">
      <c r="A965" s="1" t="s">
        <v>1596</v>
      </c>
      <c r="B965" s="2">
        <v>46245</v>
      </c>
      <c r="C965" s="1" t="s">
        <v>481</v>
      </c>
      <c r="D965" s="1" t="s">
        <v>23</v>
      </c>
      <c r="E965" s="1" t="s">
        <v>50</v>
      </c>
      <c r="F965" s="1" t="s">
        <v>24</v>
      </c>
      <c r="G965" s="3">
        <v>0.33680555555555558</v>
      </c>
      <c r="H965" s="3">
        <v>0.34375</v>
      </c>
      <c r="I965" s="1">
        <v>10</v>
      </c>
      <c r="J965" s="1">
        <v>19</v>
      </c>
      <c r="K965" s="1"/>
      <c r="L965" s="1" t="s">
        <v>19</v>
      </c>
      <c r="M965" s="1">
        <v>1197</v>
      </c>
    </row>
    <row r="966" spans="1:13" x14ac:dyDescent="0.35">
      <c r="A966" s="1" t="s">
        <v>1597</v>
      </c>
      <c r="B966" s="2">
        <v>46246</v>
      </c>
      <c r="C966" s="1" t="s">
        <v>1598</v>
      </c>
      <c r="D966" s="1" t="s">
        <v>27</v>
      </c>
      <c r="E966" s="1" t="s">
        <v>50</v>
      </c>
      <c r="F966" s="1" t="s">
        <v>38</v>
      </c>
      <c r="G966" s="3">
        <v>0.35416666666666669</v>
      </c>
      <c r="H966" s="3">
        <v>0.37569444444444439</v>
      </c>
      <c r="I966" s="1">
        <v>31</v>
      </c>
      <c r="J966" s="1">
        <v>39</v>
      </c>
      <c r="K966" s="1" t="s">
        <v>319</v>
      </c>
      <c r="L966" s="1" t="s">
        <v>19</v>
      </c>
      <c r="M966" s="1">
        <v>730</v>
      </c>
    </row>
    <row r="967" spans="1:13" x14ac:dyDescent="0.35">
      <c r="A967" s="1" t="s">
        <v>1599</v>
      </c>
      <c r="B967" s="2">
        <v>46246</v>
      </c>
      <c r="C967" s="1" t="s">
        <v>88</v>
      </c>
      <c r="D967" s="1" t="s">
        <v>31</v>
      </c>
      <c r="E967" s="1" t="s">
        <v>27</v>
      </c>
      <c r="F967" s="1" t="s">
        <v>28</v>
      </c>
      <c r="G967" s="3">
        <v>0.37847222222222221</v>
      </c>
      <c r="H967" s="3">
        <v>0.37777777777777782</v>
      </c>
      <c r="I967" s="1">
        <v>-1</v>
      </c>
      <c r="J967" s="1">
        <v>-13</v>
      </c>
      <c r="K967" s="1"/>
      <c r="L967" s="1" t="s">
        <v>19</v>
      </c>
      <c r="M967" s="1">
        <v>1053</v>
      </c>
    </row>
    <row r="968" spans="1:13" x14ac:dyDescent="0.35">
      <c r="A968" s="1" t="s">
        <v>1600</v>
      </c>
      <c r="B968" s="2">
        <v>46247</v>
      </c>
      <c r="C968" s="1" t="s">
        <v>1601</v>
      </c>
      <c r="D968" s="1" t="s">
        <v>27</v>
      </c>
      <c r="E968" s="1" t="s">
        <v>31</v>
      </c>
      <c r="F968" s="1" t="s">
        <v>24</v>
      </c>
      <c r="G968" s="3">
        <v>0.51041666666666663</v>
      </c>
      <c r="H968" s="3">
        <v>0.5444444444444444</v>
      </c>
      <c r="I968" s="1">
        <v>49</v>
      </c>
      <c r="J968" s="1">
        <v>41</v>
      </c>
      <c r="K968" s="1" t="s">
        <v>60</v>
      </c>
      <c r="L968" s="1" t="s">
        <v>19</v>
      </c>
      <c r="M968" s="1">
        <v>1053</v>
      </c>
    </row>
    <row r="969" spans="1:13" x14ac:dyDescent="0.35">
      <c r="A969" s="1" t="s">
        <v>1602</v>
      </c>
      <c r="B969" s="2">
        <v>46247</v>
      </c>
      <c r="C969" s="1" t="s">
        <v>355</v>
      </c>
      <c r="D969" s="1" t="s">
        <v>50</v>
      </c>
      <c r="E969" s="1" t="s">
        <v>15</v>
      </c>
      <c r="F969" s="1" t="s">
        <v>17</v>
      </c>
      <c r="G969" s="3">
        <v>0.625</v>
      </c>
      <c r="H969" s="3">
        <v>0.62430555555555556</v>
      </c>
      <c r="I969" s="1">
        <v>-1</v>
      </c>
      <c r="J969" s="1"/>
      <c r="K969" s="1" t="s">
        <v>18</v>
      </c>
      <c r="L969" s="1" t="s">
        <v>19</v>
      </c>
      <c r="M969" s="1">
        <v>1942</v>
      </c>
    </row>
    <row r="970" spans="1:13" x14ac:dyDescent="0.35">
      <c r="A970" s="1" t="s">
        <v>1603</v>
      </c>
      <c r="B970" s="2">
        <v>46247</v>
      </c>
      <c r="C970" s="1" t="s">
        <v>983</v>
      </c>
      <c r="D970" s="1" t="s">
        <v>1604</v>
      </c>
      <c r="E970" s="1" t="s">
        <v>37</v>
      </c>
      <c r="F970" s="1" t="s">
        <v>38</v>
      </c>
      <c r="G970" s="3">
        <v>0.72916666666666663</v>
      </c>
      <c r="H970" s="3">
        <v>0.73402777777777772</v>
      </c>
      <c r="I970" s="1">
        <v>7</v>
      </c>
      <c r="J970" s="1">
        <v>-1</v>
      </c>
      <c r="K970" s="1" t="s">
        <v>18</v>
      </c>
      <c r="L970" s="1" t="s">
        <v>19</v>
      </c>
      <c r="M970" s="1">
        <v>679</v>
      </c>
    </row>
    <row r="971" spans="1:13" x14ac:dyDescent="0.35">
      <c r="A971" s="1" t="s">
        <v>1605</v>
      </c>
      <c r="B971" s="2">
        <v>46247</v>
      </c>
      <c r="C971" s="1" t="s">
        <v>1606</v>
      </c>
      <c r="D971" s="1" t="s">
        <v>44</v>
      </c>
      <c r="E971" s="1" t="s">
        <v>78</v>
      </c>
      <c r="F971" s="1" t="s">
        <v>38</v>
      </c>
      <c r="G971" s="3">
        <v>0.83680555555555558</v>
      </c>
      <c r="H971" s="3">
        <v>0.83888888888888891</v>
      </c>
      <c r="I971" s="1">
        <v>3</v>
      </c>
      <c r="J971" s="1">
        <v>1</v>
      </c>
      <c r="K971" s="1" t="s">
        <v>18</v>
      </c>
      <c r="L971" s="1" t="s">
        <v>19</v>
      </c>
      <c r="M971" s="1">
        <v>2295</v>
      </c>
    </row>
    <row r="972" spans="1:13" x14ac:dyDescent="0.35">
      <c r="A972" s="1" t="s">
        <v>1607</v>
      </c>
      <c r="B972" s="2">
        <v>46248</v>
      </c>
      <c r="C972" s="1" t="s">
        <v>991</v>
      </c>
      <c r="D972" s="1" t="s">
        <v>27</v>
      </c>
      <c r="E972" s="1" t="s">
        <v>47</v>
      </c>
      <c r="F972" s="1" t="s">
        <v>17</v>
      </c>
      <c r="G972" s="3">
        <v>0.28125</v>
      </c>
      <c r="H972" s="3">
        <v>0.27986111111111112</v>
      </c>
      <c r="I972" s="1">
        <v>-2</v>
      </c>
      <c r="J972" s="1">
        <v>5</v>
      </c>
      <c r="K972" s="1" t="s">
        <v>18</v>
      </c>
      <c r="L972" s="1" t="s">
        <v>19</v>
      </c>
      <c r="M972" s="1">
        <v>1462</v>
      </c>
    </row>
    <row r="973" spans="1:13" x14ac:dyDescent="0.35">
      <c r="A973" s="1" t="s">
        <v>1608</v>
      </c>
      <c r="B973" s="2">
        <v>46248</v>
      </c>
      <c r="C973" s="1" t="s">
        <v>1105</v>
      </c>
      <c r="D973" s="1" t="s">
        <v>50</v>
      </c>
      <c r="E973" s="1" t="s">
        <v>78</v>
      </c>
      <c r="F973" s="1" t="s">
        <v>38</v>
      </c>
      <c r="G973" s="3">
        <v>0.36458333333333331</v>
      </c>
      <c r="H973" s="3">
        <v>0.36736111111111108</v>
      </c>
      <c r="I973" s="1">
        <v>4</v>
      </c>
      <c r="J973" s="1"/>
      <c r="K973" s="1" t="s">
        <v>18</v>
      </c>
      <c r="L973" s="1" t="s">
        <v>19</v>
      </c>
      <c r="M973" s="1">
        <v>1584</v>
      </c>
    </row>
    <row r="974" spans="1:13" x14ac:dyDescent="0.35">
      <c r="A974" s="1" t="s">
        <v>1609</v>
      </c>
      <c r="B974" s="2">
        <v>46248</v>
      </c>
      <c r="C974" s="1" t="s">
        <v>1610</v>
      </c>
      <c r="D974" s="1" t="s">
        <v>23</v>
      </c>
      <c r="E974" s="1" t="s">
        <v>27</v>
      </c>
      <c r="F974" s="1" t="s">
        <v>17</v>
      </c>
      <c r="G974" s="3">
        <v>0.40972222222222221</v>
      </c>
      <c r="H974" s="3">
        <v>0.41388888888888892</v>
      </c>
      <c r="I974" s="1">
        <v>6</v>
      </c>
      <c r="J974" s="1">
        <v>-6</v>
      </c>
      <c r="K974" s="1" t="s">
        <v>18</v>
      </c>
      <c r="L974" s="1" t="s">
        <v>19</v>
      </c>
      <c r="M974" s="1">
        <v>641</v>
      </c>
    </row>
    <row r="975" spans="1:13" x14ac:dyDescent="0.35">
      <c r="A975" s="1" t="s">
        <v>1611</v>
      </c>
      <c r="B975" s="2">
        <v>46248</v>
      </c>
      <c r="C975" s="1" t="s">
        <v>603</v>
      </c>
      <c r="D975" s="1" t="s">
        <v>78</v>
      </c>
      <c r="E975" s="1" t="s">
        <v>37</v>
      </c>
      <c r="F975" s="1" t="s">
        <v>24</v>
      </c>
      <c r="G975" s="3">
        <v>0.82291666666666663</v>
      </c>
      <c r="H975" s="3">
        <v>0.81874999999999998</v>
      </c>
      <c r="I975" s="1">
        <v>-6</v>
      </c>
      <c r="J975" s="1">
        <v>-7</v>
      </c>
      <c r="K975" s="1" t="s">
        <v>18</v>
      </c>
      <c r="L975" s="1" t="s">
        <v>19</v>
      </c>
      <c r="M975" s="1">
        <v>1108</v>
      </c>
    </row>
    <row r="976" spans="1:13" x14ac:dyDescent="0.35">
      <c r="A976" s="1" t="s">
        <v>1612</v>
      </c>
      <c r="B976" s="2">
        <v>46248</v>
      </c>
      <c r="C976" s="1" t="s">
        <v>1613</v>
      </c>
      <c r="D976" s="1" t="s">
        <v>50</v>
      </c>
      <c r="E976" s="1" t="s">
        <v>37</v>
      </c>
      <c r="F976" s="1" t="s">
        <v>17</v>
      </c>
      <c r="G976" s="3">
        <v>0.85416666666666663</v>
      </c>
      <c r="H976" s="3">
        <v>0.86527777777777781</v>
      </c>
      <c r="I976" s="1">
        <v>16</v>
      </c>
      <c r="J976" s="1">
        <v>2</v>
      </c>
      <c r="K976" s="1" t="s">
        <v>60</v>
      </c>
      <c r="L976" s="1" t="s">
        <v>19</v>
      </c>
      <c r="M976" s="1">
        <v>2178</v>
      </c>
    </row>
    <row r="977" spans="1:13" x14ac:dyDescent="0.35">
      <c r="A977" s="1" t="s">
        <v>1614</v>
      </c>
      <c r="B977" s="2">
        <v>46249</v>
      </c>
      <c r="C977" s="1" t="s">
        <v>868</v>
      </c>
      <c r="D977" s="1" t="s">
        <v>15</v>
      </c>
      <c r="E977" s="1" t="s">
        <v>37</v>
      </c>
      <c r="F977" s="1" t="s">
        <v>17</v>
      </c>
      <c r="G977" s="3">
        <v>0.3888888888888889</v>
      </c>
      <c r="H977" s="3">
        <v>0.38611111111111113</v>
      </c>
      <c r="I977" s="1">
        <v>-4</v>
      </c>
      <c r="J977" s="1">
        <v>-1</v>
      </c>
      <c r="K977" s="1" t="s">
        <v>18</v>
      </c>
      <c r="L977" s="1" t="s">
        <v>19</v>
      </c>
      <c r="M977" s="1">
        <v>955</v>
      </c>
    </row>
    <row r="978" spans="1:13" x14ac:dyDescent="0.35">
      <c r="A978" s="1" t="s">
        <v>1615</v>
      </c>
      <c r="B978" s="2">
        <v>46249</v>
      </c>
      <c r="C978" s="1" t="s">
        <v>1616</v>
      </c>
      <c r="D978" s="1" t="s">
        <v>555</v>
      </c>
      <c r="E978" s="1" t="s">
        <v>44</v>
      </c>
      <c r="F978" s="1" t="s">
        <v>17</v>
      </c>
      <c r="G978" s="3">
        <v>0.74652777777777779</v>
      </c>
      <c r="H978" s="3">
        <v>0.74513888888888891</v>
      </c>
      <c r="I978" s="1">
        <v>-2</v>
      </c>
      <c r="J978" s="1">
        <v>7</v>
      </c>
      <c r="K978" s="1" t="s">
        <v>18</v>
      </c>
      <c r="L978" s="1" t="s">
        <v>19</v>
      </c>
      <c r="M978" s="1">
        <v>864</v>
      </c>
    </row>
    <row r="979" spans="1:13" x14ac:dyDescent="0.35">
      <c r="A979" s="1" t="s">
        <v>1617</v>
      </c>
      <c r="B979" s="2">
        <v>46250</v>
      </c>
      <c r="C979" s="1" t="s">
        <v>424</v>
      </c>
      <c r="D979" s="1" t="s">
        <v>41</v>
      </c>
      <c r="E979" s="1" t="s">
        <v>50</v>
      </c>
      <c r="F979" s="1" t="s">
        <v>24</v>
      </c>
      <c r="G979" s="3">
        <v>0.28125</v>
      </c>
      <c r="H979" s="3">
        <v>0.27569444444444452</v>
      </c>
      <c r="I979" s="1">
        <v>-8</v>
      </c>
      <c r="J979" s="1">
        <v>-6</v>
      </c>
      <c r="K979" s="1"/>
      <c r="L979" s="1" t="s">
        <v>19</v>
      </c>
      <c r="M979" s="1">
        <v>596</v>
      </c>
    </row>
    <row r="980" spans="1:13" x14ac:dyDescent="0.35">
      <c r="A980" s="1" t="s">
        <v>1618</v>
      </c>
      <c r="B980" s="2">
        <v>46250</v>
      </c>
      <c r="C980" s="1" t="s">
        <v>851</v>
      </c>
      <c r="D980" s="1" t="s">
        <v>1171</v>
      </c>
      <c r="E980" s="1" t="s">
        <v>16</v>
      </c>
      <c r="F980" s="1" t="s">
        <v>17</v>
      </c>
      <c r="G980" s="3">
        <v>0.67708333333333337</v>
      </c>
      <c r="H980" s="3">
        <v>0.69444444444444442</v>
      </c>
      <c r="I980" s="1">
        <v>25</v>
      </c>
      <c r="J980" s="1">
        <v>27</v>
      </c>
      <c r="K980" s="1" t="s">
        <v>263</v>
      </c>
      <c r="L980" s="1" t="s">
        <v>19</v>
      </c>
      <c r="M980" s="1">
        <v>1438</v>
      </c>
    </row>
    <row r="981" spans="1:13" x14ac:dyDescent="0.35">
      <c r="A981" s="1" t="s">
        <v>1619</v>
      </c>
      <c r="B981" s="2">
        <v>46250</v>
      </c>
      <c r="C981" s="1" t="s">
        <v>686</v>
      </c>
      <c r="D981" s="1" t="s">
        <v>22</v>
      </c>
      <c r="E981" s="1" t="s">
        <v>47</v>
      </c>
      <c r="F981" s="1" t="s">
        <v>17</v>
      </c>
      <c r="G981" s="3">
        <v>0.68402777777777779</v>
      </c>
      <c r="H981" s="3">
        <v>0.6875</v>
      </c>
      <c r="I981" s="1">
        <v>5</v>
      </c>
      <c r="J981" s="1">
        <v>-1</v>
      </c>
      <c r="K981" s="1" t="s">
        <v>18</v>
      </c>
      <c r="L981" s="1" t="s">
        <v>19</v>
      </c>
      <c r="M981" s="1">
        <v>2580</v>
      </c>
    </row>
    <row r="982" spans="1:13" x14ac:dyDescent="0.35">
      <c r="A982" s="1" t="s">
        <v>1620</v>
      </c>
      <c r="B982" s="2">
        <v>46251</v>
      </c>
      <c r="C982" s="1" t="s">
        <v>760</v>
      </c>
      <c r="D982" s="1" t="s">
        <v>31</v>
      </c>
      <c r="E982" s="1" t="s">
        <v>16</v>
      </c>
      <c r="F982" s="1" t="s">
        <v>24</v>
      </c>
      <c r="G982" s="3">
        <v>0.71527777777777779</v>
      </c>
      <c r="H982" s="3">
        <v>0.72013888888888888</v>
      </c>
      <c r="I982" s="1">
        <v>7</v>
      </c>
      <c r="J982" s="1">
        <v>0</v>
      </c>
      <c r="K982" s="1" t="s">
        <v>18</v>
      </c>
      <c r="L982" s="1" t="s">
        <v>19</v>
      </c>
      <c r="M982" s="1">
        <v>1511</v>
      </c>
    </row>
    <row r="983" spans="1:13" x14ac:dyDescent="0.35">
      <c r="A983" s="1" t="s">
        <v>1621</v>
      </c>
      <c r="B983" s="2">
        <v>46251</v>
      </c>
      <c r="C983" s="1" t="s">
        <v>1014</v>
      </c>
      <c r="D983" s="1" t="s">
        <v>22</v>
      </c>
      <c r="E983" s="1" t="s">
        <v>37</v>
      </c>
      <c r="F983" s="1" t="s">
        <v>17</v>
      </c>
      <c r="G983" s="3">
        <v>0.81944444444444442</v>
      </c>
      <c r="H983" s="3">
        <v>0.8208333333333333</v>
      </c>
      <c r="I983" s="1">
        <v>2</v>
      </c>
      <c r="J983" s="1">
        <v>8</v>
      </c>
      <c r="K983" s="1" t="s">
        <v>18</v>
      </c>
      <c r="L983" s="1" t="s">
        <v>19</v>
      </c>
      <c r="M983" s="1">
        <v>2415</v>
      </c>
    </row>
    <row r="984" spans="1:13" x14ac:dyDescent="0.35">
      <c r="A984" s="1" t="s">
        <v>1622</v>
      </c>
      <c r="B984" s="2">
        <v>46251</v>
      </c>
      <c r="C984" s="1" t="s">
        <v>271</v>
      </c>
      <c r="D984" s="1" t="s">
        <v>226</v>
      </c>
      <c r="E984" s="1" t="s">
        <v>78</v>
      </c>
      <c r="F984" s="1" t="s">
        <v>24</v>
      </c>
      <c r="G984" s="3">
        <v>0.875</v>
      </c>
      <c r="H984" s="3">
        <v>0.87847222222222221</v>
      </c>
      <c r="I984" s="1">
        <v>5</v>
      </c>
      <c r="J984" s="1">
        <v>5</v>
      </c>
      <c r="K984" s="1" t="s">
        <v>18</v>
      </c>
      <c r="L984" s="1" t="s">
        <v>19</v>
      </c>
      <c r="M984" s="1">
        <v>602</v>
      </c>
    </row>
    <row r="985" spans="1:13" x14ac:dyDescent="0.35">
      <c r="A985" s="1" t="s">
        <v>1623</v>
      </c>
      <c r="B985" s="2">
        <v>46252</v>
      </c>
      <c r="C985" s="1" t="s">
        <v>1554</v>
      </c>
      <c r="D985" s="1" t="s">
        <v>27</v>
      </c>
      <c r="E985" s="1" t="s">
        <v>22</v>
      </c>
      <c r="F985" s="1" t="s">
        <v>17</v>
      </c>
      <c r="G985" s="3">
        <v>0.2986111111111111</v>
      </c>
      <c r="H985" s="3">
        <v>0.29791666666666672</v>
      </c>
      <c r="I985" s="1">
        <v>-1</v>
      </c>
      <c r="J985" s="1">
        <v>-8</v>
      </c>
      <c r="K985" s="1" t="s">
        <v>18</v>
      </c>
      <c r="L985" s="1" t="s">
        <v>19</v>
      </c>
      <c r="M985" s="1">
        <v>1389</v>
      </c>
    </row>
    <row r="986" spans="1:13" x14ac:dyDescent="0.35">
      <c r="A986" s="1" t="s">
        <v>1624</v>
      </c>
      <c r="B986" s="2">
        <v>46252</v>
      </c>
      <c r="C986" s="1" t="s">
        <v>139</v>
      </c>
      <c r="D986" s="1" t="s">
        <v>22</v>
      </c>
      <c r="E986" s="1" t="s">
        <v>15</v>
      </c>
      <c r="F986" s="1" t="s">
        <v>17</v>
      </c>
      <c r="G986" s="3">
        <v>0.71180555555555558</v>
      </c>
      <c r="H986" s="3">
        <v>0.70625000000000004</v>
      </c>
      <c r="I986" s="1">
        <v>-8</v>
      </c>
      <c r="J986" s="1">
        <v>-7</v>
      </c>
      <c r="K986" s="1" t="s">
        <v>18</v>
      </c>
      <c r="L986" s="1" t="s">
        <v>19</v>
      </c>
      <c r="M986" s="1">
        <v>2470</v>
      </c>
    </row>
    <row r="987" spans="1:13" x14ac:dyDescent="0.35">
      <c r="A987" s="1" t="s">
        <v>1625</v>
      </c>
      <c r="B987" s="2">
        <v>46253</v>
      </c>
      <c r="C987" s="1" t="s">
        <v>322</v>
      </c>
      <c r="D987" s="1" t="s">
        <v>44</v>
      </c>
      <c r="E987" s="1" t="s">
        <v>41</v>
      </c>
      <c r="F987" s="1" t="s">
        <v>17</v>
      </c>
      <c r="G987" s="3">
        <v>0.74652777777777779</v>
      </c>
      <c r="H987" s="3">
        <v>0.75763888888888886</v>
      </c>
      <c r="I987" s="1">
        <v>16</v>
      </c>
      <c r="J987" s="1">
        <v>10</v>
      </c>
      <c r="K987" s="1" t="s">
        <v>129</v>
      </c>
      <c r="L987" s="1" t="s">
        <v>19</v>
      </c>
      <c r="M987" s="1">
        <v>1260</v>
      </c>
    </row>
    <row r="988" spans="1:13" x14ac:dyDescent="0.35">
      <c r="A988" s="1" t="s">
        <v>1626</v>
      </c>
      <c r="B988" s="2">
        <v>46254</v>
      </c>
      <c r="C988" s="1" t="s">
        <v>1585</v>
      </c>
      <c r="D988" s="1" t="s">
        <v>50</v>
      </c>
      <c r="E988" s="1" t="s">
        <v>78</v>
      </c>
      <c r="F988" s="1" t="s">
        <v>17</v>
      </c>
      <c r="G988" s="3">
        <v>0.63541666666666663</v>
      </c>
      <c r="H988" s="3">
        <v>0.63958333333333328</v>
      </c>
      <c r="I988" s="1">
        <v>6</v>
      </c>
      <c r="J988" s="1">
        <v>6</v>
      </c>
      <c r="K988" s="1" t="s">
        <v>18</v>
      </c>
      <c r="L988" s="1" t="s">
        <v>19</v>
      </c>
      <c r="M988" s="1">
        <v>1584</v>
      </c>
    </row>
    <row r="989" spans="1:13" x14ac:dyDescent="0.35">
      <c r="A989" s="1" t="s">
        <v>1627</v>
      </c>
      <c r="B989" s="2">
        <v>46255</v>
      </c>
      <c r="C989" s="1" t="s">
        <v>663</v>
      </c>
      <c r="D989" s="1" t="s">
        <v>23</v>
      </c>
      <c r="E989" s="1" t="s">
        <v>50</v>
      </c>
      <c r="F989" s="1" t="s">
        <v>24</v>
      </c>
      <c r="G989" s="3">
        <v>0.35416666666666669</v>
      </c>
      <c r="H989" s="3">
        <v>0.35555555555555562</v>
      </c>
      <c r="I989" s="1">
        <v>2</v>
      </c>
      <c r="J989" s="1">
        <v>10</v>
      </c>
      <c r="K989" s="1" t="s">
        <v>18</v>
      </c>
      <c r="L989" s="1" t="s">
        <v>19</v>
      </c>
      <c r="M989" s="1">
        <v>1197</v>
      </c>
    </row>
    <row r="990" spans="1:13" x14ac:dyDescent="0.35">
      <c r="A990" s="1" t="s">
        <v>1628</v>
      </c>
      <c r="B990" s="2">
        <v>46255</v>
      </c>
      <c r="C990" s="1" t="s">
        <v>647</v>
      </c>
      <c r="D990" s="1" t="s">
        <v>806</v>
      </c>
      <c r="E990" s="1" t="s">
        <v>16</v>
      </c>
      <c r="F990" s="1" t="s">
        <v>17</v>
      </c>
      <c r="G990" s="3">
        <v>0.53819444444444442</v>
      </c>
      <c r="H990" s="3">
        <v>0.53819444444444442</v>
      </c>
      <c r="I990" s="1">
        <v>0</v>
      </c>
      <c r="J990" s="1">
        <v>-4</v>
      </c>
      <c r="K990" s="1" t="s">
        <v>18</v>
      </c>
      <c r="L990" s="1" t="s">
        <v>19</v>
      </c>
      <c r="M990" s="1">
        <v>1742</v>
      </c>
    </row>
    <row r="991" spans="1:13" x14ac:dyDescent="0.35">
      <c r="A991" s="1" t="s">
        <v>1629</v>
      </c>
      <c r="B991" s="2">
        <v>46255</v>
      </c>
      <c r="C991" s="1" t="s">
        <v>357</v>
      </c>
      <c r="D991" s="1" t="s">
        <v>78</v>
      </c>
      <c r="E991" s="1" t="s">
        <v>15</v>
      </c>
      <c r="F991" s="1" t="s">
        <v>24</v>
      </c>
      <c r="G991" s="3">
        <v>0.57986111111111116</v>
      </c>
      <c r="H991" s="3">
        <v>0.64375000000000004</v>
      </c>
      <c r="I991" s="1">
        <v>92</v>
      </c>
      <c r="J991" s="1">
        <v>85</v>
      </c>
      <c r="K991" s="1" t="s">
        <v>60</v>
      </c>
      <c r="L991" s="1" t="s">
        <v>19</v>
      </c>
      <c r="M991" s="1">
        <v>370</v>
      </c>
    </row>
    <row r="992" spans="1:13" x14ac:dyDescent="0.35">
      <c r="A992" s="1" t="s">
        <v>1630</v>
      </c>
      <c r="B992" s="2">
        <v>46255</v>
      </c>
      <c r="C992" s="1" t="s">
        <v>438</v>
      </c>
      <c r="D992" s="1" t="s">
        <v>27</v>
      </c>
      <c r="E992" s="1" t="s">
        <v>23</v>
      </c>
      <c r="F992" s="1" t="s">
        <v>24</v>
      </c>
      <c r="G992" s="3">
        <v>0.70486111111111116</v>
      </c>
      <c r="H992" s="3">
        <v>0.74236111111111114</v>
      </c>
      <c r="I992" s="1">
        <v>54</v>
      </c>
      <c r="J992" s="1">
        <v>42</v>
      </c>
      <c r="K992" s="1" t="s">
        <v>1020</v>
      </c>
      <c r="L992" s="1" t="s">
        <v>19</v>
      </c>
      <c r="M992" s="1">
        <v>641</v>
      </c>
    </row>
    <row r="993" spans="1:13" x14ac:dyDescent="0.35">
      <c r="A993" s="1" t="s">
        <v>1631</v>
      </c>
      <c r="B993" s="2">
        <v>46256</v>
      </c>
      <c r="C993" s="1" t="s">
        <v>496</v>
      </c>
      <c r="D993" s="1" t="s">
        <v>50</v>
      </c>
      <c r="E993" s="1" t="s">
        <v>41</v>
      </c>
      <c r="F993" s="1" t="s">
        <v>38</v>
      </c>
      <c r="G993" s="3">
        <v>0.46875</v>
      </c>
      <c r="H993" s="3">
        <v>0.47499999999999998</v>
      </c>
      <c r="I993" s="1">
        <v>9</v>
      </c>
      <c r="J993" s="1"/>
      <c r="K993" s="1" t="s">
        <v>18</v>
      </c>
      <c r="L993" s="1" t="s">
        <v>19</v>
      </c>
      <c r="M993" s="1">
        <v>596</v>
      </c>
    </row>
    <row r="994" spans="1:13" x14ac:dyDescent="0.35">
      <c r="A994" s="1" t="s">
        <v>1632</v>
      </c>
      <c r="B994" s="2">
        <v>46256</v>
      </c>
      <c r="C994" s="1" t="s">
        <v>424</v>
      </c>
      <c r="D994" s="1" t="s">
        <v>15</v>
      </c>
      <c r="E994" s="1" t="s">
        <v>16</v>
      </c>
      <c r="F994" s="1" t="s">
        <v>28</v>
      </c>
      <c r="G994" s="3">
        <v>0.60763888888888884</v>
      </c>
      <c r="H994" s="3">
        <v>0.60416666666666663</v>
      </c>
      <c r="I994" s="1">
        <v>-5</v>
      </c>
      <c r="J994" s="1">
        <v>-10</v>
      </c>
      <c r="K994" s="1" t="s">
        <v>18</v>
      </c>
      <c r="L994" s="1" t="s">
        <v>19</v>
      </c>
      <c r="M994" s="1">
        <v>1742</v>
      </c>
    </row>
    <row r="995" spans="1:13" x14ac:dyDescent="0.35">
      <c r="A995" s="1" t="s">
        <v>1633</v>
      </c>
      <c r="B995" s="2">
        <v>46256</v>
      </c>
      <c r="C995" s="1" t="s">
        <v>159</v>
      </c>
      <c r="D995" s="1" t="s">
        <v>50</v>
      </c>
      <c r="E995" s="1" t="s">
        <v>23</v>
      </c>
      <c r="F995" s="1" t="s">
        <v>28</v>
      </c>
      <c r="G995" s="3">
        <v>0.87847222222222221</v>
      </c>
      <c r="H995" s="3">
        <v>0.87430555555555556</v>
      </c>
      <c r="I995" s="1">
        <v>-6</v>
      </c>
      <c r="J995" s="1">
        <v>-2</v>
      </c>
      <c r="K995" s="1" t="s">
        <v>18</v>
      </c>
      <c r="L995" s="1" t="s">
        <v>19</v>
      </c>
      <c r="M995" s="1">
        <v>1197</v>
      </c>
    </row>
    <row r="996" spans="1:13" x14ac:dyDescent="0.35">
      <c r="A996" s="1" t="s">
        <v>1634</v>
      </c>
      <c r="B996" s="2">
        <v>46257</v>
      </c>
      <c r="C996" s="1" t="s">
        <v>1210</v>
      </c>
      <c r="D996" s="1" t="s">
        <v>50</v>
      </c>
      <c r="E996" s="1" t="s">
        <v>31</v>
      </c>
      <c r="F996" s="1" t="s">
        <v>17</v>
      </c>
      <c r="G996" s="3">
        <v>0.37847222222222221</v>
      </c>
      <c r="H996" s="3">
        <v>0.37708333333333333</v>
      </c>
      <c r="I996" s="1">
        <v>-2</v>
      </c>
      <c r="J996" s="1">
        <v>-8</v>
      </c>
      <c r="K996" s="1"/>
      <c r="L996" s="1" t="s">
        <v>19</v>
      </c>
      <c r="M996" s="1">
        <v>1743</v>
      </c>
    </row>
    <row r="997" spans="1:13" x14ac:dyDescent="0.35">
      <c r="A997" s="1" t="s">
        <v>1635</v>
      </c>
      <c r="B997" s="2">
        <v>46257</v>
      </c>
      <c r="C997" s="1" t="s">
        <v>1075</v>
      </c>
      <c r="D997" s="1" t="s">
        <v>23</v>
      </c>
      <c r="E997" s="1" t="s">
        <v>41</v>
      </c>
      <c r="F997" s="1" t="s">
        <v>17</v>
      </c>
      <c r="G997" s="3">
        <v>0.94791666666666663</v>
      </c>
      <c r="H997" s="3">
        <v>0.95347222222222228</v>
      </c>
      <c r="I997" s="1">
        <v>8</v>
      </c>
      <c r="J997" s="1">
        <v>16</v>
      </c>
      <c r="K997" s="1"/>
      <c r="L997" s="1" t="s">
        <v>19</v>
      </c>
      <c r="M997" s="1">
        <v>1708</v>
      </c>
    </row>
    <row r="998" spans="1:13" x14ac:dyDescent="0.35">
      <c r="A998" s="1" t="s">
        <v>1636</v>
      </c>
      <c r="B998" s="2">
        <v>46258</v>
      </c>
      <c r="C998" s="1" t="s">
        <v>122</v>
      </c>
      <c r="D998" s="1" t="s">
        <v>15</v>
      </c>
      <c r="E998" s="1" t="s">
        <v>23</v>
      </c>
      <c r="F998" s="1" t="s">
        <v>24</v>
      </c>
      <c r="G998" s="3">
        <v>0.25694444444444442</v>
      </c>
      <c r="H998" s="3">
        <v>0.25138888888888888</v>
      </c>
      <c r="I998" s="1">
        <v>-8</v>
      </c>
      <c r="J998" s="1">
        <v>-9</v>
      </c>
      <c r="K998" s="1" t="s">
        <v>18</v>
      </c>
      <c r="L998" s="1" t="s">
        <v>19</v>
      </c>
      <c r="M998" s="1">
        <v>861</v>
      </c>
    </row>
    <row r="999" spans="1:13" x14ac:dyDescent="0.35">
      <c r="A999" s="1" t="s">
        <v>1637</v>
      </c>
      <c r="B999" s="2">
        <v>46258</v>
      </c>
      <c r="C999" s="1" t="s">
        <v>1638</v>
      </c>
      <c r="D999" s="1" t="s">
        <v>27</v>
      </c>
      <c r="E999" s="1" t="s">
        <v>37</v>
      </c>
      <c r="F999" s="1" t="s">
        <v>17</v>
      </c>
      <c r="G999" s="3">
        <v>0.34722222222222221</v>
      </c>
      <c r="H999" s="3">
        <v>0.37986111111111109</v>
      </c>
      <c r="I999" s="1">
        <v>47</v>
      </c>
      <c r="J999" s="1">
        <v>35</v>
      </c>
      <c r="K999" s="1" t="s">
        <v>54</v>
      </c>
      <c r="L999" s="1" t="s">
        <v>19</v>
      </c>
      <c r="M999" s="1">
        <v>1658</v>
      </c>
    </row>
    <row r="1000" spans="1:13" x14ac:dyDescent="0.35">
      <c r="A1000" s="1" t="s">
        <v>1639</v>
      </c>
      <c r="B1000" s="2">
        <v>46258</v>
      </c>
      <c r="C1000" s="1" t="s">
        <v>479</v>
      </c>
      <c r="D1000" s="1" t="s">
        <v>22</v>
      </c>
      <c r="E1000" s="1" t="s">
        <v>37</v>
      </c>
      <c r="F1000" s="1" t="s">
        <v>17</v>
      </c>
      <c r="G1000" s="3">
        <v>0.86458333333333337</v>
      </c>
      <c r="H1000" s="3">
        <v>0.87222222222222223</v>
      </c>
      <c r="I1000" s="1">
        <v>11</v>
      </c>
      <c r="J1000" s="1">
        <v>4</v>
      </c>
      <c r="K1000" s="1"/>
      <c r="L1000" s="1" t="s">
        <v>19</v>
      </c>
      <c r="M1000" s="1">
        <v>2415</v>
      </c>
    </row>
    <row r="1001" spans="1:13" x14ac:dyDescent="0.35">
      <c r="A1001" s="1" t="s">
        <v>1640</v>
      </c>
      <c r="B1001" s="2">
        <v>46259</v>
      </c>
      <c r="C1001" s="1" t="s">
        <v>207</v>
      </c>
      <c r="D1001" s="1" t="s">
        <v>328</v>
      </c>
      <c r="E1001" s="1" t="s">
        <v>27</v>
      </c>
      <c r="F1001" s="1" t="s">
        <v>17</v>
      </c>
      <c r="G1001" s="3">
        <v>0.32291666666666669</v>
      </c>
      <c r="H1001" s="3">
        <v>0.32222222222222219</v>
      </c>
      <c r="I1001" s="1">
        <v>-1</v>
      </c>
      <c r="J1001" s="1">
        <v>-4</v>
      </c>
      <c r="K1001" s="1"/>
      <c r="L1001" s="1" t="s">
        <v>19</v>
      </c>
      <c r="M1001" s="1">
        <v>1389</v>
      </c>
    </row>
    <row r="1002" spans="1:13" x14ac:dyDescent="0.35">
      <c r="A1002" s="1" t="s">
        <v>1641</v>
      </c>
      <c r="B1002" s="2">
        <v>46259</v>
      </c>
      <c r="C1002" s="1" t="s">
        <v>721</v>
      </c>
      <c r="D1002" s="1" t="s">
        <v>15</v>
      </c>
      <c r="E1002" s="1" t="s">
        <v>41</v>
      </c>
      <c r="F1002" s="1" t="s">
        <v>17</v>
      </c>
      <c r="G1002" s="3">
        <v>0.64930555555555558</v>
      </c>
      <c r="H1002" s="3">
        <v>0.65069444444444446</v>
      </c>
      <c r="I1002" s="1">
        <v>2</v>
      </c>
      <c r="J1002" s="1">
        <v>-9</v>
      </c>
      <c r="K1002" s="1" t="s">
        <v>18</v>
      </c>
      <c r="L1002" s="1" t="s">
        <v>19</v>
      </c>
      <c r="M1002" s="1">
        <v>2338</v>
      </c>
    </row>
    <row r="1003" spans="1:13" x14ac:dyDescent="0.35">
      <c r="A1003" s="1" t="s">
        <v>1642</v>
      </c>
      <c r="B1003" s="2">
        <v>46261</v>
      </c>
      <c r="C1003" s="1" t="s">
        <v>1075</v>
      </c>
      <c r="D1003" s="1" t="s">
        <v>41</v>
      </c>
      <c r="E1003" s="1" t="s">
        <v>16</v>
      </c>
      <c r="F1003" s="1" t="s">
        <v>24</v>
      </c>
      <c r="G1003" s="3">
        <v>0.3125</v>
      </c>
      <c r="H1003" s="3">
        <v>0.31319444444444439</v>
      </c>
      <c r="I1003" s="1">
        <v>1</v>
      </c>
      <c r="J1003" s="1">
        <v>7</v>
      </c>
      <c r="K1003" s="1" t="s">
        <v>18</v>
      </c>
      <c r="L1003" s="1" t="s">
        <v>19</v>
      </c>
      <c r="M1003" s="1">
        <v>1199</v>
      </c>
    </row>
    <row r="1004" spans="1:13" x14ac:dyDescent="0.35">
      <c r="A1004" s="1" t="s">
        <v>1643</v>
      </c>
      <c r="B1004" s="2">
        <v>46261</v>
      </c>
      <c r="C1004" s="1" t="s">
        <v>494</v>
      </c>
      <c r="D1004" s="1" t="s">
        <v>31</v>
      </c>
      <c r="E1004" s="1" t="s">
        <v>22</v>
      </c>
      <c r="F1004" s="1" t="s">
        <v>38</v>
      </c>
      <c r="G1004" s="3">
        <v>0.61805555555555558</v>
      </c>
      <c r="H1004" s="3">
        <v>0.61527777777777781</v>
      </c>
      <c r="I1004" s="1">
        <v>-4</v>
      </c>
      <c r="J1004" s="1">
        <v>-8</v>
      </c>
      <c r="K1004" s="1"/>
      <c r="L1004" s="1" t="s">
        <v>19</v>
      </c>
      <c r="M1004" s="1">
        <v>2243</v>
      </c>
    </row>
    <row r="1005" spans="1:13" x14ac:dyDescent="0.35">
      <c r="A1005" s="1" t="s">
        <v>1644</v>
      </c>
      <c r="B1005" s="2">
        <v>46261</v>
      </c>
      <c r="C1005" s="1" t="s">
        <v>176</v>
      </c>
      <c r="D1005" s="1" t="s">
        <v>37</v>
      </c>
      <c r="E1005" s="1" t="s">
        <v>22</v>
      </c>
      <c r="F1005" s="1" t="s">
        <v>28</v>
      </c>
      <c r="G1005" s="3">
        <v>0.62847222222222221</v>
      </c>
      <c r="H1005" s="3">
        <v>0.62777777777777777</v>
      </c>
      <c r="I1005" s="1">
        <v>-1</v>
      </c>
      <c r="J1005" s="1">
        <v>-8</v>
      </c>
      <c r="K1005" s="1" t="s">
        <v>18</v>
      </c>
      <c r="L1005" s="1" t="s">
        <v>19</v>
      </c>
      <c r="M1005" s="1">
        <v>2415</v>
      </c>
    </row>
    <row r="1006" spans="1:13" x14ac:dyDescent="0.35">
      <c r="A1006" s="1" t="s">
        <v>1645</v>
      </c>
      <c r="B1006" s="2">
        <v>46262</v>
      </c>
      <c r="C1006" s="1" t="s">
        <v>118</v>
      </c>
      <c r="D1006" s="1" t="s">
        <v>16</v>
      </c>
      <c r="E1006" s="1" t="s">
        <v>44</v>
      </c>
      <c r="F1006" s="1" t="s">
        <v>17</v>
      </c>
      <c r="G1006" s="3">
        <v>0.51388888888888884</v>
      </c>
      <c r="H1006" s="3">
        <v>0.6118055555555556</v>
      </c>
      <c r="I1006" s="1">
        <v>141</v>
      </c>
      <c r="J1006" s="1">
        <v>126</v>
      </c>
      <c r="K1006" s="1" t="s">
        <v>60</v>
      </c>
      <c r="L1006" s="1" t="s">
        <v>19</v>
      </c>
      <c r="M1006" s="1">
        <v>864</v>
      </c>
    </row>
    <row r="1007" spans="1:13" x14ac:dyDescent="0.35">
      <c r="A1007" s="1" t="s">
        <v>1646</v>
      </c>
      <c r="B1007" s="2">
        <v>46262</v>
      </c>
      <c r="C1007" s="1" t="s">
        <v>598</v>
      </c>
      <c r="D1007" s="1" t="s">
        <v>50</v>
      </c>
      <c r="E1007" s="1" t="s">
        <v>16</v>
      </c>
      <c r="F1007" s="1" t="s">
        <v>28</v>
      </c>
      <c r="G1007" s="3">
        <v>0.68055555555555558</v>
      </c>
      <c r="H1007" s="1"/>
      <c r="I1007" s="1">
        <v>57</v>
      </c>
      <c r="J1007" s="1">
        <v>57</v>
      </c>
      <c r="K1007" s="1" t="s">
        <v>174</v>
      </c>
      <c r="L1007" s="1" t="s">
        <v>19</v>
      </c>
      <c r="M1007" s="1">
        <v>606</v>
      </c>
    </row>
    <row r="1008" spans="1:13" x14ac:dyDescent="0.35">
      <c r="A1008" s="1" t="s">
        <v>1647</v>
      </c>
      <c r="B1008" s="2">
        <v>46263</v>
      </c>
      <c r="C1008" s="1" t="s">
        <v>583</v>
      </c>
      <c r="D1008" s="1" t="s">
        <v>50</v>
      </c>
      <c r="E1008" s="1" t="s">
        <v>41</v>
      </c>
      <c r="F1008" s="1" t="s">
        <v>17</v>
      </c>
      <c r="G1008" s="3">
        <v>0.32291666666666669</v>
      </c>
      <c r="H1008" s="3">
        <v>0.43472222222222218</v>
      </c>
      <c r="I1008" s="1">
        <v>161</v>
      </c>
      <c r="J1008" s="1">
        <v>165</v>
      </c>
      <c r="K1008" s="1" t="s">
        <v>60</v>
      </c>
      <c r="L1008" s="1" t="s">
        <v>19</v>
      </c>
      <c r="M1008" s="1">
        <v>596</v>
      </c>
    </row>
    <row r="1009" spans="1:13" x14ac:dyDescent="0.35">
      <c r="A1009" s="1" t="s">
        <v>1648</v>
      </c>
      <c r="B1009" s="2">
        <v>46264</v>
      </c>
      <c r="C1009" s="1" t="s">
        <v>14</v>
      </c>
      <c r="D1009" s="1" t="s">
        <v>31</v>
      </c>
      <c r="E1009" s="1" t="s">
        <v>16</v>
      </c>
      <c r="F1009" s="1" t="s">
        <v>17</v>
      </c>
      <c r="G1009" s="3">
        <v>0.43055555555555558</v>
      </c>
      <c r="H1009" s="1"/>
      <c r="I1009" s="1">
        <v>3</v>
      </c>
      <c r="J1009" s="1">
        <v>0</v>
      </c>
      <c r="K1009" s="1"/>
      <c r="L1009" s="1" t="s">
        <v>19</v>
      </c>
      <c r="M1009" s="1">
        <v>1511</v>
      </c>
    </row>
    <row r="1010" spans="1:13" x14ac:dyDescent="0.35">
      <c r="A1010" s="1" t="s">
        <v>1649</v>
      </c>
      <c r="B1010" s="2">
        <v>46264</v>
      </c>
      <c r="C1010" s="1" t="s">
        <v>218</v>
      </c>
      <c r="D1010" s="1" t="s">
        <v>27</v>
      </c>
      <c r="E1010" s="1" t="s">
        <v>16</v>
      </c>
      <c r="F1010" s="1" t="s">
        <v>28</v>
      </c>
      <c r="G1010" s="3">
        <v>0.78125</v>
      </c>
      <c r="H1010" s="3">
        <v>0.77986111111111112</v>
      </c>
      <c r="I1010" s="1">
        <v>-2</v>
      </c>
      <c r="J1010" s="1">
        <v>-4</v>
      </c>
      <c r="K1010" s="1" t="s">
        <v>18</v>
      </c>
      <c r="L1010" s="1" t="s">
        <v>19</v>
      </c>
      <c r="M1010" s="1">
        <v>802</v>
      </c>
    </row>
    <row r="1011" spans="1:13" x14ac:dyDescent="0.35">
      <c r="A1011" s="1" t="s">
        <v>1650</v>
      </c>
      <c r="B1011" s="2">
        <v>46264</v>
      </c>
      <c r="C1011" s="1" t="s">
        <v>300</v>
      </c>
      <c r="D1011" s="1" t="s">
        <v>78</v>
      </c>
      <c r="E1011" s="1" t="s">
        <v>50</v>
      </c>
      <c r="F1011" s="1" t="s">
        <v>24</v>
      </c>
      <c r="G1011" s="3">
        <v>0.82291666666666663</v>
      </c>
      <c r="H1011" s="3">
        <v>0.82777777777777772</v>
      </c>
      <c r="I1011" s="1">
        <v>7</v>
      </c>
      <c r="J1011" s="1">
        <v>2</v>
      </c>
      <c r="K1011" s="1" t="s">
        <v>18</v>
      </c>
      <c r="L1011" s="1" t="s">
        <v>19</v>
      </c>
      <c r="M1011" s="1">
        <v>1584</v>
      </c>
    </row>
    <row r="1012" spans="1:13" x14ac:dyDescent="0.35">
      <c r="A1012" s="1" t="s">
        <v>1651</v>
      </c>
      <c r="B1012" s="2">
        <v>46265</v>
      </c>
      <c r="C1012" s="1" t="s">
        <v>1091</v>
      </c>
      <c r="D1012" s="1" t="s">
        <v>27</v>
      </c>
      <c r="E1012" s="1" t="s">
        <v>37</v>
      </c>
      <c r="F1012" s="1" t="s">
        <v>24</v>
      </c>
      <c r="G1012" s="3">
        <v>0.70833333333333337</v>
      </c>
      <c r="H1012" s="3">
        <v>0.73541666666666672</v>
      </c>
      <c r="I1012" s="1">
        <v>39</v>
      </c>
      <c r="J1012" s="1">
        <v>36</v>
      </c>
      <c r="K1012" s="1" t="s">
        <v>303</v>
      </c>
      <c r="L1012" s="1" t="s">
        <v>19</v>
      </c>
      <c r="M1012" s="1">
        <v>1658</v>
      </c>
    </row>
    <row r="1013" spans="1:13" x14ac:dyDescent="0.35">
      <c r="A1013" s="1" t="s">
        <v>1652</v>
      </c>
      <c r="B1013" s="2">
        <v>46265</v>
      </c>
      <c r="C1013" s="1" t="s">
        <v>269</v>
      </c>
      <c r="D1013" s="1" t="s">
        <v>50</v>
      </c>
      <c r="E1013" s="1" t="s">
        <v>16</v>
      </c>
      <c r="F1013" s="1" t="s">
        <v>38</v>
      </c>
      <c r="G1013" s="3">
        <v>0.78125</v>
      </c>
      <c r="H1013" s="3">
        <v>0.80555555555555558</v>
      </c>
      <c r="I1013" s="1">
        <v>35</v>
      </c>
      <c r="J1013" s="1">
        <v>26</v>
      </c>
      <c r="K1013" s="1" t="s">
        <v>60</v>
      </c>
      <c r="L1013" s="1" t="s">
        <v>19</v>
      </c>
      <c r="M1013" s="1">
        <v>606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5D3616-61AF-4A4D-9C16-98F573872C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Sheet12</vt:lpstr>
      <vt:lpstr>DASHBOARD</vt:lpstr>
      <vt:lpstr>PIVOT TABLES</vt:lpstr>
      <vt:lpstr>Flights(Cleaned)</vt:lpstr>
      <vt:lpstr>Flights (2)</vt:lpstr>
      <vt:lpstr>Flights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Rita Onuoha</cp:lastModifiedBy>
  <dcterms:created xsi:type="dcterms:W3CDTF">2026-09-28T11:55:18Z</dcterms:created>
  <dcterms:modified xsi:type="dcterms:W3CDTF">2026-10-12T02:35:12Z</dcterms:modified>
</cp:coreProperties>
</file>